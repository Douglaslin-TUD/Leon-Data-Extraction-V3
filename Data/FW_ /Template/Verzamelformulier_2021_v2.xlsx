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po\Toekan\Brondata\PPO\Uitgevoerd2021\"/>
    </mc:Choice>
  </mc:AlternateContent>
  <bookViews>
    <workbookView xWindow="0" yWindow="0" windowWidth="26775" windowHeight="10515" activeTab="2"/>
  </bookViews>
  <sheets>
    <sheet name="Blad2" sheetId="2" r:id="rId1"/>
    <sheet name="Blad4" sheetId="4" r:id="rId2"/>
    <sheet name="Blad1" sheetId="1" r:id="rId3"/>
  </sheets>
  <definedNames>
    <definedName name="_xlnm._FilterDatabase" localSheetId="2" hidden="1">Blad1!$A$1:$U$2171</definedName>
  </definedNames>
  <calcPr calcId="162913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35" i="1" l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H2223" i="1" l="1"/>
  <c r="H2198" i="1"/>
  <c r="L2194" i="1" l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 l="1"/>
  <c r="K2172" i="1"/>
  <c r="L2171" i="1" l="1"/>
  <c r="K2171" i="1"/>
  <c r="K2170" i="1"/>
  <c r="L2170" i="1"/>
  <c r="K2168" i="1"/>
  <c r="L2168" i="1"/>
  <c r="K2167" i="1"/>
  <c r="L2167" i="1"/>
  <c r="K2166" i="1"/>
  <c r="L2166" i="1"/>
  <c r="K2165" i="1"/>
  <c r="L2165" i="1"/>
  <c r="K2169" i="1" l="1"/>
  <c r="L2169" i="1"/>
  <c r="K2164" i="1"/>
  <c r="L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L1" i="1"/>
  <c r="K1" i="1"/>
  <c r="L2077" i="1"/>
  <c r="K2077" i="1"/>
</calcChain>
</file>

<file path=xl/comments1.xml><?xml version="1.0" encoding="utf-8"?>
<comments xmlns="http://schemas.openxmlformats.org/spreadsheetml/2006/main">
  <authors>
    <author>Schouten, Léon (GPO)</author>
  </authors>
  <commentList>
    <comment ref="G793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Hier stond 23,1. Daar heb ik 230,1 van gemaakt. 23,1 ligt bij Roelofarendsveen (WNZ).</t>
        </r>
      </text>
    </comment>
    <comment ref="M1594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</t>
        </r>
      </text>
    </comment>
    <comment ref="M1595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</t>
        </r>
      </text>
    </comment>
    <comment ref="M1596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</t>
        </r>
      </text>
    </comment>
    <comment ref="M1597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</t>
        </r>
      </text>
    </comment>
    <comment ref="M1598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M1602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I1603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ALLE gewijzigd in de invoegstroken op basis van KernGIS
</t>
        </r>
      </text>
    </comment>
    <comment ref="M1603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I1604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ALLE gewijzigd in de invoegstroken op basis van KernGIS
</t>
        </r>
      </text>
    </comment>
    <comment ref="M1604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G1605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Op basis van KernGIS en MJPV gewijzigd van 13,2 naar 13,36.
</t>
        </r>
      </text>
    </comment>
    <comment ref="H1605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Op basis van KernGIS en MJPV gewijzigd van 12,2 naar 12,06.</t>
        </r>
      </text>
    </comment>
    <comment ref="G1606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Op basis van KernGIS gewijzigd van 17,6 naar 17,8.</t>
        </r>
      </text>
    </comment>
    <comment ref="M1606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H1607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Op basis van Kerngis gewijzigd van 11,6 naar 11,2.</t>
        </r>
      </text>
    </comment>
    <comment ref="M1607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M1608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E1609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Gewijzigd van 1HRL naar 0VW</t>
        </r>
      </text>
    </comment>
    <comment ref="E1610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Gewijzigd van 1HRL naar 0VW</t>
        </r>
      </text>
    </comment>
    <comment ref="M1611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 &amp; MJPV
</t>
        </r>
      </text>
    </comment>
    <comment ref="M1612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Deklaag van KernGIS</t>
        </r>
      </text>
    </comment>
    <comment ref="B2158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Afkomstig uit KernGIS
</t>
        </r>
      </text>
    </comment>
    <comment ref="B2159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Afkomstig uit KernGIS
</t>
        </r>
      </text>
    </comment>
    <comment ref="B2160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Afkomstig uit KernGIS
</t>
        </r>
      </text>
    </comment>
    <comment ref="B2161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Afkomstig uit KernGIS
</t>
        </r>
      </text>
    </comment>
    <comment ref="B2172" authorId="0" shapeId="0">
      <text>
        <r>
          <rPr>
            <b/>
            <sz val="9"/>
            <color indexed="81"/>
            <rFont val="Tahoma"/>
            <family val="2"/>
          </rPr>
          <t>Schouten, Léon (GPO):</t>
        </r>
        <r>
          <rPr>
            <sz val="9"/>
            <color indexed="81"/>
            <rFont val="Tahoma"/>
            <family val="2"/>
          </rPr>
          <t xml:space="preserve">
Afkomstig uit KernGIS
</t>
        </r>
      </text>
    </comment>
  </commentList>
</comments>
</file>

<file path=xl/sharedStrings.xml><?xml version="1.0" encoding="utf-8"?>
<sst xmlns="http://schemas.openxmlformats.org/spreadsheetml/2006/main" count="15348" uniqueCount="462">
  <si>
    <t>DISTRICT</t>
  </si>
  <si>
    <t>WEG</t>
  </si>
  <si>
    <t>BAAN</t>
  </si>
  <si>
    <t>WEGLET (zie toelichting blad 2)</t>
  </si>
  <si>
    <t>VAN (graag tot min. 10 meter nauwkeurig)</t>
  </si>
  <si>
    <t>TOT (graag tot min. 10 meter nauwkeurig)</t>
  </si>
  <si>
    <t>STROOK</t>
  </si>
  <si>
    <t>Aantal rijstroken - in geval van rijbaanbreed (ALL)</t>
  </si>
  <si>
    <t>DEKLAAGSOORT (bijv. ZOAB, SMA, tweelaags ZOAB, duurzaam ZOAB, etc.)</t>
  </si>
  <si>
    <t>DIKTE TUSSENLAAG (indien van toepassing)</t>
  </si>
  <si>
    <t>GRANULAIR MENGSEL (0/16, 4/8, 2/6, 0/11, 0/8 enz)</t>
  </si>
  <si>
    <t>TONNEN</t>
  </si>
  <si>
    <t>evt. indien beschikbaar temperatuur (Productie)</t>
  </si>
  <si>
    <t>ZAAKNUMMER</t>
  </si>
  <si>
    <t>AANLEG-DATUM</t>
  </si>
  <si>
    <t>MENGSEL-CODE</t>
  </si>
  <si>
    <t>ASFALT-CENTRALE</t>
  </si>
  <si>
    <t>OPMERKINGEN-VELD</t>
  </si>
  <si>
    <t xml:space="preserve">NAAM OPDRACHT-NEMER  </t>
  </si>
  <si>
    <t>Heijmans</t>
  </si>
  <si>
    <t>MN-Zuid</t>
  </si>
  <si>
    <t>73,025</t>
  </si>
  <si>
    <t>1I-R</t>
  </si>
  <si>
    <t>ALLE</t>
  </si>
  <si>
    <t>toplaag ZOABTW</t>
  </si>
  <si>
    <t>ZOAB</t>
  </si>
  <si>
    <t>ACsurf</t>
  </si>
  <si>
    <t>ZOABTW</t>
  </si>
  <si>
    <t>SMA</t>
  </si>
  <si>
    <t>ZOAB Dunne inlage</t>
  </si>
  <si>
    <t>Acsurf</t>
  </si>
  <si>
    <t>80 ac bind</t>
  </si>
  <si>
    <t>AC bind 60mm 60t</t>
  </si>
  <si>
    <t>AC bind 60mm 62t</t>
  </si>
  <si>
    <t>AC bind 20356 42T</t>
  </si>
  <si>
    <t>Ac bind 20356 150t</t>
  </si>
  <si>
    <t>80mm ac bind 20060 90t</t>
  </si>
  <si>
    <t>ac 22 bind base 20356 691t, ac 22 base 65mm, 20060 82t</t>
  </si>
  <si>
    <t>AC bind 2x 80mm, 24260,290t</t>
  </si>
  <si>
    <t>5mm AC Bind</t>
  </si>
  <si>
    <t>AC Surf PMB HR&lt;5% (≥ 50 mm)</t>
  </si>
  <si>
    <t>SMA-NL 11B PMB SBS BeStone 35mm</t>
  </si>
  <si>
    <t>0/11 35mm</t>
  </si>
  <si>
    <t>0/11</t>
  </si>
  <si>
    <t xml:space="preserve"> </t>
  </si>
  <si>
    <t>4/8</t>
  </si>
  <si>
    <t>25mm 83407 op 45mm 82500</t>
  </si>
  <si>
    <t>83407 op 82500</t>
  </si>
  <si>
    <t>82807 op 82500</t>
  </si>
  <si>
    <t>82807 82500</t>
  </si>
  <si>
    <t>asfalt nu A'dam</t>
  </si>
  <si>
    <t>Asfalt nu DB</t>
  </si>
  <si>
    <t>Asfalt nu a'dam</t>
  </si>
  <si>
    <t>A nu Zwijndrecht</t>
  </si>
  <si>
    <t>Asfalt Nu DB</t>
  </si>
  <si>
    <t>120 op 206</t>
  </si>
  <si>
    <t>30 op 47</t>
  </si>
  <si>
    <t>30 op 52</t>
  </si>
  <si>
    <t>46 op 76</t>
  </si>
  <si>
    <t>120 op 198</t>
  </si>
  <si>
    <t>30 op 77</t>
  </si>
  <si>
    <t>samen 380 op 415</t>
  </si>
  <si>
    <t xml:space="preserve"> samen 360</t>
  </si>
  <si>
    <t>172 op 315</t>
  </si>
  <si>
    <t xml:space="preserve">690 op 785  </t>
  </si>
  <si>
    <t>75 op 120</t>
  </si>
  <si>
    <t>598 op 1015</t>
  </si>
  <si>
    <t>82807-268t</t>
  </si>
  <si>
    <t>82807 63t; 82500 - 167</t>
  </si>
  <si>
    <t>63t</t>
  </si>
  <si>
    <t>82807-270t</t>
  </si>
  <si>
    <t>82500 - 524t</t>
  </si>
  <si>
    <t>Krinkels- Van Gelder</t>
  </si>
  <si>
    <t>MN-Noord</t>
  </si>
  <si>
    <t>1HRL</t>
  </si>
  <si>
    <t>1HRR</t>
  </si>
  <si>
    <t>0VW</t>
  </si>
  <si>
    <t>d</t>
  </si>
  <si>
    <t>m</t>
  </si>
  <si>
    <t>p</t>
  </si>
  <si>
    <t>c</t>
  </si>
  <si>
    <t>s</t>
  </si>
  <si>
    <t>a</t>
  </si>
  <si>
    <t>h</t>
  </si>
  <si>
    <t>g</t>
  </si>
  <si>
    <t>v</t>
  </si>
  <si>
    <t>y</t>
  </si>
  <si>
    <t>u</t>
  </si>
  <si>
    <t>b</t>
  </si>
  <si>
    <t>q</t>
  </si>
  <si>
    <t>1V-L</t>
  </si>
  <si>
    <t>1R-L</t>
  </si>
  <si>
    <t>2R-L</t>
  </si>
  <si>
    <t>1U-L</t>
  </si>
  <si>
    <t>2R-R</t>
  </si>
  <si>
    <t>1I-L</t>
  </si>
  <si>
    <t>1R-R</t>
  </si>
  <si>
    <t>1V-R</t>
  </si>
  <si>
    <t>1U-R</t>
  </si>
  <si>
    <t>ZOEAB</t>
  </si>
  <si>
    <t>DAB</t>
  </si>
  <si>
    <t>80 mm (AC22 Bind 30/45 60% PR ECO)</t>
  </si>
  <si>
    <t>50 mm (AC22 Bind 30/45 60% PR ECO)</t>
  </si>
  <si>
    <t>16 70/100 Bestone</t>
  </si>
  <si>
    <t>Asfalt Centrale Nijkerk</t>
  </si>
  <si>
    <t>PA8 Periphalt 45a Speciaal</t>
  </si>
  <si>
    <t>40mm AC16 Surf 40/60 30% PR Bestone</t>
  </si>
  <si>
    <t>PA 16 ECO Periphalt HZ90 50 % PR Bestone</t>
  </si>
  <si>
    <t>8 SFB 5-50 PA Bestone</t>
  </si>
  <si>
    <t>260 / 385</t>
  </si>
  <si>
    <t>38 / 40</t>
  </si>
  <si>
    <t>66 / 125</t>
  </si>
  <si>
    <t>189 / 40</t>
  </si>
  <si>
    <t>47  / 50</t>
  </si>
  <si>
    <t>92 / 438?</t>
  </si>
  <si>
    <t>12 / 25</t>
  </si>
  <si>
    <t>8 / 17</t>
  </si>
  <si>
    <t>71</t>
  </si>
  <si>
    <t>47 / 56</t>
  </si>
  <si>
    <t>24</t>
  </si>
  <si>
    <t>145</t>
  </si>
  <si>
    <t>34</t>
  </si>
  <si>
    <t>59</t>
  </si>
  <si>
    <t>26</t>
  </si>
  <si>
    <t>118</t>
  </si>
  <si>
    <t>24 / 28</t>
  </si>
  <si>
    <t>410</t>
  </si>
  <si>
    <t>56</t>
  </si>
  <si>
    <t>529</t>
  </si>
  <si>
    <t>31</t>
  </si>
  <si>
    <t>2523 / 89</t>
  </si>
  <si>
    <t>47</t>
  </si>
  <si>
    <t>24 / 34</t>
  </si>
  <si>
    <t>47 / 44</t>
  </si>
  <si>
    <t>170 /155</t>
  </si>
  <si>
    <t>189 / 219</t>
  </si>
  <si>
    <t>73</t>
  </si>
  <si>
    <t>120</t>
  </si>
  <si>
    <t>28</t>
  </si>
  <si>
    <t>100</t>
  </si>
  <si>
    <t>97</t>
  </si>
  <si>
    <t>SMA-NL 8G+</t>
  </si>
  <si>
    <t xml:space="preserve">SMA-NL 11 </t>
  </si>
  <si>
    <t>DZOAB</t>
  </si>
  <si>
    <t>0-65</t>
  </si>
  <si>
    <t>0/16</t>
  </si>
  <si>
    <t>AP84961</t>
  </si>
  <si>
    <t>AP86409</t>
  </si>
  <si>
    <t>VZP Rivierduin</t>
  </si>
  <si>
    <t>VZP Oeverwal</t>
  </si>
  <si>
    <t>KWS Infra</t>
  </si>
  <si>
    <t>ZD</t>
  </si>
  <si>
    <t>PWL</t>
  </si>
  <si>
    <t>SMA-NL 11</t>
  </si>
  <si>
    <t>APR of APH</t>
  </si>
  <si>
    <t>ZN-Zuidoost</t>
  </si>
  <si>
    <t>Brugflex</t>
  </si>
  <si>
    <t>2L-ZOAB PMB</t>
  </si>
  <si>
    <t>SMA- Brugflex</t>
  </si>
  <si>
    <t>0/8</t>
  </si>
  <si>
    <t>ACS</t>
  </si>
  <si>
    <t>ACHH</t>
  </si>
  <si>
    <t>Gebr. van der Lee</t>
  </si>
  <si>
    <t>31118126.0079</t>
  </si>
  <si>
    <t>0HRM</t>
  </si>
  <si>
    <t>31118126.0084</t>
  </si>
  <si>
    <t>w</t>
  </si>
  <si>
    <t>f</t>
  </si>
  <si>
    <t>31118126.0085</t>
  </si>
  <si>
    <t>31118126.0102</t>
  </si>
  <si>
    <t>n</t>
  </si>
  <si>
    <t>31118126.0105</t>
  </si>
  <si>
    <t>31118126.0107</t>
  </si>
  <si>
    <t>ON-Noord</t>
  </si>
  <si>
    <t>t.h.v. 18,200</t>
  </si>
  <si>
    <t>t.h.v. 19,300</t>
  </si>
  <si>
    <t xml:space="preserve">2R-L  </t>
  </si>
  <si>
    <t>HRL kruising</t>
  </si>
  <si>
    <t>HRL linksafstrook</t>
  </si>
  <si>
    <t>HRR kruising</t>
  </si>
  <si>
    <t xml:space="preserve">2R-L </t>
  </si>
  <si>
    <t>3R-R</t>
  </si>
  <si>
    <t>3R-L</t>
  </si>
  <si>
    <t xml:space="preserve">2R-R </t>
  </si>
  <si>
    <t xml:space="preserve">1U-R </t>
  </si>
  <si>
    <t>1Q-R</t>
  </si>
  <si>
    <t>4R-R</t>
  </si>
  <si>
    <t>1W-R</t>
  </si>
  <si>
    <t>2U-R</t>
  </si>
  <si>
    <t>2U-L</t>
  </si>
  <si>
    <t xml:space="preserve">3R-R </t>
  </si>
  <si>
    <t xml:space="preserve">4R-R </t>
  </si>
  <si>
    <t xml:space="preserve">1R-R </t>
  </si>
  <si>
    <t>50 mm AC 16 bind</t>
  </si>
  <si>
    <t>0/11 type 2</t>
  </si>
  <si>
    <t>4/8 en 11/16</t>
  </si>
  <si>
    <t>Lelystad</t>
  </si>
  <si>
    <t>43611 / 28618</t>
  </si>
  <si>
    <t>60/75</t>
  </si>
  <si>
    <t>ook tussenlaag vervangen</t>
  </si>
  <si>
    <t>50405 / 28618</t>
  </si>
  <si>
    <t>30/30</t>
  </si>
  <si>
    <t>72611 / 70814</t>
  </si>
  <si>
    <t>6/9</t>
  </si>
  <si>
    <t>48/56</t>
  </si>
  <si>
    <t>88/142</t>
  </si>
  <si>
    <t>SpoedLVO, oorspronkelijke deklaag ZOABTW</t>
  </si>
  <si>
    <t>SpoedLVO</t>
  </si>
  <si>
    <t xml:space="preserve">SpoedLVO </t>
  </si>
  <si>
    <t>4R-L</t>
  </si>
  <si>
    <t>2I-R</t>
  </si>
  <si>
    <t>Puntstuk</t>
  </si>
  <si>
    <t>2I-L</t>
  </si>
  <si>
    <t>ON-Zuid</t>
  </si>
  <si>
    <t>De Jong Zuurmond</t>
  </si>
  <si>
    <t>n.v.t.</t>
  </si>
  <si>
    <t>x</t>
  </si>
  <si>
    <t>ALL</t>
  </si>
  <si>
    <t>ACSURF</t>
  </si>
  <si>
    <t>17/18-2021</t>
  </si>
  <si>
    <t>APE</t>
  </si>
  <si>
    <t>165 °C</t>
  </si>
  <si>
    <t>APN</t>
  </si>
  <si>
    <t>750D003</t>
  </si>
  <si>
    <t>150 °C</t>
  </si>
  <si>
    <t>753D001</t>
  </si>
  <si>
    <t>750D002</t>
  </si>
  <si>
    <t>157 °C</t>
  </si>
  <si>
    <t>151 °C</t>
  </si>
  <si>
    <t>156 °C</t>
  </si>
  <si>
    <t>152 °C</t>
  </si>
  <si>
    <t>450D000</t>
  </si>
  <si>
    <t>159 °C</t>
  </si>
  <si>
    <t>160 °C</t>
  </si>
  <si>
    <t>153 °C</t>
  </si>
  <si>
    <t>150D002
750D003</t>
  </si>
  <si>
    <t>381
282
169</t>
  </si>
  <si>
    <t>165 °C/165 °C
165 °C/165 °C
165 °C/165 °C</t>
  </si>
  <si>
    <t>55
34</t>
  </si>
  <si>
    <t>165 °C
165 °C</t>
  </si>
  <si>
    <t>32
99</t>
  </si>
  <si>
    <t>170
221</t>
  </si>
  <si>
    <t>604
337</t>
  </si>
  <si>
    <t>145 °C/165 °C
145 °C/165 °C</t>
  </si>
  <si>
    <t>155 °C</t>
  </si>
  <si>
    <t>154 °C</t>
  </si>
  <si>
    <t>156 °C/153 °C</t>
  </si>
  <si>
    <t>Samen met regel 3 van dit WP</t>
  </si>
  <si>
    <t>140 °C</t>
  </si>
  <si>
    <t>149 °C</t>
  </si>
  <si>
    <t>76
59</t>
  </si>
  <si>
    <t>158 °C</t>
  </si>
  <si>
    <t>750D000 &amp; 750D001</t>
  </si>
  <si>
    <t>150D001 &amp; 750D004 &amp; 730D001</t>
  </si>
  <si>
    <t>750D004 &amp; 730D001</t>
  </si>
  <si>
    <t>276 &amp; 259</t>
  </si>
  <si>
    <t>148 °C &amp; 156 °C</t>
  </si>
  <si>
    <t>151 °C &amp; 152 °C &amp; 152 °C</t>
  </si>
  <si>
    <t>153 °C &amp; 152 °C</t>
  </si>
  <si>
    <t>144 °C &amp; 165 °C</t>
  </si>
  <si>
    <t>144 &amp; 95</t>
  </si>
  <si>
    <t>50 &amp; 49</t>
  </si>
  <si>
    <t>152 °C &amp; 150 °C</t>
  </si>
  <si>
    <t>115 &amp; 77</t>
  </si>
  <si>
    <t>154 °C &amp; 159 °C</t>
  </si>
  <si>
    <t>Mourik</t>
  </si>
  <si>
    <t>ZN-West</t>
  </si>
  <si>
    <t>Boskalis</t>
  </si>
  <si>
    <t xml:space="preserve">1HRL  </t>
  </si>
  <si>
    <t>e</t>
  </si>
  <si>
    <t>k</t>
  </si>
  <si>
    <t>z</t>
  </si>
  <si>
    <t>t</t>
  </si>
  <si>
    <t>243,5/118,8</t>
  </si>
  <si>
    <t>243,1/118,4</t>
  </si>
  <si>
    <t>118,3/243,0</t>
  </si>
  <si>
    <t>R2</t>
  </si>
  <si>
    <t>retexen</t>
  </si>
  <si>
    <t>stab 0/11</t>
  </si>
  <si>
    <t>dab 0/11</t>
  </si>
  <si>
    <t>STAB</t>
  </si>
  <si>
    <t>DIZOAB</t>
  </si>
  <si>
    <t>afgieten</t>
  </si>
  <si>
    <t>nvt</t>
  </si>
  <si>
    <t>Bitumineuze voegen</t>
  </si>
  <si>
    <t>ZOABTW-fijn</t>
  </si>
  <si>
    <t>ZOABDI</t>
  </si>
  <si>
    <t>BAM</t>
  </si>
  <si>
    <t xml:space="preserve">ZN-Zuidoost </t>
  </si>
  <si>
    <t>j</t>
  </si>
  <si>
    <t>2W-L</t>
  </si>
  <si>
    <t>1W-L</t>
  </si>
  <si>
    <t>1Q-L</t>
  </si>
  <si>
    <t>PA16</t>
  </si>
  <si>
    <t>AC16 Surf</t>
  </si>
  <si>
    <t>AC16 bind</t>
  </si>
  <si>
    <t>STAB/ZOABTW</t>
  </si>
  <si>
    <t>tussenlaag en onderlaag</t>
  </si>
  <si>
    <t>ZOABTW incl beton en SAMI</t>
  </si>
  <si>
    <t>STAB/DAB</t>
  </si>
  <si>
    <t>opruwen</t>
  </si>
  <si>
    <t>STAB/DZOAB</t>
  </si>
  <si>
    <t>vervangen gehele constructie brugdek</t>
  </si>
  <si>
    <t>5R-R</t>
  </si>
  <si>
    <t>5R-L</t>
  </si>
  <si>
    <t xml:space="preserve">1I-L </t>
  </si>
  <si>
    <t>2RL</t>
  </si>
  <si>
    <t>½2R-L</t>
  </si>
  <si>
    <t>Via Optimum</t>
  </si>
  <si>
    <t xml:space="preserve">1HRL </t>
  </si>
  <si>
    <t>ZOAB 8</t>
  </si>
  <si>
    <t>AC22 OL-TL 35/50</t>
  </si>
  <si>
    <t>ZOAB16</t>
  </si>
  <si>
    <t>ZOAB 16</t>
  </si>
  <si>
    <t xml:space="preserve">AC22 </t>
  </si>
  <si>
    <t>SMA-NL 11B 70/100</t>
  </si>
  <si>
    <t>AC22</t>
  </si>
  <si>
    <t>AC 16 DL 40/60</t>
  </si>
  <si>
    <t>DGD 5B</t>
  </si>
  <si>
    <t>Interpave</t>
  </si>
  <si>
    <t>DGD</t>
  </si>
  <si>
    <t>AC 22 TL-C</t>
  </si>
  <si>
    <t>ZOAB 5</t>
  </si>
  <si>
    <t>2L-ZOAB 5 PMB</t>
  </si>
  <si>
    <t>2L-ZOAB 16 + 30%PR</t>
  </si>
  <si>
    <t xml:space="preserve">2L-ZOAB 16  </t>
  </si>
  <si>
    <t>2L-ZOAB 5 EMB EPOXY</t>
  </si>
  <si>
    <t>AC Bind</t>
  </si>
  <si>
    <t>AC Surf</t>
  </si>
  <si>
    <t xml:space="preserve">ZOAB 8 </t>
  </si>
  <si>
    <t>AC 11 Surf</t>
  </si>
  <si>
    <t>AC 16 TL</t>
  </si>
  <si>
    <t>0/5</t>
  </si>
  <si>
    <t>DABGB</t>
  </si>
  <si>
    <t>STAB/DGD (Microflex)</t>
  </si>
  <si>
    <t>730D001</t>
  </si>
  <si>
    <t>165D006</t>
  </si>
  <si>
    <t>750D000</t>
  </si>
  <si>
    <t>750D001</t>
  </si>
  <si>
    <t>640D000</t>
  </si>
  <si>
    <t>520D000</t>
  </si>
  <si>
    <t>720D000</t>
  </si>
  <si>
    <t>720D001</t>
  </si>
  <si>
    <t>753D004</t>
  </si>
  <si>
    <t>750D004</t>
  </si>
  <si>
    <t>720D002</t>
  </si>
  <si>
    <t>155D006</t>
  </si>
  <si>
    <t>440D001</t>
  </si>
  <si>
    <t>150D001</t>
  </si>
  <si>
    <t>ZN-Midden</t>
  </si>
  <si>
    <t>Gebr. Van der Lee</t>
  </si>
  <si>
    <t>NN-Oost</t>
  </si>
  <si>
    <t>2R‐R</t>
  </si>
  <si>
    <t>50 mm PA16</t>
  </si>
  <si>
    <t>100 mm AC16 Bind/PA16 en asfaltwapening</t>
  </si>
  <si>
    <t>‐</t>
  </si>
  <si>
    <t>2 paar lussen</t>
  </si>
  <si>
    <t>1R‐R</t>
  </si>
  <si>
    <t>35 mm SMA</t>
  </si>
  <si>
    <t>2R‐L</t>
  </si>
  <si>
    <t>1R‐L</t>
  </si>
  <si>
    <t>Naad beschermen Burdie Roadsafe</t>
  </si>
  <si>
    <t>1U‐L</t>
  </si>
  <si>
    <t>1R‐L/2R‐L</t>
  </si>
  <si>
    <t>1 paar lussen</t>
  </si>
  <si>
    <t>2R‐L/VwF</t>
  </si>
  <si>
    <t>Zie 15-1 en 15-2</t>
  </si>
  <si>
    <t>Garantie deklaag vervangen</t>
  </si>
  <si>
    <t>1I‐L</t>
  </si>
  <si>
    <t>70 mm PA16</t>
  </si>
  <si>
    <t>Schijnvoegen</t>
  </si>
  <si>
    <t>100 mm AC16 Bind/PA16</t>
  </si>
  <si>
    <t>1W‐R</t>
  </si>
  <si>
    <t>1I‐R</t>
  </si>
  <si>
    <t>1U‐R</t>
  </si>
  <si>
    <t>1R‐R/2R‐R/1U‐R</t>
  </si>
  <si>
    <t>3 paar lussen</t>
  </si>
  <si>
    <t>Vergeten stroefheidsvakken dko</t>
  </si>
  <si>
    <t>Garantie ‐ Naad beschermen Burdie Roadsafe</t>
  </si>
  <si>
    <t>Verdiepte bak t.p.v. craquelé, 50 mm PA16</t>
  </si>
  <si>
    <t>Opfrissen markering kantstreep</t>
  </si>
  <si>
    <t>Sealen voor en na het vak, vluchtstrook kant</t>
  </si>
  <si>
    <t>85 mm Ac16Bind/SMA</t>
  </si>
  <si>
    <t>1W‐L</t>
  </si>
  <si>
    <t>Bitumineuze voegovergang</t>
  </si>
  <si>
    <t>GMS</t>
  </si>
  <si>
    <t>30 mm DGD</t>
  </si>
  <si>
    <t>30 mm Minifalt, t.p.v. scheuren verdiepte bak en asfaltwapening</t>
  </si>
  <si>
    <t>30 mm Minifalt</t>
  </si>
  <si>
    <t>80 mm AC16 Bind/DGD en asfaltwapening</t>
  </si>
  <si>
    <t>T‐poot</t>
  </si>
  <si>
    <t>NN-West</t>
  </si>
  <si>
    <t>SMA-NL 11B</t>
  </si>
  <si>
    <t>40mm SMA en 60mm tussenlaag; VZP Wildinghe.</t>
  </si>
  <si>
    <t>Klopt dit wel? ZOAB op de krappe boog?</t>
  </si>
  <si>
    <t>Inclusief puntstuk</t>
  </si>
  <si>
    <t>r</t>
  </si>
  <si>
    <t>WNZ-Zuid</t>
  </si>
  <si>
    <t>Mourik Infra B.V.</t>
  </si>
  <si>
    <t>114,500r</t>
  </si>
  <si>
    <t>2W-R</t>
  </si>
  <si>
    <t>APH</t>
  </si>
  <si>
    <t>Dostal</t>
  </si>
  <si>
    <t>ON-Oost</t>
  </si>
  <si>
    <t>1HRM</t>
  </si>
  <si>
    <t>35mm ZOAB 0/8 uit/in</t>
  </si>
  <si>
    <t>50mm ZOAB uit/ZOAB+ in</t>
  </si>
  <si>
    <t>30mm ZOAB uit/ZOAB+ 0/8 in</t>
  </si>
  <si>
    <t>50mm ZOAB16 uit/ZOAB+ in</t>
  </si>
  <si>
    <t>35mm ZOAB uit/ZOAB+ 0/8 in</t>
  </si>
  <si>
    <t>40mm SMA-NL 11b uit/in</t>
  </si>
  <si>
    <t>25mm ZOABTW PA toplaag uit/in (toplaag)</t>
  </si>
  <si>
    <t>70mm ZOAB+ uit/in</t>
  </si>
  <si>
    <t>50mm ZOAB uit/in</t>
  </si>
  <si>
    <t>50mm ZOAB+ uit/in</t>
  </si>
  <si>
    <t>30mm ZOAB 0/8 uit/in</t>
  </si>
  <si>
    <t xml:space="preserve">25mm ZOAB 0/8 uit/in </t>
  </si>
  <si>
    <t>35mm SMA 8G+ uit/in</t>
  </si>
  <si>
    <t>40mm DAB uit/ SMA-NL 11b in</t>
  </si>
  <si>
    <t>50mm D-ZOAB Pa 16 Bestone</t>
  </si>
  <si>
    <t>SMA-NL 11b</t>
  </si>
  <si>
    <t>SMA 8G+</t>
  </si>
  <si>
    <t>Vermeulen</t>
  </si>
  <si>
    <t>WNZ-Noord</t>
  </si>
  <si>
    <t>Toerit</t>
  </si>
  <si>
    <t>R1,2 en 3</t>
  </si>
  <si>
    <t>R1+2</t>
  </si>
  <si>
    <t>2+3R-R</t>
  </si>
  <si>
    <t>3R-R INV</t>
  </si>
  <si>
    <t>APRR</t>
  </si>
  <si>
    <t>APA</t>
  </si>
  <si>
    <t>453k009</t>
  </si>
  <si>
    <t>RAC</t>
  </si>
  <si>
    <t>Rijlabels</t>
  </si>
  <si>
    <t>Eindtotaal</t>
  </si>
  <si>
    <t>Aantal van DISTRICT</t>
  </si>
  <si>
    <t>Dura-Vermeer/De Jong Zuurmond</t>
  </si>
  <si>
    <t>ZOEAB+</t>
  </si>
  <si>
    <t>EAB</t>
  </si>
  <si>
    <t>PA 16 70/100 30%PR BSt/PA-St (DZ16)</t>
  </si>
  <si>
    <t>AsfaltNu Deventer</t>
  </si>
  <si>
    <t>AsfaltNu Amsterdam II</t>
  </si>
  <si>
    <t>AC 16 Surf 40/60 30%PR BSt</t>
  </si>
  <si>
    <t>PA 16 70/100 BSt 10+ (DZ16)</t>
  </si>
  <si>
    <t>AsfaltNu Amsterdam I</t>
  </si>
  <si>
    <t>ZOAB2L</t>
  </si>
  <si>
    <t>Fluisterfalt 11/16 30%PR BSt/PA-st</t>
  </si>
  <si>
    <t>Fluisterfalt 4/8 PmB BSt/30%PA-st</t>
  </si>
  <si>
    <t>Fluisterfalt PmB BSt (2L-ZOAB 8)</t>
  </si>
  <si>
    <t>BAM Infra</t>
  </si>
  <si>
    <t>N48</t>
  </si>
  <si>
    <t>SMA 8+ Pmb BSt</t>
  </si>
  <si>
    <t>Asfalt Productie Kootstertille</t>
  </si>
  <si>
    <t>SMA-NL 11B 70/100 BSt</t>
  </si>
  <si>
    <t>Fluisterfalt PmB BSt (2L-Z8)</t>
  </si>
  <si>
    <t>Fluisterfalt 11/16 30%PR BSt/PA-St</t>
  </si>
  <si>
    <t>AC 16 surf 40/60 30%PR BSt</t>
  </si>
  <si>
    <t>Asfalt Productie Nijmegen</t>
  </si>
  <si>
    <t>DZOAB 16+ 30% PR</t>
  </si>
  <si>
    <t>PA 16 70/100 30%PR BSt 10+ (DZ16)</t>
  </si>
  <si>
    <t>(leeg)</t>
  </si>
  <si>
    <t>Aantal van AANLEG-DATUM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</si>
</sst>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dd/m/yyyy"/>
  </numFmts>
  <fonts count="10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b/>
      <sz val="9.5"/>
      <color theme="1"/>
      <name val="V&amp;W Syntax (Adobe)"/>
      <family val="2"/>
    </font>
    <font>
      <b/>
      <sz val="9"/>
      <color theme="1"/>
      <name val="V&amp;W Syntax (Adobe)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Verdana"/>
      <family val="2"/>
    </font>
    <font>
      <sz val="9"/>
      <name val="Verdana"/>
      <family val="2"/>
    </font>
    <font>
      <sz val="8"/>
      <color theme="1"/>
      <name val="Verdana"/>
      <family val="2"/>
    </font>
    <font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14" fontId="0" fillId="0" borderId="0" xfId="0" applyNumberFormat="1"/>
    <xf numFmtId="0" fontId="0" fillId="0" borderId="0" xfId="0" quotePrefix="1"/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14" fontId="0" fillId="4" borderId="0" xfId="0" applyNumberFormat="1" applyFill="1"/>
    <xf numFmtId="0" fontId="0" fillId="0" borderId="0" xfId="0" applyAlignment="1">
      <alignment horizontal="center"/>
    </xf>
    <xf numFmtId="0" fontId="6" fillId="0" borderId="0" xfId="0" applyFont="1"/>
    <xf numFmtId="14" fontId="7" fillId="0" borderId="0" xfId="0" applyNumberFormat="1" applyFont="1"/>
    <xf numFmtId="164" fontId="0" fillId="0" borderId="0" xfId="0" applyNumberFormat="1" applyFont="1"/>
    <xf numFmtId="0" fontId="8" fillId="0" borderId="0" xfId="0" applyFont="1" applyBorder="1" applyAlignment="1">
      <alignment vertical="center" wrapText="1"/>
    </xf>
    <xf numFmtId="0" fontId="0" fillId="3" borderId="0" xfId="0" applyFont="1" applyFill="1"/>
    <xf numFmtId="0" fontId="0" fillId="0" borderId="0" xfId="0" applyFont="1" applyFill="1"/>
    <xf numFmtId="165" fontId="0" fillId="0" borderId="0" xfId="0" applyNumberFormat="1"/>
    <xf numFmtId="1" fontId="7" fillId="0" borderId="0" xfId="0" applyNumberFormat="1" applyFont="1" applyFill="1" applyAlignment="1">
      <alignment horizontal="right"/>
    </xf>
    <xf numFmtId="1" fontId="7" fillId="0" borderId="2" xfId="0" applyNumberFormat="1" applyFont="1" applyFill="1" applyBorder="1" applyAlignment="1">
      <alignment horizontal="right"/>
    </xf>
    <xf numFmtId="1" fontId="7" fillId="0" borderId="3" xfId="0" applyNumberFormat="1" applyFont="1" applyFill="1" applyBorder="1" applyAlignment="1">
      <alignment horizontal="right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Fill="1" applyBorder="1" applyAlignment="1">
      <alignment horizontal="right"/>
    </xf>
    <xf numFmtId="1" fontId="7" fillId="0" borderId="0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Fill="1"/>
    <xf numFmtId="0" fontId="0" fillId="0" borderId="0" xfId="0" applyFill="1"/>
    <xf numFmtId="0" fontId="9" fillId="0" borderId="0" xfId="0" applyFont="1" applyAlignment="1">
      <alignment vertical="center" wrapText="1"/>
    </xf>
    <xf numFmtId="14" fontId="0" fillId="0" borderId="0" xfId="0" applyNumberFormat="1" applyFont="1"/>
    <xf numFmtId="0" fontId="0" fillId="0" borderId="0" xfId="0" applyFont="1"/>
    <xf numFmtId="0" fontId="7" fillId="0" borderId="0" xfId="0" applyFont="1"/>
    <xf numFmtId="0" fontId="0" fillId="7" borderId="0" xfId="0" applyFill="1"/>
    <xf numFmtId="0" fontId="0" fillId="0" borderId="0" xfId="0" applyAlignment="1">
      <alignment horizontal="left" indent="1"/>
    </xf>
  </cellXfs>
  <cellStyles count="2">
    <cellStyle name="Standaard" xfId="0" builtinId="0"/>
    <cellStyle name="Standa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chouten, Léon (GPO)" refreshedDate="44732.763072337963" createdVersion="6" refreshedVersion="6" minRefreshableVersion="3" recordCount="2162">
  <cacheSource type="worksheet">
    <worksheetSource ref="A1:U2163" sheet="Blad1"/>
  </cacheSource>
  <cacheFields count="21">
    <cacheField name="NAAM OPDRACHT-NEMER  " numFmtId="0">
      <sharedItems containsBlank="1"/>
    </cacheField>
    <cacheField name="DISTRICT" numFmtId="0">
      <sharedItems count="14">
        <s v="MN-Zuid"/>
        <s v="MN-Noord"/>
        <s v="ZD"/>
        <s v="ZN-Zuidoost"/>
        <s v="ON-Noord"/>
        <s v="ON-Zuid"/>
        <s v="ZN-West"/>
        <s v="ZN-Zuidoost "/>
        <s v="ZN-Midden"/>
        <s v="NN-Oost"/>
        <s v="NN-West"/>
        <s v="WNZ-Zuid"/>
        <s v="ON-Oost"/>
        <s v="WNZ-Noord"/>
      </sharedItems>
    </cacheField>
    <cacheField name="ZAAKNUMMER" numFmtId="0">
      <sharedItems containsBlank="1" containsMixedTypes="1" containsNumber="1" containsInteger="1" minValue="31108570" maxValue="31163605"/>
    </cacheField>
    <cacheField name="WEG" numFmtId="0">
      <sharedItems containsSemiMixedTypes="0" containsString="0" containsNumber="1" containsInteger="1" minValue="1" maxValue="835"/>
    </cacheField>
    <cacheField name="BAAN" numFmtId="0">
      <sharedItems containsBlank="1"/>
    </cacheField>
    <cacheField name="WEGLET (zie toelichting blad 2)" numFmtId="0">
      <sharedItems containsBlank="1"/>
    </cacheField>
    <cacheField name="VAN (graag tot min. 10 meter nauwkeurig)" numFmtId="0">
      <sharedItems containsMixedTypes="1" containsNumber="1" minValue="7.4999999999999997E-2" maxValue="308.33499999999998"/>
    </cacheField>
    <cacheField name="TOT (graag tot min. 10 meter nauwkeurig)" numFmtId="0">
      <sharedItems containsBlank="1" containsMixedTypes="1" containsNumber="1" minValue="0" maxValue="308.27499999999998"/>
    </cacheField>
    <cacheField name="STROOK" numFmtId="0">
      <sharedItems containsBlank="1"/>
    </cacheField>
    <cacheField name="Aantal rijstroken - in geval van rijbaanbreed (ALL)" numFmtId="0">
      <sharedItems containsBlank="1" containsMixedTypes="1" containsNumber="1" containsInteger="1" minValue="1" maxValue="1"/>
    </cacheField>
    <cacheField name="0" numFmtId="0">
      <sharedItems containsSemiMixedTypes="0" containsString="0" containsNumber="1" minValue="0" maxValue="308.27499999999998"/>
    </cacheField>
    <cacheField name="02" numFmtId="0">
      <sharedItems containsSemiMixedTypes="0" containsString="0" containsNumber="1" minValue="0" maxValue="308.33499999999998"/>
    </cacheField>
    <cacheField name="DEKLAAGSOORT (bijv. ZOAB, SMA, tweelaags ZOAB, duurzaam ZOAB, etc.)" numFmtId="0">
      <sharedItems containsBlank="1" count="63">
        <s v="toplaag ZOABTW"/>
        <s v="ZOAB"/>
        <s v="ACsurf"/>
        <s v="ZOABTW"/>
        <s v="SMA"/>
        <s v="ZOAB Dunne inlage"/>
        <m/>
        <s v="ZOEAB"/>
        <s v="DAB"/>
        <s v="DZOAB"/>
        <s v="SMA-NL 8G+"/>
        <s v="SMA-NL 11 "/>
        <s v="SMA-NL 11"/>
        <s v="Brugflex"/>
        <s v="2L-ZOAB PMB"/>
        <s v="SMA- Brugflex"/>
        <s v="ZOABTW-fijn"/>
        <s v="ZOABDI"/>
        <s v="STAB"/>
        <s v="DIZOAB"/>
        <s v="afgieten"/>
        <s v="nvt"/>
        <s v="retexen"/>
        <s v="Bitumineuze voegen"/>
        <s v="stab 0/11"/>
        <s v="dab 0/11"/>
        <s v="PA16"/>
        <s v="AC16 Surf"/>
        <s v="AC16 bind"/>
        <s v="STAB/DZOAB"/>
        <s v="STAB/ZOABTW"/>
        <s v="tussenlaag en onderlaag"/>
        <s v="ZOABTW incl beton en SAMI"/>
        <s v="vervangen gehele constructie brugdek"/>
        <s v="STAB/DAB"/>
        <s v="opruwen"/>
        <s v="ZOAB 8"/>
        <s v="AC22 OL-TL 35/50"/>
        <s v="ZOAB16"/>
        <s v="ZOAB 16"/>
        <s v="AC22 "/>
        <s v="SMA-NL 11B 70/100"/>
        <s v="AC22"/>
        <s v="AC 16 DL 40/60"/>
        <s v="DGD 5B"/>
        <s v="Interpave"/>
        <s v="DGD"/>
        <s v="AC 22 TL-C"/>
        <s v="ZOAB 5"/>
        <s v="2L-ZOAB 5 PMB"/>
        <s v="2L-ZOAB 16 + 30%PR"/>
        <s v="2L-ZOAB 16  "/>
        <s v="2L-ZOAB 5 EMB EPOXY"/>
        <s v="AC Bind"/>
        <s v="AC Surf"/>
        <s v="ZOAB 8 "/>
        <s v="AC 11 Surf"/>
        <s v="AC 16 TL"/>
        <s v="STAB/DGD (Microflex)"/>
        <s v="DABGB"/>
        <s v="SMA-NL 11B"/>
        <s v="SMA 8G+"/>
        <s v="ZOEAB+"/>
      </sharedItems>
    </cacheField>
    <cacheField name="DIKTE TUSSENLAAG (indien van toepassing)" numFmtId="0">
      <sharedItems containsBlank="1" containsMixedTypes="1" containsNumber="1" containsInteger="1" minValue="51" maxValue="65"/>
    </cacheField>
    <cacheField name="AANLEG-DATUM" numFmtId="0">
      <sharedItems containsDate="1" containsBlank="1" containsMixedTypes="1" minDate="1905-07-13T00:00:00" maxDate="2022-01-27T00:00:00"/>
    </cacheField>
    <cacheField name="GRANULAIR MENGSEL (0/16, 4/8, 2/6, 0/11, 0/8 enz)" numFmtId="0">
      <sharedItems containsBlank="1"/>
    </cacheField>
    <cacheField name="MENGSEL-CODE" numFmtId="0">
      <sharedItems containsBlank="1" containsMixedTypes="1" containsNumber="1" containsInteger="1" minValue="43611" maxValue="76354300"/>
    </cacheField>
    <cacheField name="ASFALT-CENTRALE" numFmtId="0">
      <sharedItems containsBlank="1"/>
    </cacheField>
    <cacheField name="TONNEN" numFmtId="0">
      <sharedItems containsBlank="1" containsMixedTypes="1" containsNumber="1" minValue="2" maxValue="6548.2199999999993"/>
    </cacheField>
    <cacheField name="evt. indien beschikbaar temperatuur (Productie)" numFmtId="0">
      <sharedItems containsBlank="1" containsMixedTypes="1" containsNumber="1" minValue="130.5" maxValue="175"/>
    </cacheField>
    <cacheField name="OPMERKINGEN-VEL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chouten, Léon (GPO)" refreshedDate="45117.552749537041" createdVersion="6" refreshedVersion="6" minRefreshableVersion="3" recordCount="2234">
  <cacheSource type="worksheet">
    <worksheetSource ref="O1:R2235" sheet="Blad1"/>
  </cacheSource>
  <cacheFields count="4">
    <cacheField name="AANLEG-DATUM" numFmtId="0">
      <sharedItems containsDate="1" containsBlank="1" containsMixedTypes="1" minDate="1905-07-13T00:00:00" maxDate="2022-01-27T00:00:00"/>
    </cacheField>
    <cacheField name="GRANULAIR MENGSEL (0/16, 4/8, 2/6, 0/11, 0/8 enz)" numFmtId="0">
      <sharedItems containsBlank="1"/>
    </cacheField>
    <cacheField name="MENGSEL-CODE" numFmtId="0">
      <sharedItems containsBlank="1" containsMixedTypes="1" containsNumber="1" containsInteger="1" minValue="25317" maxValue="76354300" count="99">
        <n v="83407"/>
        <n v="55031"/>
        <n v="74300"/>
        <s v="25mm 83407 op 45mm 82500"/>
        <n v="74408"/>
        <n v="88407"/>
        <s v="83407 op 82500"/>
        <s v="82807 op 82500"/>
        <n v="82807"/>
        <m/>
        <n v="44004"/>
        <s v="82807 82500"/>
        <n v="76300602"/>
        <n v="74304200"/>
        <n v="36330401"/>
        <n v="76354300"/>
        <n v="74303100"/>
        <s v="AP84961"/>
        <s v="AP86409"/>
        <n v="55312"/>
        <n v="91709"/>
        <n v="53007"/>
        <n v="44051"/>
        <n v="92909"/>
        <n v="43611"/>
        <s v="43611 / 28618"/>
        <s v="50405 / 28618"/>
        <n v="70611"/>
        <n v="50405"/>
        <s v="72611 / 70814"/>
        <n v="757000"/>
        <s v="750D000 &amp; 750D001"/>
        <s v="750D003"/>
        <s v="753D001"/>
        <s v="750D002"/>
        <s v="450D000"/>
        <s v="150D002_x000a_750D003"/>
        <s v="150D001 &amp; 750D004 &amp; 730D001"/>
        <s v="750D004 &amp; 730D001"/>
        <s v="730D001"/>
        <s v="165D006"/>
        <s v="750D000"/>
        <s v="750D001"/>
        <s v="640D000"/>
        <s v="520D000"/>
        <n v="527400"/>
        <n v="527401"/>
        <n v="527402"/>
        <n v="527403"/>
        <n v="527404"/>
        <n v="527405"/>
        <n v="527406"/>
        <n v="527407"/>
        <n v="527408"/>
        <n v="527409"/>
        <n v="527410"/>
        <n v="527411"/>
        <n v="527412"/>
        <n v="527413"/>
        <n v="527414"/>
        <n v="527415"/>
        <n v="527416"/>
        <n v="527417"/>
        <n v="527418"/>
        <n v="527419"/>
        <n v="527420"/>
        <n v="527421"/>
        <n v="527422"/>
        <n v="527423"/>
        <n v="527424"/>
        <n v="527425"/>
        <n v="527426"/>
        <n v="527427"/>
        <n v="527428"/>
        <n v="527429"/>
        <n v="527430"/>
        <n v="527431"/>
        <n v="527432"/>
        <s v="720D000"/>
        <s v="720D001"/>
        <s v="753D004"/>
        <s v="750D004"/>
        <s v="720D002"/>
        <s v="155D006"/>
        <s v="440D001"/>
        <s v="150D001"/>
        <n v="163164"/>
        <n v="163165"/>
        <n v="457135"/>
        <n v="76300601"/>
        <n v="36330400"/>
        <s v="453k009"/>
        <n v="43095"/>
        <n v="55302"/>
        <n v="73001"/>
        <n v="55309"/>
        <n v="25317"/>
        <n v="53009"/>
        <n v="55311"/>
      </sharedItems>
    </cacheField>
    <cacheField name="ASFALT-CENTRALE" numFmtId="0">
      <sharedItems containsBlank="1" count="22">
        <s v="asfalt nu A'dam"/>
        <s v="Asfalt nu DB"/>
        <s v="A nu Zwijndrecht"/>
        <s v="Asfalt Centrale Nijkerk"/>
        <m/>
        <s v=" "/>
        <s v="APR of APH"/>
        <s v="ACS"/>
        <s v="ACHH"/>
        <s v="Lelystad"/>
        <s v="APE"/>
        <s v="APN"/>
        <s v="n.v.t."/>
        <s v="APH"/>
        <s v="APRR"/>
        <s v="APA"/>
        <s v="RAC"/>
        <s v="AsfaltNu Deventer"/>
        <s v="Asfalt Productie Kootstertille"/>
        <s v="AsfaltNu Amsterdam I"/>
        <s v="AsfaltNu Amsterdam II"/>
        <s v="Asfalt Productie Nijmeg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2">
  <r>
    <s v="Heijmans"/>
    <x v="0"/>
    <n v="31142564"/>
    <n v="2"/>
    <s v="0VW"/>
    <s v="g"/>
    <n v="63"/>
    <n v="63.19"/>
    <s v="2R-R"/>
    <m/>
    <n v="63"/>
    <n v="63.19"/>
    <x v="0"/>
    <m/>
    <d v="2021-07-23T00:00:00"/>
    <s v="4/8"/>
    <n v="83407"/>
    <s v="asfalt nu A'dam"/>
    <n v="40"/>
    <m/>
    <m/>
  </r>
  <r>
    <s v="Heijmans"/>
    <x v="0"/>
    <n v="31142564"/>
    <n v="2"/>
    <s v="0VW"/>
    <s v="g"/>
    <n v="63.734999999999999"/>
    <n v="63.8"/>
    <s v="2R-R"/>
    <m/>
    <n v="63.734999999999999"/>
    <n v="63.8"/>
    <x v="1"/>
    <m/>
    <d v="2021-07-23T00:00:00"/>
    <m/>
    <n v="55031"/>
    <s v="asfalt nu A'dam"/>
    <n v="40"/>
    <m/>
    <m/>
  </r>
  <r>
    <s v="Heijmans"/>
    <x v="0"/>
    <n v="31142564"/>
    <n v="2"/>
    <s v="0VW"/>
    <s v="g"/>
    <n v="63.9"/>
    <n v="64.3"/>
    <s v="1R-R"/>
    <m/>
    <n v="63.9"/>
    <n v="64.3"/>
    <x v="1"/>
    <m/>
    <d v="2021-07-23T00:00:00"/>
    <m/>
    <n v="55031"/>
    <s v="asfalt nu A'dam"/>
    <n v="98"/>
    <m/>
    <m/>
  </r>
  <r>
    <s v="Heijmans"/>
    <x v="0"/>
    <n v="31142564"/>
    <n v="2"/>
    <s v="0VW"/>
    <s v="g"/>
    <n v="64.599999999999994"/>
    <n v="64.7"/>
    <s v="1U-R"/>
    <m/>
    <n v="64.599999999999994"/>
    <n v="64.7"/>
    <x v="1"/>
    <s v="80 ac bind"/>
    <d v="2021-07-23T00:00:00"/>
    <m/>
    <n v="55031"/>
    <s v="asfalt nu A'dam"/>
    <m/>
    <m/>
    <m/>
  </r>
  <r>
    <s v="Heijmans"/>
    <x v="0"/>
    <n v="31142564"/>
    <n v="27"/>
    <s v="1HRR"/>
    <m/>
    <n v="69.984999999999999"/>
    <n v="70.099999999999994"/>
    <s v="3R-R"/>
    <m/>
    <n v="69.984999999999999"/>
    <n v="70.099999999999994"/>
    <x v="0"/>
    <m/>
    <d v="2021-07-14T00:00:00"/>
    <m/>
    <n v="83407"/>
    <s v="asfalt nu A'dam"/>
    <n v="25"/>
    <m/>
    <m/>
  </r>
  <r>
    <s v="Heijmans"/>
    <x v="0"/>
    <n v="31142564"/>
    <n v="27"/>
    <s v="0VW"/>
    <s v="d"/>
    <n v="103.8"/>
    <n v="103.23"/>
    <m/>
    <s v="ALLE"/>
    <n v="103.23"/>
    <n v="103.8"/>
    <x v="2"/>
    <m/>
    <d v="2021-07-14T00:00:00"/>
    <m/>
    <n v="74300"/>
    <s v="asfalt nu A'dam"/>
    <n v="637"/>
    <m/>
    <m/>
  </r>
  <r>
    <s v="Heijmans"/>
    <x v="0"/>
    <n v="31142564"/>
    <n v="27"/>
    <s v="0VW"/>
    <s v="c"/>
    <n v="100.27"/>
    <n v="99.93"/>
    <m/>
    <s v="ALLE"/>
    <n v="99.93"/>
    <n v="100.27"/>
    <x v="2"/>
    <m/>
    <d v="2021-07-14T00:00:00"/>
    <m/>
    <n v="74300"/>
    <s v="asfalt nu A'dam"/>
    <n v="280"/>
    <m/>
    <m/>
  </r>
  <r>
    <s v="Heijmans"/>
    <x v="0"/>
    <n v="31142564"/>
    <n v="27"/>
    <s v="0VW"/>
    <s v="d"/>
    <n v="100.4"/>
    <n v="99.91"/>
    <m/>
    <s v="ALLE"/>
    <n v="99.91"/>
    <n v="100.4"/>
    <x v="2"/>
    <m/>
    <d v="2021-07-14T00:00:00"/>
    <m/>
    <n v="74300"/>
    <s v="asfalt nu A'dam"/>
    <n v="432"/>
    <m/>
    <m/>
  </r>
  <r>
    <s v="Heijmans"/>
    <x v="0"/>
    <n v="31142564"/>
    <n v="27"/>
    <s v="1HRL"/>
    <m/>
    <n v="80.984999999999999"/>
    <n v="80.900000000000006"/>
    <s v="2R-L"/>
    <m/>
    <n v="80.900000000000006"/>
    <n v="80.984999999999999"/>
    <x v="0"/>
    <m/>
    <d v="2021-07-14T00:00:00"/>
    <m/>
    <n v="83407"/>
    <s v="asfalt nu A'dam"/>
    <n v="25"/>
    <m/>
    <m/>
  </r>
  <r>
    <s v="Heijmans"/>
    <x v="0"/>
    <n v="31142564"/>
    <n v="27"/>
    <s v="1HRL"/>
    <m/>
    <n v="78.010000000000005"/>
    <n v="77.504999999999995"/>
    <s v="2R-L"/>
    <m/>
    <n v="77.504999999999995"/>
    <n v="78.010000000000005"/>
    <x v="3"/>
    <m/>
    <d v="2021-07-14T00:00:00"/>
    <m/>
    <s v="25mm 83407 op 45mm 82500"/>
    <s v="asfalt nu A'dam"/>
    <s v="120 op 206"/>
    <m/>
    <m/>
  </r>
  <r>
    <s v="Heijmans"/>
    <x v="0"/>
    <n v="31142564"/>
    <n v="27"/>
    <s v="0VW"/>
    <s v="q"/>
    <n v="70.995000000000005"/>
    <n v="70.650000000000006"/>
    <m/>
    <s v="ALLE"/>
    <n v="70.650000000000006"/>
    <n v="70.995000000000005"/>
    <x v="1"/>
    <m/>
    <d v="2021-07-14T00:00:00"/>
    <m/>
    <n v="55031"/>
    <s v="asfalt nu A'dam"/>
    <n v="266"/>
    <m/>
    <m/>
  </r>
  <r>
    <s v="Heijmans"/>
    <x v="0"/>
    <n v="31142564"/>
    <n v="27"/>
    <s v="1HRL"/>
    <m/>
    <n v="64.685000000000002"/>
    <n v="64.599999999999994"/>
    <s v="3R-L"/>
    <m/>
    <n v="64.599999999999994"/>
    <n v="64.685000000000002"/>
    <x v="2"/>
    <m/>
    <d v="2021-07-14T00:00:00"/>
    <s v="AC Surf PMB HR&lt;5% (≥ 50 mm)"/>
    <n v="74408"/>
    <s v="asfalt nu A'dam"/>
    <n v="56"/>
    <m/>
    <m/>
  </r>
  <r>
    <s v="Heijmans"/>
    <x v="0"/>
    <n v="31142564"/>
    <n v="28"/>
    <s v="0VW"/>
    <s v="v"/>
    <n v="1.1000000000000001"/>
    <n v="1.4"/>
    <m/>
    <s v="ALLE"/>
    <n v="1.1000000000000001"/>
    <n v="1.4"/>
    <x v="4"/>
    <m/>
    <d v="2021-07-20T00:00:00"/>
    <s v="SMA-NL 11B PMB SBS BeStone 35mm"/>
    <n v="88407"/>
    <s v="asfalt nu A'dam"/>
    <n v="192"/>
    <m/>
    <m/>
  </r>
  <r>
    <s v="Heijmans"/>
    <x v="0"/>
    <n v="31142564"/>
    <n v="28"/>
    <s v="1HRR"/>
    <m/>
    <n v="6.8"/>
    <n v="6.9"/>
    <s v="3R-R"/>
    <m/>
    <n v="6.8"/>
    <n v="6.9"/>
    <x v="3"/>
    <s v="AC bind 60mm 60t"/>
    <d v="2021-07-14T00:00:00"/>
    <m/>
    <s v="83407 op 82500"/>
    <s v="asfalt nu A'dam"/>
    <s v="30 op 47"/>
    <m/>
    <m/>
  </r>
  <r>
    <s v="Heijmans"/>
    <x v="0"/>
    <n v="31142564"/>
    <n v="28"/>
    <s v="1HRR"/>
    <m/>
    <n v="6.9"/>
    <n v="7.05"/>
    <s v="3R-R"/>
    <m/>
    <n v="6.9"/>
    <n v="7.05"/>
    <x v="0"/>
    <m/>
    <d v="2021-07-14T00:00:00"/>
    <m/>
    <n v="83407"/>
    <s v="asfalt nu A'dam"/>
    <n v="31"/>
    <m/>
    <m/>
  </r>
  <r>
    <s v="Heijmans"/>
    <x v="0"/>
    <n v="31142564"/>
    <n v="28"/>
    <s v="1HRR"/>
    <m/>
    <n v="17.3"/>
    <n v="17.420000000000002"/>
    <s v="3R-R"/>
    <m/>
    <n v="17.3"/>
    <n v="17.420000000000002"/>
    <x v="3"/>
    <s v="AC bind 60mm 62t"/>
    <d v="2021-07-14T00:00:00"/>
    <m/>
    <s v="83407 op 82500"/>
    <s v="asfalt nu A'dam"/>
    <s v="30 op 52"/>
    <m/>
    <m/>
  </r>
  <r>
    <s v="Heijmans"/>
    <x v="0"/>
    <n v="31142564"/>
    <n v="28"/>
    <s v="0VW"/>
    <s v="u"/>
    <n v="0.6"/>
    <n v="0.35"/>
    <s v="2R-L"/>
    <m/>
    <n v="0.35"/>
    <n v="0.6"/>
    <x v="4"/>
    <m/>
    <d v="2021-07-16T00:00:00"/>
    <s v="0/11 35mm"/>
    <n v="88407"/>
    <s v="asfalt nu A'dam"/>
    <n v="100"/>
    <m/>
    <m/>
  </r>
  <r>
    <s v="Heijmans"/>
    <x v="0"/>
    <n v="31142564"/>
    <n v="28"/>
    <s v="0VW"/>
    <s v="u"/>
    <n v="0.58499999999999996"/>
    <n v="0.35"/>
    <s v="1I-L"/>
    <m/>
    <n v="0.35"/>
    <n v="0.58499999999999996"/>
    <x v="4"/>
    <m/>
    <d v="2021-07-16T00:00:00"/>
    <s v="0/11 35mm"/>
    <n v="88407"/>
    <s v="asfalt nu A'dam"/>
    <n v="100"/>
    <m/>
    <m/>
  </r>
  <r>
    <s v="Heijmans"/>
    <x v="0"/>
    <n v="31142564"/>
    <n v="28"/>
    <s v="0VW"/>
    <s v="u"/>
    <n v="0.58499999999999996"/>
    <n v="0.35"/>
    <s v="1V-L"/>
    <m/>
    <n v="0.35"/>
    <n v="0.58499999999999996"/>
    <x v="4"/>
    <m/>
    <d v="2021-07-16T00:00:00"/>
    <s v="0/11 35mm"/>
    <n v="88407"/>
    <s v="asfalt nu A'dam"/>
    <n v="110"/>
    <m/>
    <m/>
  </r>
  <r>
    <s v="Heijmans"/>
    <x v="0"/>
    <n v="31142564"/>
    <n v="28"/>
    <s v="0VW"/>
    <s v="u"/>
    <n v="0.32"/>
    <n v="0.17499999999999999"/>
    <s v="2R-L"/>
    <m/>
    <n v="0.17499999999999999"/>
    <n v="0.32"/>
    <x v="3"/>
    <m/>
    <d v="2021-07-16T00:00:00"/>
    <m/>
    <s v="83407 op 82500"/>
    <s v="asfalt nu A'dam"/>
    <s v="46 op 76"/>
    <m/>
    <m/>
  </r>
  <r>
    <s v="Heijmans"/>
    <x v="0"/>
    <n v="31142564"/>
    <n v="28"/>
    <s v="0VW"/>
    <s v="u"/>
    <n v="0.125"/>
    <n v="0"/>
    <s v="2R-L"/>
    <m/>
    <n v="0"/>
    <n v="0.125"/>
    <x v="0"/>
    <m/>
    <d v="2021-07-16T00:00:00"/>
    <m/>
    <n v="83407"/>
    <s v="asfalt nu A'dam"/>
    <n v="33"/>
    <m/>
    <m/>
  </r>
  <r>
    <s v="Heijmans"/>
    <x v="0"/>
    <n v="31142564"/>
    <n v="2"/>
    <s v="0VW"/>
    <s v="b"/>
    <n v="68.64"/>
    <n v="68.875"/>
    <m/>
    <s v="ALLE"/>
    <n v="68.64"/>
    <n v="68.875"/>
    <x v="4"/>
    <m/>
    <d v="2021-09-13T00:00:00"/>
    <s v="0/11"/>
    <n v="88407"/>
    <s v="asfalt nu A'dam"/>
    <n v="155"/>
    <m/>
    <m/>
  </r>
  <r>
    <s v="Heijmans"/>
    <x v="0"/>
    <n v="31142564"/>
    <n v="2"/>
    <s v="1HRR"/>
    <m/>
    <n v="71.305000000000007"/>
    <n v="71.849999999999994"/>
    <s v="4R-R"/>
    <m/>
    <n v="71.305000000000007"/>
    <n v="71.849999999999994"/>
    <x v="3"/>
    <m/>
    <d v="2021-09-09T00:00:00"/>
    <m/>
    <s v="83407 op 82500"/>
    <s v="asfalt nu A'dam"/>
    <s v="120 op 198"/>
    <m/>
    <m/>
  </r>
  <r>
    <s v="Heijmans"/>
    <x v="0"/>
    <n v="31142564"/>
    <n v="2"/>
    <s v="1HRR"/>
    <m/>
    <n v="71.849999999999994"/>
    <n v="72.2"/>
    <s v="4R-R"/>
    <m/>
    <n v="71.849999999999994"/>
    <n v="72.2"/>
    <x v="0"/>
    <m/>
    <d v="2021-09-09T00:00:00"/>
    <m/>
    <n v="83407"/>
    <s v="asfalt nu A'dam"/>
    <n v="87"/>
    <m/>
    <m/>
  </r>
  <r>
    <s v="Heijmans"/>
    <x v="0"/>
    <n v="31142564"/>
    <n v="2"/>
    <s v="0VW"/>
    <s v="b"/>
    <n v="72.674999999999997"/>
    <n v="72.885000000000005"/>
    <m/>
    <s v="ALLE"/>
    <n v="72.674999999999997"/>
    <n v="72.885000000000005"/>
    <x v="4"/>
    <m/>
    <d v="2021-08-17T00:00:00"/>
    <s v="0/11"/>
    <n v="88407"/>
    <s v="asfalt nu A'dam"/>
    <n v="146"/>
    <m/>
    <m/>
  </r>
  <r>
    <s v="Heijmans"/>
    <x v="0"/>
    <n v="31142564"/>
    <n v="2"/>
    <s v="1HRR"/>
    <m/>
    <n v="72.894999999999996"/>
    <s v="73,025"/>
    <s v="1I-R"/>
    <m/>
    <n v="72.894999999999996"/>
    <n v="72.894999999999996"/>
    <x v="3"/>
    <m/>
    <d v="2021-08-18T00:00:00"/>
    <m/>
    <s v="83407 op 82500"/>
    <s v="asfalt nu A'dam"/>
    <s v="30 op 77"/>
    <m/>
    <m/>
  </r>
  <r>
    <s v="Heijmans"/>
    <x v="0"/>
    <n v="31142564"/>
    <n v="2"/>
    <s v="1HRR"/>
    <m/>
    <n v="73.025000000000006"/>
    <n v="73.09"/>
    <s v="1I-R"/>
    <m/>
    <n v="73.025000000000006"/>
    <n v="73.09"/>
    <x v="0"/>
    <m/>
    <d v="2021-08-18T00:00:00"/>
    <m/>
    <n v="83407"/>
    <s v="asfalt nu A'dam"/>
    <n v="30"/>
    <m/>
    <m/>
  </r>
  <r>
    <s v="Heijmans"/>
    <x v="0"/>
    <n v="31142564"/>
    <n v="2"/>
    <s v="0VW"/>
    <s v="c"/>
    <n v="72.63"/>
    <n v="72.575000000000003"/>
    <s v="1R-L"/>
    <m/>
    <n v="72.575000000000003"/>
    <n v="72.63"/>
    <x v="4"/>
    <s v="AC bind 20356 42T"/>
    <d v="2021-08-31T00:00:00"/>
    <s v="0/11"/>
    <n v="88407"/>
    <s v="asfalt nu A'dam"/>
    <n v="24"/>
    <m/>
    <m/>
  </r>
  <r>
    <s v="Heijmans"/>
    <x v="0"/>
    <n v="31142564"/>
    <n v="2"/>
    <s v="1HRL"/>
    <m/>
    <n v="72.2"/>
    <n v="72.03"/>
    <s v="4R-L"/>
    <m/>
    <n v="72.03"/>
    <n v="72.2"/>
    <x v="0"/>
    <m/>
    <d v="2021-08-31T00:00:00"/>
    <m/>
    <n v="83407"/>
    <s v="asfalt nu A'dam"/>
    <s v=" "/>
    <m/>
    <m/>
  </r>
  <r>
    <s v="Heijmans"/>
    <x v="0"/>
    <n v="31142564"/>
    <n v="2"/>
    <s v="1HRL"/>
    <m/>
    <n v="72.17"/>
    <n v="72.03"/>
    <s v="1W-L"/>
    <m/>
    <n v="72.03"/>
    <n v="72.17"/>
    <x v="0"/>
    <m/>
    <d v="2021-08-31T00:00:00"/>
    <m/>
    <n v="83407"/>
    <s v="asfalt nu A'dam"/>
    <m/>
    <m/>
    <m/>
  </r>
  <r>
    <s v="Heijmans"/>
    <x v="0"/>
    <n v="31142564"/>
    <n v="2"/>
    <s v="1HRL"/>
    <m/>
    <n v="72.03"/>
    <n v="71.599999999999994"/>
    <s v="4R-L"/>
    <m/>
    <n v="71.599999999999994"/>
    <n v="72.03"/>
    <x v="3"/>
    <m/>
    <d v="2021-08-31T00:00:00"/>
    <m/>
    <s v="83407 op 82500"/>
    <s v="asfalt nu A'dam"/>
    <s v="samen 380 op 415"/>
    <m/>
    <m/>
  </r>
  <r>
    <s v="Heijmans"/>
    <x v="0"/>
    <n v="31142564"/>
    <n v="2"/>
    <s v="1HRL"/>
    <m/>
    <n v="72.03"/>
    <n v="71.599999999999994"/>
    <s v="1W-L"/>
    <m/>
    <n v="71.599999999999994"/>
    <n v="72.03"/>
    <x v="3"/>
    <m/>
    <d v="2021-08-31T00:00:00"/>
    <m/>
    <s v="83407 op 82500"/>
    <s v="asfalt nu A'dam"/>
    <m/>
    <m/>
    <m/>
  </r>
  <r>
    <s v="Heijmans"/>
    <x v="0"/>
    <n v="31142564"/>
    <n v="2"/>
    <s v="1HRL"/>
    <m/>
    <n v="71.599999999999994"/>
    <n v="71.3"/>
    <s v="4R-L"/>
    <m/>
    <n v="71.3"/>
    <n v="71.599999999999994"/>
    <x v="3"/>
    <m/>
    <d v="2021-08-31T00:00:00"/>
    <m/>
    <s v="83407 op 82500"/>
    <s v="asfalt nu A'dam"/>
    <m/>
    <m/>
    <m/>
  </r>
  <r>
    <s v="Heijmans"/>
    <x v="0"/>
    <n v="31142564"/>
    <n v="2"/>
    <s v="1HRL"/>
    <m/>
    <n v="71.3"/>
    <n v="70.900000000000006"/>
    <s v="4R-L"/>
    <m/>
    <n v="70.900000000000006"/>
    <n v="71.3"/>
    <x v="0"/>
    <m/>
    <d v="2021-08-31T00:00:00"/>
    <m/>
    <n v="83407"/>
    <s v="asfalt nu A'dam"/>
    <m/>
    <m/>
    <m/>
  </r>
  <r>
    <s v="Heijmans"/>
    <x v="0"/>
    <n v="31142564"/>
    <n v="2"/>
    <s v="0VW"/>
    <s v="c"/>
    <n v="70.95"/>
    <n v="70.685000000000002"/>
    <m/>
    <s v="ALLE"/>
    <n v="70.685000000000002"/>
    <n v="70.95"/>
    <x v="4"/>
    <s v="Ac bind 20356 150t"/>
    <d v="2021-08-31T00:00:00"/>
    <s v="0/11"/>
    <n v="88407"/>
    <s v="asfalt nu A'dam"/>
    <n v="210"/>
    <m/>
    <m/>
  </r>
  <r>
    <s v="Heijmans"/>
    <x v="0"/>
    <n v="31142564"/>
    <n v="2"/>
    <s v="1HRL"/>
    <m/>
    <n v="68.7"/>
    <n v="68.599999999999994"/>
    <s v="4R-L"/>
    <m/>
    <n v="68.599999999999994"/>
    <n v="68.7"/>
    <x v="0"/>
    <m/>
    <d v="2021-09-14T00:00:00"/>
    <m/>
    <n v="83407"/>
    <s v="asfalt nu A'dam"/>
    <s v=" samen 360"/>
    <m/>
    <m/>
  </r>
  <r>
    <s v="Heijmans"/>
    <x v="0"/>
    <n v="31142564"/>
    <n v="2"/>
    <s v="1HRL"/>
    <m/>
    <n v="68.7"/>
    <n v="68.5"/>
    <s v="1U-L"/>
    <m/>
    <n v="68.5"/>
    <n v="68.7"/>
    <x v="0"/>
    <m/>
    <d v="2021-09-14T00:00:00"/>
    <m/>
    <n v="83407"/>
    <s v="asfalt nu A'dam"/>
    <m/>
    <m/>
    <m/>
  </r>
  <r>
    <s v="Heijmans"/>
    <x v="0"/>
    <n v="31142564"/>
    <n v="2"/>
    <s v="1HRL"/>
    <m/>
    <n v="70.900000000000006"/>
    <n v="70.2"/>
    <s v="4R-L"/>
    <m/>
    <n v="70.2"/>
    <n v="70.900000000000006"/>
    <x v="0"/>
    <m/>
    <d v="2021-09-14T00:00:00"/>
    <m/>
    <n v="83407"/>
    <s v="asfalt nu A'dam"/>
    <m/>
    <m/>
    <m/>
  </r>
  <r>
    <s v="Heijmans"/>
    <x v="0"/>
    <n v="31142564"/>
    <n v="2"/>
    <s v="1HRL"/>
    <m/>
    <n v="69.8"/>
    <n v="68.7"/>
    <s v="4R-L"/>
    <m/>
    <n v="68.7"/>
    <n v="69.8"/>
    <x v="0"/>
    <m/>
    <d v="2021-09-14T00:00:00"/>
    <m/>
    <n v="83407"/>
    <s v="asfalt nu A'dam"/>
    <n v="80"/>
    <m/>
    <m/>
  </r>
  <r>
    <s v="Heijmans"/>
    <x v="0"/>
    <n v="31142564"/>
    <n v="12"/>
    <s v="1HRR"/>
    <m/>
    <n v="40.6"/>
    <n v="40.75"/>
    <s v="4R-R"/>
    <m/>
    <n v="40.6"/>
    <n v="40.75"/>
    <x v="1"/>
    <m/>
    <d v="2021-09-10T00:00:00"/>
    <m/>
    <n v="55031"/>
    <s v="asfalt nu A'dam"/>
    <n v="75"/>
    <m/>
    <m/>
  </r>
  <r>
    <s v="Heijmans"/>
    <x v="0"/>
    <n v="31142564"/>
    <n v="12"/>
    <s v="1HRR"/>
    <m/>
    <n v="41.6"/>
    <n v="41.7"/>
    <s v="1R-R"/>
    <m/>
    <n v="41.6"/>
    <n v="41.7"/>
    <x v="1"/>
    <s v="80mm ac bind 20060 90t"/>
    <d v="2021-09-10T00:00:00"/>
    <m/>
    <n v="55031"/>
    <s v="asfalt nu A'dam"/>
    <n v="50"/>
    <m/>
    <m/>
  </r>
  <r>
    <s v="Heijmans"/>
    <x v="0"/>
    <n v="31142564"/>
    <n v="12"/>
    <s v="1HRR"/>
    <m/>
    <n v="51.26"/>
    <n v="51.3"/>
    <s v="1R-R"/>
    <m/>
    <n v="51.26"/>
    <n v="51.3"/>
    <x v="1"/>
    <m/>
    <d v="2021-09-10T00:00:00"/>
    <m/>
    <n v="83407"/>
    <s v="asfalt nu A'dam"/>
    <n v="80"/>
    <m/>
    <m/>
  </r>
  <r>
    <s v="Heijmans"/>
    <x v="0"/>
    <n v="31142564"/>
    <n v="12"/>
    <s v="0VW"/>
    <s v="v"/>
    <n v="57.7"/>
    <n v="57.8"/>
    <s v="1R-R"/>
    <m/>
    <n v="57.7"/>
    <n v="57.8"/>
    <x v="4"/>
    <m/>
    <d v="2021-09-10T00:00:00"/>
    <s v="0/11"/>
    <n v="88407"/>
    <s v="asfalt nu A'dam"/>
    <n v="44"/>
    <m/>
    <m/>
  </r>
  <r>
    <s v="Heijmans"/>
    <x v="0"/>
    <n v="31142564"/>
    <n v="12"/>
    <s v="0VW"/>
    <s v="a"/>
    <n v="58.984999999999999"/>
    <n v="59.08"/>
    <m/>
    <s v="ALLE"/>
    <n v="58.984999999999999"/>
    <n v="59.08"/>
    <x v="1"/>
    <m/>
    <d v="2021-08-19T00:00:00"/>
    <m/>
    <n v="55031"/>
    <s v="asfalt nu A'dam"/>
    <n v="150"/>
    <m/>
    <m/>
  </r>
  <r>
    <s v="Heijmans"/>
    <x v="0"/>
    <n v="31142564"/>
    <n v="12"/>
    <s v="0VW"/>
    <s v="a"/>
    <n v="59.08"/>
    <n v="59.35"/>
    <m/>
    <s v="ALLE"/>
    <n v="59.08"/>
    <n v="59.35"/>
    <x v="4"/>
    <m/>
    <d v="2021-08-19T00:00:00"/>
    <m/>
    <n v="88407"/>
    <s v="asfalt nu A'dam"/>
    <n v="277"/>
    <m/>
    <m/>
  </r>
  <r>
    <s v="Heijmans"/>
    <x v="0"/>
    <n v="31142564"/>
    <n v="12"/>
    <s v="0VW"/>
    <s v="y"/>
    <n v="62.475000000000001"/>
    <n v="62.4"/>
    <s v="2R-L"/>
    <m/>
    <n v="62.4"/>
    <n v="62.475000000000001"/>
    <x v="2"/>
    <m/>
    <d v="2021-09-14T00:00:00"/>
    <m/>
    <n v="74408"/>
    <s v="asfalt nu A'dam"/>
    <n v="50"/>
    <m/>
    <m/>
  </r>
  <r>
    <s v="Heijmans"/>
    <x v="0"/>
    <n v="31142564"/>
    <n v="12"/>
    <s v="0VW"/>
    <s v="u"/>
    <n v="57.61"/>
    <n v="57.5"/>
    <s v="4R-L"/>
    <m/>
    <n v="57.5"/>
    <n v="57.61"/>
    <x v="1"/>
    <m/>
    <d v="2021-09-14T00:00:00"/>
    <m/>
    <n v="55031"/>
    <s v="asfalt nu A'dam"/>
    <n v="60"/>
    <m/>
    <m/>
  </r>
  <r>
    <s v="Heijmans"/>
    <x v="0"/>
    <n v="31142564"/>
    <n v="27"/>
    <s v="1HRR"/>
    <m/>
    <n v="104.3"/>
    <n v="104.5"/>
    <s v="2R-R"/>
    <m/>
    <n v="104.3"/>
    <n v="104.5"/>
    <x v="1"/>
    <m/>
    <d v="2021-09-10T00:00:00"/>
    <m/>
    <n v="55031"/>
    <s v="asfalt nu A'dam"/>
    <n v="92"/>
    <m/>
    <m/>
  </r>
  <r>
    <s v="Heijmans"/>
    <x v="0"/>
    <n v="31142564"/>
    <n v="27"/>
    <s v="1HRR"/>
    <m/>
    <n v="105.9"/>
    <n v="106"/>
    <s v="1R-R"/>
    <m/>
    <n v="105.9"/>
    <n v="106"/>
    <x v="1"/>
    <m/>
    <d v="2021-09-10T00:00:00"/>
    <m/>
    <n v="55031"/>
    <s v="asfalt nu A'dam"/>
    <n v="53"/>
    <m/>
    <m/>
  </r>
  <r>
    <s v="Heijmans"/>
    <x v="0"/>
    <n v="31142564"/>
    <n v="27"/>
    <s v="1HRR"/>
    <m/>
    <n v="106.8"/>
    <n v="107"/>
    <s v="1R-R"/>
    <m/>
    <n v="106.8"/>
    <n v="107"/>
    <x v="1"/>
    <m/>
    <d v="2021-09-10T00:00:00"/>
    <m/>
    <n v="55031"/>
    <s v="asfalt nu A'dam"/>
    <n v="107"/>
    <m/>
    <m/>
  </r>
  <r>
    <s v="Heijmans"/>
    <x v="0"/>
    <n v="31142564"/>
    <n v="27"/>
    <s v="0VW"/>
    <s v="c"/>
    <n v="103.64"/>
    <n v="103.28"/>
    <m/>
    <s v="ALLE"/>
    <n v="103.28"/>
    <n v="103.64"/>
    <x v="2"/>
    <m/>
    <d v="2021-09-09T00:00:00"/>
    <m/>
    <n v="74300"/>
    <s v="asfalt nu A'dam"/>
    <n v="330"/>
    <m/>
    <m/>
  </r>
  <r>
    <s v="Heijmans"/>
    <x v="0"/>
    <n v="31142564"/>
    <n v="27"/>
    <s v="1HRL"/>
    <m/>
    <n v="103.9"/>
    <n v="103.8"/>
    <s v="2R-L"/>
    <m/>
    <n v="103.8"/>
    <n v="103.9"/>
    <x v="1"/>
    <m/>
    <d v="2021-09-09T00:00:00"/>
    <m/>
    <n v="55031"/>
    <s v="asfalt nu A'dam"/>
    <n v="54"/>
    <m/>
    <m/>
  </r>
  <r>
    <s v="Heijmans"/>
    <x v="0"/>
    <n v="31142564"/>
    <n v="28"/>
    <s v="0VW"/>
    <s v="v"/>
    <n v="27.875"/>
    <n v="28"/>
    <s v="1R-R"/>
    <m/>
    <n v="27.875"/>
    <n v="28"/>
    <x v="2"/>
    <m/>
    <d v="2021-09-09T00:00:00"/>
    <m/>
    <n v="74300"/>
    <s v="asfalt nu A'dam"/>
    <n v="70"/>
    <m/>
    <m/>
  </r>
  <r>
    <s v="Heijmans"/>
    <x v="0"/>
    <n v="31142564"/>
    <n v="2"/>
    <s v="0VW"/>
    <s v="m"/>
    <n v="64.13"/>
    <n v="64.2"/>
    <s v="1R-R"/>
    <m/>
    <n v="64.13"/>
    <n v="64.2"/>
    <x v="0"/>
    <m/>
    <d v="2021-10-19T00:00:00"/>
    <m/>
    <n v="83407"/>
    <s v="asfalt nu A'dam"/>
    <n v="180"/>
    <m/>
    <m/>
  </r>
  <r>
    <s v="Heijmans"/>
    <x v="0"/>
    <n v="31142564"/>
    <n v="2"/>
    <s v="0VW"/>
    <s v="m"/>
    <n v="64.13"/>
    <n v="64.349999999999994"/>
    <s v="2R-R"/>
    <m/>
    <n v="64.13"/>
    <n v="64.349999999999994"/>
    <x v="0"/>
    <m/>
    <d v="2021-10-19T00:00:00"/>
    <m/>
    <n v="83407"/>
    <s v="asfalt nu A'dam"/>
    <m/>
    <m/>
    <m/>
  </r>
  <r>
    <s v="Heijmans"/>
    <x v="0"/>
    <n v="31142564"/>
    <n v="2"/>
    <s v="0VW"/>
    <s v="m"/>
    <n v="64.17"/>
    <n v="64.349999999999994"/>
    <s v="3R-R"/>
    <m/>
    <n v="64.17"/>
    <n v="64.349999999999994"/>
    <x v="0"/>
    <m/>
    <d v="2021-10-19T00:00:00"/>
    <m/>
    <n v="83407"/>
    <s v="asfalt nu A'dam"/>
    <m/>
    <m/>
    <m/>
  </r>
  <r>
    <s v="Heijmans"/>
    <x v="0"/>
    <n v="31142564"/>
    <n v="2"/>
    <s v="1HRR"/>
    <m/>
    <n v="64.349999999999994"/>
    <n v="64.5"/>
    <s v="4R-R"/>
    <m/>
    <n v="64.349999999999994"/>
    <n v="64.5"/>
    <x v="0"/>
    <m/>
    <d v="2021-10-20T00:00:00"/>
    <m/>
    <n v="83407"/>
    <s v="asfalt nu A'dam"/>
    <n v="340"/>
    <m/>
    <m/>
  </r>
  <r>
    <s v="Heijmans"/>
    <x v="0"/>
    <n v="31142564"/>
    <n v="2"/>
    <s v="1HRR"/>
    <m/>
    <n v="64.349999999999994"/>
    <n v="64.5"/>
    <s v="5R-R"/>
    <m/>
    <n v="64.349999999999994"/>
    <n v="64.5"/>
    <x v="0"/>
    <m/>
    <d v="2021-10-20T00:00:00"/>
    <m/>
    <n v="83407"/>
    <s v="asfalt nu A'dam"/>
    <m/>
    <m/>
    <m/>
  </r>
  <r>
    <s v="Heijmans"/>
    <x v="0"/>
    <n v="31142564"/>
    <n v="2"/>
    <s v="1HRR"/>
    <m/>
    <n v="64.7"/>
    <n v="65.5"/>
    <s v="4R-R"/>
    <m/>
    <n v="64.7"/>
    <n v="65.5"/>
    <x v="0"/>
    <m/>
    <d v="2021-10-20T00:00:00"/>
    <m/>
    <n v="83407"/>
    <s v="asfalt nu A'dam"/>
    <m/>
    <m/>
    <m/>
  </r>
  <r>
    <s v="Heijmans"/>
    <x v="0"/>
    <n v="31142564"/>
    <n v="2"/>
    <s v="1HRR"/>
    <m/>
    <n v="64.7"/>
    <n v="65.5"/>
    <s v="5R-R"/>
    <m/>
    <n v="64.7"/>
    <n v="65.5"/>
    <x v="0"/>
    <m/>
    <d v="2021-10-20T00:00:00"/>
    <m/>
    <n v="83407"/>
    <s v="asfalt nu A'dam"/>
    <m/>
    <m/>
    <m/>
  </r>
  <r>
    <s v="Heijmans"/>
    <x v="0"/>
    <n v="31142564"/>
    <n v="2"/>
    <s v="0VW"/>
    <s v="a"/>
    <n v="68.63"/>
    <n v="68.915000000000006"/>
    <m/>
    <s v="ALLE"/>
    <n v="68.63"/>
    <n v="68.915000000000006"/>
    <x v="4"/>
    <s v="ac 22 bind base 20356 691t, ac 22 base 65mm, 20060 82t"/>
    <d v="2021-09-13T00:00:00"/>
    <m/>
    <n v="88407"/>
    <s v="asfalt nu A'dam"/>
    <n v="433"/>
    <m/>
    <m/>
  </r>
  <r>
    <s v="Heijmans"/>
    <x v="0"/>
    <n v="31142564"/>
    <n v="2"/>
    <s v="1HRR"/>
    <m/>
    <n v="68.8"/>
    <n v="69.099999999999994"/>
    <s v="4R-R"/>
    <m/>
    <n v="68.8"/>
    <n v="69.099999999999994"/>
    <x v="0"/>
    <m/>
    <d v="2021-10-18T00:00:00"/>
    <m/>
    <n v="83407"/>
    <s v="asfalt nu A'dam"/>
    <n v="37"/>
    <m/>
    <m/>
  </r>
  <r>
    <s v="Heijmans"/>
    <x v="0"/>
    <n v="31142564"/>
    <n v="2"/>
    <s v="1HRR"/>
    <m/>
    <n v="68.875"/>
    <n v="69.099999999999994"/>
    <s v="1I-R"/>
    <m/>
    <n v="68.875"/>
    <n v="69.099999999999994"/>
    <x v="0"/>
    <m/>
    <d v="2021-10-18T00:00:00"/>
    <m/>
    <n v="83407"/>
    <s v="asfalt nu A'dam"/>
    <n v="140"/>
    <m/>
    <m/>
  </r>
  <r>
    <s v="Heijmans"/>
    <x v="0"/>
    <n v="31142564"/>
    <n v="2"/>
    <s v="1HRR"/>
    <m/>
    <n v="69.55"/>
    <n v="70.89"/>
    <s v="4R-R"/>
    <m/>
    <n v="69.55"/>
    <n v="70.89"/>
    <x v="0"/>
    <m/>
    <d v="2021-10-18T00:00:00"/>
    <m/>
    <n v="83407"/>
    <s v="asfalt nu A'dam"/>
    <n v="301"/>
    <m/>
    <m/>
  </r>
  <r>
    <s v="Heijmans"/>
    <x v="0"/>
    <n v="31142564"/>
    <n v="2"/>
    <s v="0VW"/>
    <s v="a"/>
    <n v="72.400000000000006"/>
    <n v="72.564999999999998"/>
    <m/>
    <s v="ALLE"/>
    <n v="72.400000000000006"/>
    <n v="72.564999999999998"/>
    <x v="4"/>
    <m/>
    <d v="2021-09-09T00:00:00"/>
    <s v="0/11"/>
    <n v="88407"/>
    <s v="asfalt nu A'dam"/>
    <n v="213"/>
    <m/>
    <m/>
  </r>
  <r>
    <s v="Heijmans"/>
    <x v="0"/>
    <n v="31142564"/>
    <n v="2"/>
    <s v="1HRR"/>
    <m/>
    <n v="75.66"/>
    <n v="75.760000000000005"/>
    <m/>
    <s v="ALLE"/>
    <n v="75.66"/>
    <n v="75.760000000000005"/>
    <x v="3"/>
    <m/>
    <d v="2021-11-15T00:00:00"/>
    <m/>
    <s v="82807 op 82500"/>
    <s v="asfalt nu A'dam"/>
    <s v="172 op 315"/>
    <m/>
    <m/>
  </r>
  <r>
    <s v="Heijmans"/>
    <x v="0"/>
    <n v="31142564"/>
    <n v="2"/>
    <s v="1HRR"/>
    <m/>
    <n v="77.185000000000002"/>
    <n v="77.400000000000006"/>
    <s v="2R-R"/>
    <m/>
    <n v="77.185000000000002"/>
    <n v="77.400000000000006"/>
    <x v="3"/>
    <m/>
    <d v="2021-11-15T00:00:00"/>
    <m/>
    <s v="82807 op 82500"/>
    <s v="asfalt nu A'dam"/>
    <m/>
    <m/>
    <m/>
  </r>
  <r>
    <s v="Heijmans"/>
    <x v="0"/>
    <n v="31142564"/>
    <n v="2"/>
    <s v="1HRR"/>
    <m/>
    <n v="77.185000000000002"/>
    <n v="77.400000000000006"/>
    <s v="3R-R"/>
    <m/>
    <n v="77.185000000000002"/>
    <n v="77.400000000000006"/>
    <x v="3"/>
    <m/>
    <d v="2021-11-15T00:00:00"/>
    <m/>
    <s v="82807 op 82500"/>
    <s v="asfalt nu A'dam"/>
    <m/>
    <m/>
    <m/>
  </r>
  <r>
    <s v="Heijmans"/>
    <x v="0"/>
    <n v="31142564"/>
    <n v="2"/>
    <s v="1HRR"/>
    <m/>
    <n v="81.599999999999994"/>
    <n v="82.79"/>
    <s v="4R-R"/>
    <m/>
    <n v="81.599999999999994"/>
    <n v="82.79"/>
    <x v="0"/>
    <m/>
    <d v="2021-09-28T00:00:00"/>
    <m/>
    <n v="82807"/>
    <s v="Asfalt nu DB"/>
    <n v="440"/>
    <m/>
    <m/>
  </r>
  <r>
    <s v="Heijmans"/>
    <x v="0"/>
    <n v="31142564"/>
    <n v="2"/>
    <s v="1HRR"/>
    <m/>
    <n v="82.79"/>
    <n v="83.5"/>
    <s v="4R-R"/>
    <m/>
    <n v="82.79"/>
    <n v="83.5"/>
    <x v="3"/>
    <m/>
    <d v="2021-09-28T00:00:00"/>
    <m/>
    <s v="82807 op 82500"/>
    <s v="Asfalt nu DB"/>
    <s v="690 op 785  "/>
    <m/>
    <m/>
  </r>
  <r>
    <s v="Heijmans"/>
    <x v="0"/>
    <n v="31142564"/>
    <n v="2"/>
    <s v="1HRR"/>
    <m/>
    <n v="83.5"/>
    <n v="83.9"/>
    <s v="4R-R"/>
    <m/>
    <n v="83.5"/>
    <n v="83.9"/>
    <x v="0"/>
    <m/>
    <d v="2021-09-28T00:00:00"/>
    <m/>
    <n v="82807"/>
    <s v="Asfalt nu DB"/>
    <m/>
    <m/>
    <m/>
  </r>
  <r>
    <s v="Heijmans"/>
    <x v="0"/>
    <n v="31142564"/>
    <n v="2"/>
    <s v="1HRR"/>
    <m/>
    <n v="83.9"/>
    <n v="84.15"/>
    <s v="4R-R"/>
    <m/>
    <n v="83.9"/>
    <n v="84.15"/>
    <x v="3"/>
    <m/>
    <d v="2021-09-28T00:00:00"/>
    <m/>
    <s v="82807 op 82500"/>
    <s v="Asfalt nu DB"/>
    <m/>
    <m/>
    <m/>
  </r>
  <r>
    <s v="Heijmans"/>
    <x v="0"/>
    <n v="31142564"/>
    <n v="2"/>
    <s v="1HRR"/>
    <m/>
    <n v="84.15"/>
    <n v="84.82"/>
    <s v="4R-R"/>
    <m/>
    <n v="84.15"/>
    <n v="84.82"/>
    <x v="0"/>
    <m/>
    <d v="2021-09-28T00:00:00"/>
    <m/>
    <n v="82807"/>
    <s v="Asfalt nu DB"/>
    <m/>
    <m/>
    <m/>
  </r>
  <r>
    <s v="Heijmans"/>
    <x v="0"/>
    <n v="31142564"/>
    <n v="2"/>
    <s v="1HRR"/>
    <m/>
    <n v="84.82"/>
    <n v="85.06"/>
    <s v="4R-R"/>
    <m/>
    <n v="84.82"/>
    <n v="85.06"/>
    <x v="3"/>
    <m/>
    <d v="2021-09-28T00:00:00"/>
    <m/>
    <s v="82807 op 82500"/>
    <s v="Asfalt nu DB"/>
    <m/>
    <m/>
    <m/>
  </r>
  <r>
    <s v="Heijmans"/>
    <x v="0"/>
    <n v="31142564"/>
    <n v="2"/>
    <s v="1HRR"/>
    <m/>
    <n v="85.06"/>
    <n v="85.12"/>
    <s v="4R-R"/>
    <m/>
    <n v="85.06"/>
    <n v="85.12"/>
    <x v="0"/>
    <m/>
    <d v="2021-09-28T00:00:00"/>
    <m/>
    <n v="82807"/>
    <s v="Asfalt nu DB"/>
    <m/>
    <m/>
    <m/>
  </r>
  <r>
    <s v="Heijmans"/>
    <x v="0"/>
    <n v="31142564"/>
    <n v="2"/>
    <s v="1HRR"/>
    <m/>
    <n v="85.12"/>
    <n v="85.2"/>
    <s v="4R-R"/>
    <m/>
    <n v="85.12"/>
    <n v="85.2"/>
    <x v="3"/>
    <m/>
    <d v="2021-09-28T00:00:00"/>
    <m/>
    <s v="82807 op 82500"/>
    <s v="Asfalt nu DB"/>
    <m/>
    <m/>
    <m/>
  </r>
  <r>
    <s v="Heijmans"/>
    <x v="0"/>
    <n v="31142564"/>
    <n v="2"/>
    <s v="1HRR"/>
    <m/>
    <n v="85.2"/>
    <n v="85.5"/>
    <s v="4R-R"/>
    <m/>
    <n v="85.2"/>
    <n v="85.5"/>
    <x v="0"/>
    <m/>
    <d v="2021-09-28T00:00:00"/>
    <m/>
    <n v="82807"/>
    <s v="Asfalt nu DB"/>
    <m/>
    <m/>
    <m/>
  </r>
  <r>
    <s v="Heijmans"/>
    <x v="0"/>
    <n v="31142564"/>
    <n v="2"/>
    <s v="1HRR"/>
    <m/>
    <n v="83.26"/>
    <n v="83.33"/>
    <s v="1V-R"/>
    <m/>
    <n v="83.26"/>
    <n v="83.33"/>
    <x v="3"/>
    <m/>
    <d v="2021-09-28T00:00:00"/>
    <m/>
    <s v="82807 op 82500"/>
    <s v="Asfalt nu DB"/>
    <m/>
    <m/>
    <m/>
  </r>
  <r>
    <s v="Heijmans"/>
    <x v="0"/>
    <n v="31142564"/>
    <n v="2"/>
    <s v="1HRR"/>
    <m/>
    <n v="83.84"/>
    <n v="84.1"/>
    <s v="1W-R"/>
    <m/>
    <n v="83.84"/>
    <n v="84.1"/>
    <x v="0"/>
    <m/>
    <d v="2021-09-28T00:00:00"/>
    <m/>
    <n v="82807"/>
    <s v="Asfalt nu DB"/>
    <m/>
    <m/>
    <m/>
  </r>
  <r>
    <s v="Heijmans"/>
    <x v="0"/>
    <n v="31142564"/>
    <n v="2"/>
    <s v="1HRR"/>
    <m/>
    <n v="84.6"/>
    <n v="84.82"/>
    <s v="1W-R"/>
    <m/>
    <n v="84.6"/>
    <n v="84.82"/>
    <x v="0"/>
    <m/>
    <d v="2021-09-28T00:00:00"/>
    <m/>
    <n v="82807"/>
    <s v="Asfalt nu DB"/>
    <m/>
    <m/>
    <m/>
  </r>
  <r>
    <s v="Heijmans"/>
    <x v="0"/>
    <n v="31142564"/>
    <n v="2"/>
    <s v="1HRR"/>
    <m/>
    <n v="84.82"/>
    <n v="85.06"/>
    <s v="1W-R"/>
    <m/>
    <n v="84.82"/>
    <n v="85.06"/>
    <x v="3"/>
    <m/>
    <d v="2021-09-28T00:00:00"/>
    <m/>
    <s v="82807 op 82500"/>
    <s v="Asfalt nu DB"/>
    <m/>
    <m/>
    <m/>
  </r>
  <r>
    <s v="Heijmans"/>
    <x v="0"/>
    <n v="31142564"/>
    <n v="2"/>
    <s v="1HRR"/>
    <m/>
    <n v="85.06"/>
    <n v="85.12"/>
    <s v="1W-R"/>
    <m/>
    <n v="85.06"/>
    <n v="85.12"/>
    <x v="0"/>
    <m/>
    <d v="2021-09-28T00:00:00"/>
    <m/>
    <n v="82807"/>
    <s v="Asfalt nu DB"/>
    <m/>
    <m/>
    <m/>
  </r>
  <r>
    <s v="Heijmans"/>
    <x v="0"/>
    <n v="31142564"/>
    <n v="2"/>
    <s v="1HRR"/>
    <m/>
    <n v="85.12"/>
    <n v="85.2"/>
    <s v="1W-R"/>
    <m/>
    <n v="85.12"/>
    <n v="85.2"/>
    <x v="3"/>
    <m/>
    <d v="2021-09-28T00:00:00"/>
    <m/>
    <s v="82807 op 82500"/>
    <s v="Asfalt nu DB"/>
    <m/>
    <m/>
    <m/>
  </r>
  <r>
    <s v="Heijmans"/>
    <x v="0"/>
    <n v="31142564"/>
    <n v="2"/>
    <s v="1HRR"/>
    <m/>
    <n v="85.5"/>
    <n v="88.3"/>
    <s v="4R-R"/>
    <m/>
    <n v="85.5"/>
    <n v="88.3"/>
    <x v="0"/>
    <m/>
    <d v="2021-09-28T00:00:00"/>
    <m/>
    <n v="82807"/>
    <s v="Asfalt nu DB"/>
    <n v="551"/>
    <m/>
    <m/>
  </r>
  <r>
    <s v="Heijmans"/>
    <x v="0"/>
    <n v="31142564"/>
    <n v="2"/>
    <s v="1HRR"/>
    <m/>
    <n v="85.5"/>
    <n v="85.6"/>
    <s v="1I-R"/>
    <m/>
    <n v="85.5"/>
    <n v="85.6"/>
    <x v="0"/>
    <m/>
    <d v="2021-09-28T00:00:00"/>
    <m/>
    <m/>
    <s v="Asfalt nu DB"/>
    <m/>
    <m/>
    <m/>
  </r>
  <r>
    <s v="Heijmans"/>
    <x v="0"/>
    <n v="31142564"/>
    <n v="2"/>
    <s v="1HRR"/>
    <m/>
    <n v="88.3"/>
    <n v="88.5"/>
    <s v="3R-R"/>
    <m/>
    <n v="88.3"/>
    <n v="88.5"/>
    <x v="0"/>
    <m/>
    <d v="2021-09-28T00:00:00"/>
    <m/>
    <n v="82807"/>
    <s v="Asfalt nu DB"/>
    <n v="128"/>
    <m/>
    <m/>
  </r>
  <r>
    <s v="Heijmans"/>
    <x v="0"/>
    <n v="31142564"/>
    <n v="2"/>
    <s v="1HRR"/>
    <m/>
    <n v="88.3"/>
    <n v="88.5"/>
    <s v="4R-R"/>
    <m/>
    <n v="88.3"/>
    <n v="88.5"/>
    <x v="0"/>
    <m/>
    <d v="2021-09-28T00:00:00"/>
    <m/>
    <n v="82807"/>
    <s v="Asfalt nu DB"/>
    <m/>
    <m/>
    <m/>
  </r>
  <r>
    <s v="Heijmans"/>
    <x v="0"/>
    <n v="31142564"/>
    <n v="2"/>
    <s v="1HRR"/>
    <m/>
    <n v="88.3"/>
    <n v="88.5"/>
    <s v="5R-R"/>
    <m/>
    <n v="88.3"/>
    <n v="88.5"/>
    <x v="0"/>
    <m/>
    <d v="2021-09-28T00:00:00"/>
    <m/>
    <n v="82807"/>
    <s v="Asfalt nu DB"/>
    <m/>
    <m/>
    <m/>
  </r>
  <r>
    <s v="Heijmans"/>
    <x v="0"/>
    <n v="31142564"/>
    <n v="2"/>
    <s v="1HRR"/>
    <m/>
    <n v="88.5"/>
    <n v="89.3"/>
    <s v="3R-R"/>
    <m/>
    <n v="88.5"/>
    <n v="89.3"/>
    <x v="0"/>
    <m/>
    <d v="2021-09-28T00:00:00"/>
    <m/>
    <n v="82807"/>
    <s v="Asfalt nu DB"/>
    <m/>
    <m/>
    <m/>
  </r>
  <r>
    <s v="Heijmans"/>
    <x v="0"/>
    <n v="31142564"/>
    <n v="2"/>
    <s v="1HRR"/>
    <m/>
    <n v="88.5"/>
    <n v="89.3"/>
    <s v="1U-R"/>
    <m/>
    <n v="88.5"/>
    <n v="89.3"/>
    <x v="0"/>
    <m/>
    <d v="2021-09-28T00:00:00"/>
    <m/>
    <n v="82807"/>
    <s v="Asfalt nu DB"/>
    <m/>
    <m/>
    <m/>
  </r>
  <r>
    <s v="Heijmans"/>
    <x v="0"/>
    <n v="31142564"/>
    <n v="2"/>
    <s v="1HRR"/>
    <m/>
    <n v="88.5"/>
    <n v="89.3"/>
    <s v="2U-R"/>
    <m/>
    <n v="88.5"/>
    <n v="89.3"/>
    <x v="0"/>
    <m/>
    <d v="2021-09-28T00:00:00"/>
    <m/>
    <n v="82807"/>
    <s v="Asfalt nu DB"/>
    <m/>
    <m/>
    <m/>
  </r>
  <r>
    <s v="Heijmans"/>
    <x v="0"/>
    <n v="31142564"/>
    <n v="2"/>
    <s v="0VW"/>
    <s v="g"/>
    <n v="63.8"/>
    <n v="63.9"/>
    <s v="2R-R"/>
    <m/>
    <n v="63.8"/>
    <n v="63.9"/>
    <x v="1"/>
    <m/>
    <d v="2021-09-30T00:00:00"/>
    <m/>
    <n v="55031"/>
    <s v="Asfalt nu DB"/>
    <n v="55"/>
    <m/>
    <m/>
  </r>
  <r>
    <s v="Heijmans"/>
    <x v="0"/>
    <n v="31142564"/>
    <n v="2"/>
    <s v="1HRL"/>
    <m/>
    <n v="67.8"/>
    <n v="67.599999999999994"/>
    <s v="4R-L"/>
    <m/>
    <n v="67.599999999999994"/>
    <n v="67.8"/>
    <x v="0"/>
    <m/>
    <d v="2021-10-18T00:00:00"/>
    <m/>
    <n v="83407"/>
    <s v="asfalt nu A'dam"/>
    <n v="83"/>
    <m/>
    <m/>
  </r>
  <r>
    <s v="Heijmans"/>
    <x v="0"/>
    <n v="31142564"/>
    <n v="2"/>
    <s v="1HRL"/>
    <m/>
    <n v="67.8"/>
    <n v="67.599999999999994"/>
    <s v="5R-L"/>
    <m/>
    <n v="67.599999999999994"/>
    <n v="67.8"/>
    <x v="0"/>
    <m/>
    <d v="2021-10-18T00:00:00"/>
    <m/>
    <n v="83407"/>
    <s v="asfalt nu A'dam"/>
    <m/>
    <m/>
    <m/>
  </r>
  <r>
    <s v="Heijmans"/>
    <x v="0"/>
    <n v="31142564"/>
    <n v="2"/>
    <s v="0VW"/>
    <s v="h"/>
    <n v="65.84"/>
    <n v="65.55"/>
    <s v="2R-L"/>
    <m/>
    <n v="65.55"/>
    <n v="65.84"/>
    <x v="3"/>
    <m/>
    <d v="2021-11-03T00:00:00"/>
    <m/>
    <s v="83407 op 82500"/>
    <s v="asfalt nu A'dam"/>
    <s v="75 op 120"/>
    <m/>
    <m/>
  </r>
  <r>
    <s v="Heijmans"/>
    <x v="0"/>
    <n v="31142564"/>
    <n v="12"/>
    <s v="0VW"/>
    <s v="a"/>
    <n v="60.03"/>
    <n v="60.13"/>
    <m/>
    <s v="ALLE"/>
    <n v="60.03"/>
    <n v="60.13"/>
    <x v="4"/>
    <m/>
    <d v="2021-09-10T00:00:00"/>
    <s v="0/11"/>
    <n v="88407"/>
    <s v="asfalt nu A'dam"/>
    <n v="145"/>
    <m/>
    <m/>
  </r>
  <r>
    <s v="Heijmans"/>
    <x v="0"/>
    <n v="31142564"/>
    <n v="12"/>
    <s v="1HRL"/>
    <m/>
    <n v="61"/>
    <n v="60.5"/>
    <s v="3R-L"/>
    <m/>
    <n v="60.5"/>
    <n v="61"/>
    <x v="5"/>
    <m/>
    <d v="2021-10-18T00:00:00"/>
    <m/>
    <n v="83407"/>
    <s v="asfalt nu A'dam"/>
    <n v="119"/>
    <m/>
    <m/>
  </r>
  <r>
    <s v="Heijmans"/>
    <x v="0"/>
    <n v="31142564"/>
    <n v="12"/>
    <s v="0VW"/>
    <s v="s"/>
    <n v="58.4"/>
    <n v="58.2"/>
    <s v="2R-L"/>
    <m/>
    <n v="58.2"/>
    <n v="58.4"/>
    <x v="1"/>
    <m/>
    <d v="2021-09-14T00:00:00"/>
    <m/>
    <n v="55031"/>
    <s v="asfalt nu A'dam"/>
    <n v="94"/>
    <m/>
    <m/>
  </r>
  <r>
    <s v="Heijmans"/>
    <x v="0"/>
    <n v="31142564"/>
    <n v="12"/>
    <s v="1HRL"/>
    <m/>
    <n v="57.2"/>
    <n v="57.1"/>
    <s v="2R-L"/>
    <m/>
    <n v="57.1"/>
    <n v="57.2"/>
    <x v="5"/>
    <m/>
    <d v="2021-09-30T00:00:00"/>
    <m/>
    <n v="83407"/>
    <s v="A nu Zwijndrecht"/>
    <n v="175"/>
    <m/>
    <m/>
  </r>
  <r>
    <s v="Heijmans"/>
    <x v="0"/>
    <n v="31142564"/>
    <n v="12"/>
    <s v="1HRL"/>
    <m/>
    <n v="57.2"/>
    <n v="57"/>
    <s v="3R-L"/>
    <m/>
    <n v="57"/>
    <n v="57.2"/>
    <x v="5"/>
    <m/>
    <d v="2021-09-30T00:00:00"/>
    <m/>
    <n v="83407"/>
    <s v="A nu Zwijndrecht"/>
    <m/>
    <m/>
    <m/>
  </r>
  <r>
    <s v="Heijmans"/>
    <x v="0"/>
    <n v="31142564"/>
    <n v="12"/>
    <s v="1HRL"/>
    <m/>
    <n v="56.91"/>
    <n v="56.5"/>
    <s v="3R-L"/>
    <m/>
    <n v="56.5"/>
    <n v="56.91"/>
    <x v="5"/>
    <m/>
    <d v="2021-09-30T00:00:00"/>
    <m/>
    <n v="83407"/>
    <s v="A nu Zwijndrecht"/>
    <m/>
    <m/>
    <m/>
  </r>
  <r>
    <s v="Heijmans"/>
    <x v="0"/>
    <n v="31142564"/>
    <n v="12"/>
    <s v="1HRL"/>
    <m/>
    <n v="55.9"/>
    <n v="55.7"/>
    <s v="4R-L"/>
    <m/>
    <n v="55.7"/>
    <n v="55.9"/>
    <x v="1"/>
    <m/>
    <d v="2021-10-06T00:00:00"/>
    <m/>
    <n v="55031"/>
    <s v="A nu Zwijndrecht"/>
    <n v="955"/>
    <m/>
    <m/>
  </r>
  <r>
    <s v="Heijmans"/>
    <x v="0"/>
    <n v="31142564"/>
    <n v="12"/>
    <s v="1HRL"/>
    <m/>
    <n v="55.2"/>
    <n v="54.7"/>
    <s v="3R-L"/>
    <m/>
    <n v="54.7"/>
    <n v="55.2"/>
    <x v="1"/>
    <m/>
    <d v="2021-10-06T00:00:00"/>
    <m/>
    <n v="83407"/>
    <s v="A nu Zwijndrecht"/>
    <m/>
    <m/>
    <m/>
  </r>
  <r>
    <s v="Heijmans"/>
    <x v="0"/>
    <n v="31142564"/>
    <n v="12"/>
    <s v="1HRL"/>
    <m/>
    <n v="55.2"/>
    <n v="54.7"/>
    <s v="4R-L"/>
    <m/>
    <n v="54.7"/>
    <n v="55.2"/>
    <x v="1"/>
    <m/>
    <d v="2021-10-06T00:00:00"/>
    <m/>
    <n v="83407"/>
    <s v="A nu Zwijndrecht"/>
    <m/>
    <m/>
    <m/>
  </r>
  <r>
    <s v="Heijmans"/>
    <x v="0"/>
    <n v="31142564"/>
    <n v="12"/>
    <s v="1HRL"/>
    <m/>
    <n v="54.63"/>
    <n v="54.4"/>
    <s v="3R-L"/>
    <m/>
    <n v="54.4"/>
    <n v="54.63"/>
    <x v="1"/>
    <m/>
    <d v="2021-10-06T00:00:00"/>
    <m/>
    <n v="83407"/>
    <s v="A nu Zwijndrecht"/>
    <m/>
    <m/>
    <m/>
  </r>
  <r>
    <s v="Heijmans"/>
    <x v="0"/>
    <n v="31142564"/>
    <n v="12"/>
    <s v="1HRL"/>
    <m/>
    <n v="54.63"/>
    <n v="54.4"/>
    <s v="4R-L"/>
    <m/>
    <n v="54.4"/>
    <n v="54.63"/>
    <x v="1"/>
    <m/>
    <d v="2021-10-06T00:00:00"/>
    <m/>
    <n v="83407"/>
    <s v="A nu Zwijndrecht"/>
    <m/>
    <m/>
    <m/>
  </r>
  <r>
    <s v="Heijmans"/>
    <x v="0"/>
    <n v="31142564"/>
    <n v="12"/>
    <s v="1HRL"/>
    <m/>
    <n v="54.63"/>
    <n v="54.37"/>
    <s v="4R-L"/>
    <m/>
    <n v="54.37"/>
    <n v="54.63"/>
    <x v="1"/>
    <m/>
    <d v="2021-10-06T00:00:00"/>
    <m/>
    <n v="83407"/>
    <s v="A nu Zwijndrecht"/>
    <m/>
    <m/>
    <m/>
  </r>
  <r>
    <s v="Heijmans"/>
    <x v="0"/>
    <n v="31142564"/>
    <n v="12"/>
    <s v="1HRL"/>
    <m/>
    <n v="54.63"/>
    <n v="54.37"/>
    <s v="4R-L"/>
    <m/>
    <n v="54.37"/>
    <n v="54.63"/>
    <x v="1"/>
    <m/>
    <d v="2021-10-06T00:00:00"/>
    <m/>
    <n v="83407"/>
    <s v="A nu Zwijndrecht"/>
    <m/>
    <m/>
    <m/>
  </r>
  <r>
    <s v="Heijmans"/>
    <x v="0"/>
    <n v="31142564"/>
    <n v="12"/>
    <s v="0VW"/>
    <s v="c"/>
    <n v="51.62"/>
    <n v="51.2"/>
    <m/>
    <s v="ALLE"/>
    <n v="51.2"/>
    <n v="51.62"/>
    <x v="4"/>
    <s v="AC bind 2x 80mm, 24260,290t"/>
    <d v="2021-10-06T00:00:00"/>
    <m/>
    <n v="88407"/>
    <s v="Asfalt nu DB"/>
    <n v="270"/>
    <m/>
    <m/>
  </r>
  <r>
    <s v="Heijmans"/>
    <x v="0"/>
    <n v="31142564"/>
    <n v="2"/>
    <s v="1HRR"/>
    <m/>
    <n v="79.739999999999995"/>
    <n v="80.3"/>
    <s v="4R-R"/>
    <m/>
    <n v="79.739999999999995"/>
    <n v="80.3"/>
    <x v="3"/>
    <m/>
    <d v="2021-12-04T00:00:00"/>
    <m/>
    <s v="82807 op 82500"/>
    <s v="Asfalt nu DB"/>
    <s v="598 op 1015"/>
    <m/>
    <m/>
  </r>
  <r>
    <s v="Heijmans"/>
    <x v="0"/>
    <n v="31142564"/>
    <n v="2"/>
    <s v="1HRR"/>
    <m/>
    <n v="79.739999999999995"/>
    <n v="80.3"/>
    <s v="1W-R"/>
    <m/>
    <n v="79.739999999999995"/>
    <n v="80.3"/>
    <x v="3"/>
    <m/>
    <d v="2021-12-04T00:00:00"/>
    <m/>
    <s v="82807 op 82500"/>
    <s v="Asfalt nu DB"/>
    <m/>
    <m/>
    <m/>
  </r>
  <r>
    <s v="Heijmans"/>
    <x v="0"/>
    <n v="31142564"/>
    <n v="2"/>
    <s v="1HRR"/>
    <m/>
    <n v="80.3"/>
    <n v="80.459999999999994"/>
    <s v="4R-R"/>
    <m/>
    <n v="80.3"/>
    <n v="80.459999999999994"/>
    <x v="0"/>
    <m/>
    <d v="2021-12-04T00:00:00"/>
    <m/>
    <n v="82807"/>
    <s v="Asfalt nu DB"/>
    <m/>
    <m/>
    <m/>
  </r>
  <r>
    <s v="Heijmans"/>
    <x v="0"/>
    <n v="31142564"/>
    <n v="2"/>
    <s v="1HRR"/>
    <m/>
    <n v="80.459999999999994"/>
    <n v="80.474999999999994"/>
    <s v="4R-R"/>
    <m/>
    <n v="80.459999999999994"/>
    <n v="80.474999999999994"/>
    <x v="0"/>
    <m/>
    <d v="2021-12-04T00:00:00"/>
    <m/>
    <n v="82807"/>
    <s v="Asfalt nu DB"/>
    <m/>
    <m/>
    <m/>
  </r>
  <r>
    <s v="Heijmans"/>
    <x v="0"/>
    <n v="31142564"/>
    <n v="2"/>
    <s v="1HRR"/>
    <m/>
    <n v="80.474999999999994"/>
    <n v="81.099999999999994"/>
    <s v="4R-R"/>
    <m/>
    <n v="80.474999999999994"/>
    <n v="81.099999999999994"/>
    <x v="0"/>
    <m/>
    <d v="2021-12-04T00:00:00"/>
    <m/>
    <n v="82807"/>
    <s v="Asfalt nu DB"/>
    <m/>
    <m/>
    <m/>
  </r>
  <r>
    <s v="Heijmans"/>
    <x v="0"/>
    <n v="31142564"/>
    <n v="2"/>
    <s v="1HRR"/>
    <m/>
    <n v="81.099999999999994"/>
    <n v="81.400000000000006"/>
    <s v="3R-R"/>
    <m/>
    <n v="81.099999999999994"/>
    <n v="81.400000000000006"/>
    <x v="3"/>
    <m/>
    <d v="2021-12-04T00:00:00"/>
    <m/>
    <s v="82807 op 82500"/>
    <s v="Asfalt nu DB"/>
    <m/>
    <m/>
    <m/>
  </r>
  <r>
    <s v="Heijmans"/>
    <x v="0"/>
    <n v="31142564"/>
    <n v="2"/>
    <s v="1HRR"/>
    <m/>
    <n v="81.099999999999994"/>
    <n v="81.599999999999994"/>
    <s v="4R-R"/>
    <m/>
    <n v="81.099999999999994"/>
    <n v="81.599999999999994"/>
    <x v="3"/>
    <m/>
    <d v="2021-12-04T00:00:00"/>
    <m/>
    <s v="82807 op 82500"/>
    <s v="Asfalt nu DB"/>
    <m/>
    <m/>
    <m/>
  </r>
  <r>
    <s v="Heijmans"/>
    <x v="0"/>
    <n v="31142564"/>
    <n v="2"/>
    <s v="1HRR"/>
    <m/>
    <n v="81.34"/>
    <n v="81.400000000000006"/>
    <s v="1W-R"/>
    <m/>
    <n v="81.34"/>
    <n v="81.400000000000006"/>
    <x v="3"/>
    <m/>
    <d v="2021-12-04T00:00:00"/>
    <m/>
    <s v="82807 op 82500"/>
    <s v="Asfalt nu DB"/>
    <m/>
    <m/>
    <m/>
  </r>
  <r>
    <s v="Heijmans"/>
    <x v="0"/>
    <n v="31142564"/>
    <n v="2"/>
    <s v="1HRR"/>
    <m/>
    <n v="81.400000000000006"/>
    <n v="81.599999999999994"/>
    <s v="1W-R"/>
    <m/>
    <n v="81.400000000000006"/>
    <n v="81.599999999999994"/>
    <x v="3"/>
    <s v="5mm AC Bind"/>
    <d v="2021-12-04T00:00:00"/>
    <m/>
    <s v="82807 op 82500"/>
    <s v="Asfalt nu DB"/>
    <m/>
    <m/>
    <m/>
  </r>
  <r>
    <s v="Heijmans"/>
    <x v="0"/>
    <n v="31142564"/>
    <n v="2"/>
    <s v="1HRL"/>
    <m/>
    <n v="89.1"/>
    <n v="88.1"/>
    <s v="4R-L"/>
    <m/>
    <n v="88.1"/>
    <n v="89.1"/>
    <x v="0"/>
    <m/>
    <d v="2021-11-29T00:00:00"/>
    <m/>
    <n v="82807"/>
    <s v="Asfalt nu DB"/>
    <m/>
    <m/>
    <m/>
  </r>
  <r>
    <s v="Heijmans"/>
    <x v="0"/>
    <n v="31142564"/>
    <n v="2"/>
    <s v="1HRL"/>
    <m/>
    <n v="87.79"/>
    <n v="87.69"/>
    <s v="1I-L"/>
    <m/>
    <n v="87.69"/>
    <n v="87.79"/>
    <x v="3"/>
    <m/>
    <d v="2021-11-29T00:00:00"/>
    <m/>
    <s v="82807 op 82500"/>
    <s v="Asfalt nu DB"/>
    <m/>
    <m/>
    <m/>
  </r>
  <r>
    <s v="Heijmans"/>
    <x v="0"/>
    <n v="31142564"/>
    <n v="2"/>
    <s v="1HRL"/>
    <m/>
    <n v="87.3"/>
    <n v="87.2"/>
    <s v="4R-L"/>
    <m/>
    <n v="87.2"/>
    <n v="87.3"/>
    <x v="0"/>
    <m/>
    <d v="2021-11-29T00:00:00"/>
    <m/>
    <n v="82807"/>
    <s v="Asfalt nu DB"/>
    <m/>
    <m/>
    <m/>
  </r>
  <r>
    <s v="Heijmans"/>
    <x v="0"/>
    <n v="31142564"/>
    <n v="2"/>
    <s v="1HRL"/>
    <m/>
    <n v="85.9"/>
    <n v="85.8"/>
    <s v="4R-L"/>
    <m/>
    <n v="85.8"/>
    <n v="85.9"/>
    <x v="0"/>
    <m/>
    <d v="2021-11-29T00:00:00"/>
    <m/>
    <n v="82807"/>
    <s v="Asfalt nu DB"/>
    <m/>
    <m/>
    <m/>
  </r>
  <r>
    <s v="Heijmans"/>
    <x v="0"/>
    <n v="31142564"/>
    <n v="2"/>
    <s v="1HRL"/>
    <m/>
    <n v="85.57"/>
    <n v="85.54"/>
    <m/>
    <s v="ALLE"/>
    <n v="85.54"/>
    <n v="85.57"/>
    <x v="3"/>
    <m/>
    <d v="2021-11-29T00:00:00"/>
    <m/>
    <s v="82807 op 82500"/>
    <s v="Asfalt nu DB"/>
    <m/>
    <m/>
    <m/>
  </r>
  <r>
    <s v="Heijmans"/>
    <x v="0"/>
    <n v="31142564"/>
    <n v="2"/>
    <s v="1HRL"/>
    <m/>
    <n v="85.3"/>
    <n v="85.135000000000005"/>
    <s v="4R-L"/>
    <m/>
    <n v="85.135000000000005"/>
    <n v="85.3"/>
    <x v="0"/>
    <m/>
    <d v="2021-11-29T00:00:00"/>
    <m/>
    <n v="82807"/>
    <s v="Asfalt nu DB"/>
    <m/>
    <m/>
    <m/>
  </r>
  <r>
    <s v="Heijmans"/>
    <x v="0"/>
    <n v="31142564"/>
    <n v="2"/>
    <s v="1HRL"/>
    <m/>
    <n v="85.135000000000005"/>
    <n v="85.1"/>
    <s v="4R-L"/>
    <m/>
    <n v="85.1"/>
    <n v="85.135000000000005"/>
    <x v="0"/>
    <m/>
    <d v="2021-11-29T00:00:00"/>
    <m/>
    <n v="82807"/>
    <s v="Asfalt nu DB"/>
    <m/>
    <m/>
    <m/>
  </r>
  <r>
    <s v="Heijmans"/>
    <x v="0"/>
    <n v="31142564"/>
    <n v="2"/>
    <s v="1HRL"/>
    <m/>
    <n v="85.1"/>
    <n v="85.064999999999998"/>
    <s v="4R-L"/>
    <m/>
    <n v="85.064999999999998"/>
    <n v="85.1"/>
    <x v="0"/>
    <m/>
    <d v="2021-11-29T00:00:00"/>
    <m/>
    <n v="82807"/>
    <s v="Asfalt nu DB"/>
    <m/>
    <m/>
    <m/>
  </r>
  <r>
    <s v="Heijmans"/>
    <x v="0"/>
    <n v="31142564"/>
    <n v="2"/>
    <s v="1HRL"/>
    <m/>
    <n v="85.064999999999998"/>
    <n v="85.02"/>
    <s v="1R-L"/>
    <m/>
    <n v="85.02"/>
    <n v="85.064999999999998"/>
    <x v="0"/>
    <m/>
    <d v="2021-11-29T00:00:00"/>
    <m/>
    <n v="82807"/>
    <s v="Asfalt nu DB"/>
    <m/>
    <m/>
    <m/>
  </r>
  <r>
    <s v="Heijmans"/>
    <x v="0"/>
    <n v="31142564"/>
    <n v="2"/>
    <s v="1HRL"/>
    <m/>
    <n v="85.064999999999998"/>
    <n v="85.02"/>
    <s v="2R-L"/>
    <m/>
    <n v="85.02"/>
    <n v="85.064999999999998"/>
    <x v="0"/>
    <m/>
    <d v="2021-11-29T00:00:00"/>
    <m/>
    <n v="82807"/>
    <s v="Asfalt nu DB"/>
    <m/>
    <m/>
    <m/>
  </r>
  <r>
    <s v="Heijmans"/>
    <x v="0"/>
    <n v="31142564"/>
    <n v="2"/>
    <s v="1HRL"/>
    <m/>
    <n v="85.064999999999998"/>
    <n v="85.02"/>
    <s v="3R-L"/>
    <m/>
    <n v="85.02"/>
    <n v="85.064999999999998"/>
    <x v="0"/>
    <m/>
    <d v="2021-11-29T00:00:00"/>
    <m/>
    <n v="82807"/>
    <s v="Asfalt nu DB"/>
    <m/>
    <m/>
    <m/>
  </r>
  <r>
    <s v="Heijmans"/>
    <x v="0"/>
    <n v="31142564"/>
    <n v="2"/>
    <s v="1HRL"/>
    <m/>
    <n v="85.064999999999998"/>
    <n v="85.02"/>
    <s v="4R-L"/>
    <m/>
    <n v="85.02"/>
    <n v="85.064999999999998"/>
    <x v="3"/>
    <m/>
    <d v="2021-11-29T00:00:00"/>
    <m/>
    <s v="82807 op 82500"/>
    <s v="Asfalt nu DB"/>
    <m/>
    <m/>
    <m/>
  </r>
  <r>
    <s v="Heijmans"/>
    <x v="0"/>
    <n v="31142564"/>
    <n v="2"/>
    <s v="1HRL"/>
    <m/>
    <n v="85.064999999999998"/>
    <n v="85.02"/>
    <s v="1V-L"/>
    <m/>
    <n v="85.02"/>
    <n v="85.064999999999998"/>
    <x v="0"/>
    <m/>
    <d v="2021-11-29T00:00:00"/>
    <m/>
    <n v="82807"/>
    <s v="Asfalt nu DB"/>
    <m/>
    <m/>
    <m/>
  </r>
  <r>
    <s v="Heijmans"/>
    <x v="0"/>
    <n v="31142564"/>
    <n v="2"/>
    <s v="1HRL"/>
    <m/>
    <n v="85.02"/>
    <n v="84.984999999999999"/>
    <m/>
    <s v="ALLE"/>
    <n v="84.984999999999999"/>
    <n v="85.02"/>
    <x v="3"/>
    <m/>
    <d v="2021-11-29T00:00:00"/>
    <m/>
    <s v="82807 op 82500"/>
    <s v="Asfalt nu DB"/>
    <m/>
    <m/>
    <m/>
  </r>
  <r>
    <s v="Heijmans"/>
    <x v="0"/>
    <n v="31142564"/>
    <n v="2"/>
    <s v="1HRL"/>
    <m/>
    <n v="84.984999999999999"/>
    <n v="84.7"/>
    <s v="4R-L"/>
    <m/>
    <n v="84.7"/>
    <n v="84.984999999999999"/>
    <x v="0"/>
    <m/>
    <d v="2021-11-29T00:00:00"/>
    <m/>
    <n v="82807"/>
    <s v="Asfalt nu DB"/>
    <m/>
    <m/>
    <m/>
  </r>
  <r>
    <s v="Heijmans"/>
    <x v="0"/>
    <n v="31142564"/>
    <n v="2"/>
    <s v="0VW"/>
    <s v="d"/>
    <n v="85.165000000000006"/>
    <n v="84.66"/>
    <m/>
    <s v="ALLE"/>
    <n v="84.66"/>
    <n v="85.165000000000006"/>
    <x v="4"/>
    <m/>
    <d v="2021-11-29T00:00:00"/>
    <m/>
    <n v="44004"/>
    <s v="Asfalt nu DB"/>
    <m/>
    <m/>
    <m/>
  </r>
  <r>
    <s v="Heijmans"/>
    <x v="0"/>
    <n v="31142564"/>
    <n v="2"/>
    <s v="1HRL"/>
    <m/>
    <n v="84.65"/>
    <n v="84.5"/>
    <s v="1I-L"/>
    <m/>
    <n v="84.5"/>
    <n v="84.65"/>
    <x v="3"/>
    <m/>
    <d v="2021-11-29T00:00:00"/>
    <m/>
    <s v="82807 op 82500"/>
    <s v="Asfalt nu DB"/>
    <m/>
    <m/>
    <m/>
  </r>
  <r>
    <s v="Heijmans"/>
    <x v="0"/>
    <n v="31142564"/>
    <n v="2"/>
    <s v="1HRL"/>
    <m/>
    <n v="84.7"/>
    <n v="84.3"/>
    <s v="4R-L"/>
    <m/>
    <n v="84.3"/>
    <n v="84.7"/>
    <x v="0"/>
    <m/>
    <d v="2021-11-30T00:00:00"/>
    <m/>
    <n v="82807"/>
    <s v="Asfalt nu DB"/>
    <s v="82807-268t"/>
    <m/>
    <m/>
  </r>
  <r>
    <s v="Heijmans"/>
    <x v="0"/>
    <n v="31142564"/>
    <n v="2"/>
    <s v="1HRL"/>
    <m/>
    <n v="83.8"/>
    <n v="83.314999999999998"/>
    <s v="4R-L"/>
    <m/>
    <n v="83.314999999999998"/>
    <n v="83.8"/>
    <x v="0"/>
    <m/>
    <d v="2021-11-30T00:00:00"/>
    <m/>
    <n v="82807"/>
    <s v="Asfalt nu DB"/>
    <m/>
    <m/>
    <m/>
  </r>
  <r>
    <s v="Heijmans"/>
    <x v="0"/>
    <n v="31142564"/>
    <n v="2"/>
    <s v="1HRL"/>
    <m/>
    <n v="83.265000000000001"/>
    <n v="83.1"/>
    <s v="4R-L"/>
    <m/>
    <n v="83.1"/>
    <n v="83.265000000000001"/>
    <x v="0"/>
    <m/>
    <d v="2021-11-30T00:00:00"/>
    <m/>
    <n v="82807"/>
    <s v="Asfalt nu DB"/>
    <m/>
    <m/>
    <m/>
  </r>
  <r>
    <s v="Heijmans"/>
    <x v="0"/>
    <n v="31142564"/>
    <n v="2"/>
    <s v="1HRL"/>
    <m/>
    <n v="83.1"/>
    <n v="82.8"/>
    <s v="4R-L"/>
    <m/>
    <n v="82.8"/>
    <n v="83.1"/>
    <x v="0"/>
    <m/>
    <d v="2021-11-30T00:00:00"/>
    <m/>
    <n v="82807"/>
    <s v="Asfalt nu DB"/>
    <m/>
    <m/>
    <m/>
  </r>
  <r>
    <s v="Heijmans"/>
    <x v="0"/>
    <n v="31142564"/>
    <n v="2"/>
    <s v="1HRL"/>
    <m/>
    <n v="82.8"/>
    <n v="82.7"/>
    <s v="4R-L"/>
    <m/>
    <n v="82.7"/>
    <n v="82.8"/>
    <x v="3"/>
    <m/>
    <d v="2021-11-30T00:00:00"/>
    <m/>
    <s v="82807 op 82500"/>
    <s v="Asfalt nu DB"/>
    <s v="82807 63t; 82500 - 167"/>
    <m/>
    <m/>
  </r>
  <r>
    <s v="Heijmans"/>
    <x v="0"/>
    <n v="31142564"/>
    <n v="2"/>
    <s v="1HRL"/>
    <m/>
    <n v="82.7"/>
    <n v="82.6"/>
    <s v="4R-L"/>
    <m/>
    <n v="82.6"/>
    <n v="82.7"/>
    <x v="3"/>
    <m/>
    <d v="2021-11-30T00:00:00"/>
    <m/>
    <s v="82807 op 82500"/>
    <s v="Asfalt nu DB"/>
    <m/>
    <m/>
    <m/>
  </r>
  <r>
    <s v="Heijmans"/>
    <x v="0"/>
    <n v="31142564"/>
    <n v="2"/>
    <s v="1HRL"/>
    <m/>
    <n v="82.8"/>
    <n v="82.6"/>
    <s v="3R-L"/>
    <m/>
    <n v="82.6"/>
    <n v="82.8"/>
    <x v="3"/>
    <m/>
    <d v="2021-11-30T00:00:00"/>
    <m/>
    <s v="82807 op 82500"/>
    <s v="Asfalt nu DB"/>
    <m/>
    <m/>
    <m/>
  </r>
  <r>
    <s v="Heijmans"/>
    <x v="0"/>
    <n v="31142564"/>
    <n v="2"/>
    <s v="1HRL"/>
    <m/>
    <n v="82.6"/>
    <n v="81.7"/>
    <s v="4R-L"/>
    <m/>
    <n v="81.7"/>
    <n v="82.6"/>
    <x v="0"/>
    <m/>
    <d v="2021-11-30T00:00:00"/>
    <m/>
    <n v="82807"/>
    <s v="Asfalt nu DB"/>
    <s v="63t"/>
    <m/>
    <m/>
  </r>
  <r>
    <s v="Heijmans"/>
    <x v="0"/>
    <n v="31142564"/>
    <n v="2"/>
    <s v="1HRL"/>
    <m/>
    <n v="81.7"/>
    <n v="81.495000000000005"/>
    <s v="4R-L"/>
    <m/>
    <n v="81.495000000000005"/>
    <n v="81.7"/>
    <x v="0"/>
    <m/>
    <d v="2021-11-30T00:00:00"/>
    <m/>
    <n v="82807"/>
    <s v="Asfalt nu DB"/>
    <m/>
    <m/>
    <m/>
  </r>
  <r>
    <s v="Heijmans"/>
    <x v="0"/>
    <n v="31142564"/>
    <n v="2"/>
    <s v="1HRL"/>
    <m/>
    <n v="81.495000000000005"/>
    <n v="81.474999999999994"/>
    <s v="4R-L"/>
    <m/>
    <n v="81.474999999999994"/>
    <n v="81.495000000000005"/>
    <x v="0"/>
    <m/>
    <d v="2021-11-30T00:00:00"/>
    <m/>
    <n v="82807"/>
    <s v="Asfalt nu DB"/>
    <m/>
    <m/>
    <m/>
  </r>
  <r>
    <s v="Heijmans"/>
    <x v="0"/>
    <n v="31142564"/>
    <n v="2"/>
    <s v="1HRL"/>
    <m/>
    <n v="81.495000000000005"/>
    <n v="81.099999999999994"/>
    <s v="4R-L"/>
    <m/>
    <n v="81.099999999999994"/>
    <n v="81.495000000000005"/>
    <x v="0"/>
    <m/>
    <d v="2021-11-30T00:00:00"/>
    <m/>
    <n v="82807"/>
    <s v="Asfalt nu DB"/>
    <m/>
    <m/>
    <m/>
  </r>
  <r>
    <s v="Heijmans"/>
    <x v="0"/>
    <n v="31142564"/>
    <n v="2"/>
    <s v="1HRL"/>
    <m/>
    <n v="81.099999999999994"/>
    <n v="80.900000000000006"/>
    <s v="3R-L"/>
    <m/>
    <n v="80.900000000000006"/>
    <n v="81.099999999999994"/>
    <x v="0"/>
    <m/>
    <d v="2021-11-30T00:00:00"/>
    <s v=" "/>
    <n v="82807"/>
    <s v="Asfalt nu DB"/>
    <s v="82807-270t"/>
    <m/>
    <m/>
  </r>
  <r>
    <s v="Heijmans"/>
    <x v="0"/>
    <n v="31142564"/>
    <n v="2"/>
    <s v="1HRL"/>
    <m/>
    <n v="81.099999999999994"/>
    <n v="80.900000000000006"/>
    <s v="4R-L"/>
    <m/>
    <n v="80.900000000000006"/>
    <n v="81.099999999999994"/>
    <x v="3"/>
    <m/>
    <d v="2021-11-30T00:00:00"/>
    <m/>
    <s v="82807 82500"/>
    <s v="Asfalt nu DB"/>
    <s v="82500 - 524t"/>
    <m/>
    <m/>
  </r>
  <r>
    <s v="Heijmans"/>
    <x v="0"/>
    <n v="31142564"/>
    <n v="2"/>
    <s v="1HRL"/>
    <m/>
    <n v="81.099999999999994"/>
    <n v="80.900000000000006"/>
    <s v="1W-L"/>
    <m/>
    <n v="80.900000000000006"/>
    <n v="81.099999999999994"/>
    <x v="3"/>
    <m/>
    <d v="2021-11-30T00:00:00"/>
    <m/>
    <s v="82807 82500"/>
    <s v="Asfalt nu DB"/>
    <m/>
    <m/>
    <m/>
  </r>
  <r>
    <s v="Heijmans"/>
    <x v="0"/>
    <n v="31142564"/>
    <n v="2"/>
    <s v="1HRL"/>
    <m/>
    <n v="80.900000000000006"/>
    <n v="80.474999999999994"/>
    <s v="4R-L"/>
    <m/>
    <n v="80.474999999999994"/>
    <n v="80.900000000000006"/>
    <x v="3"/>
    <m/>
    <d v="2021-11-30T00:00:00"/>
    <m/>
    <s v="82807 82500"/>
    <s v="Asfalt nu DB"/>
    <m/>
    <m/>
    <m/>
  </r>
  <r>
    <s v="Heijmans"/>
    <x v="0"/>
    <n v="31142564"/>
    <n v="2"/>
    <s v="1HRL"/>
    <m/>
    <n v="80.474999999999994"/>
    <n v="80.459999999999994"/>
    <s v="4R-L"/>
    <m/>
    <n v="80.459999999999994"/>
    <n v="80.474999999999994"/>
    <x v="3"/>
    <m/>
    <d v="2021-11-30T00:00:00"/>
    <m/>
    <s v="82807 82500"/>
    <s v="Asfalt nu DB"/>
    <m/>
    <m/>
    <m/>
  </r>
  <r>
    <s v="Heijmans"/>
    <x v="0"/>
    <n v="31142564"/>
    <n v="2"/>
    <s v="1HRL"/>
    <m/>
    <n v="80.459999999999994"/>
    <n v="80.155000000000001"/>
    <s v="4R-L"/>
    <m/>
    <n v="80.155000000000001"/>
    <n v="80.459999999999994"/>
    <x v="3"/>
    <m/>
    <d v="2021-11-30T00:00:00"/>
    <m/>
    <s v="82807 82500"/>
    <s v="Asfalt nu DB"/>
    <m/>
    <m/>
    <m/>
  </r>
  <r>
    <s v="Heijmans"/>
    <x v="0"/>
    <n v="31142564"/>
    <n v="2"/>
    <s v="1HRL"/>
    <m/>
    <n v="80.155000000000001"/>
    <n v="80.144999999999996"/>
    <m/>
    <s v="ALLE"/>
    <n v="80.144999999999996"/>
    <n v="80.155000000000001"/>
    <x v="2"/>
    <m/>
    <d v="2021-11-30T00:00:00"/>
    <m/>
    <n v="88407"/>
    <s v="Asfalt nu DB"/>
    <m/>
    <m/>
    <m/>
  </r>
  <r>
    <s v="Heijmans"/>
    <x v="0"/>
    <n v="31142564"/>
    <n v="2"/>
    <s v="1HRL"/>
    <m/>
    <n v="80.144999999999996"/>
    <n v="80.12"/>
    <s v="4R-L"/>
    <m/>
    <n v="80.12"/>
    <n v="80.144999999999996"/>
    <x v="3"/>
    <m/>
    <d v="2021-11-30T00:00:00"/>
    <m/>
    <s v="82807 82500"/>
    <s v="Asfalt nu DB"/>
    <m/>
    <m/>
    <m/>
  </r>
  <r>
    <s v="Heijmans"/>
    <x v="0"/>
    <n v="31142564"/>
    <n v="2"/>
    <s v="1HRL"/>
    <m/>
    <n v="80.12"/>
    <n v="80.099999999999994"/>
    <s v="4R-L"/>
    <m/>
    <n v="80.099999999999994"/>
    <n v="80.12"/>
    <x v="0"/>
    <m/>
    <d v="2021-11-30T00:00:00"/>
    <m/>
    <n v="82807"/>
    <s v="Asfalt nu DB"/>
    <m/>
    <m/>
    <m/>
  </r>
  <r>
    <s v="Heijmans"/>
    <x v="0"/>
    <n v="31142564"/>
    <n v="2"/>
    <s v="1HRL"/>
    <m/>
    <n v="80.099999999999994"/>
    <n v="80"/>
    <s v="4R-L"/>
    <m/>
    <n v="80"/>
    <n v="80.099999999999994"/>
    <x v="0"/>
    <m/>
    <d v="2021-11-30T00:00:00"/>
    <m/>
    <n v="82807"/>
    <s v="Asfalt nu DB"/>
    <m/>
    <m/>
    <m/>
  </r>
  <r>
    <s v="Krinkels- Van Gelder"/>
    <x v="1"/>
    <n v="31142566"/>
    <n v="6"/>
    <s v="1HRL"/>
    <m/>
    <n v="294.85000000000002"/>
    <n v="294.3"/>
    <s v="1V-L"/>
    <m/>
    <n v="294.3"/>
    <n v="294.85000000000002"/>
    <x v="1"/>
    <s v="80 mm (AC22 Bind 30/45 60% PR ECO)"/>
    <d v="2021-06-01T00:00:00"/>
    <s v="16 70/100 Bestone"/>
    <n v="76300602"/>
    <s v="Asfalt Centrale Nijkerk"/>
    <s v="260 / 385"/>
    <n v="146.19999999999999"/>
    <m/>
  </r>
  <r>
    <s v="Krinkels- Van Gelder"/>
    <x v="1"/>
    <n v="31142566"/>
    <n v="6"/>
    <s v="1HRL"/>
    <m/>
    <n v="293.75"/>
    <n v="293.60000000000002"/>
    <s v="1R-L"/>
    <m/>
    <n v="293.60000000000002"/>
    <n v="293.75"/>
    <x v="1"/>
    <m/>
    <d v="2021-06-01T00:00:00"/>
    <s v="PA8 Periphalt 45a Speciaal"/>
    <n v="74304200"/>
    <s v="Asfalt Centrale Nijkerk"/>
    <m/>
    <n v="141.30000000000001"/>
    <m/>
  </r>
  <r>
    <s v="Krinkels- Van Gelder"/>
    <x v="1"/>
    <n v="31142566"/>
    <n v="6"/>
    <s v="1HRL"/>
    <m/>
    <n v="293.8"/>
    <n v="293.3"/>
    <s v="2R-L"/>
    <m/>
    <n v="293.3"/>
    <n v="293.8"/>
    <x v="1"/>
    <m/>
    <d v="2021-06-02T00:00:00"/>
    <s v="PA8 Periphalt 45a Speciaal"/>
    <n v="74304200"/>
    <s v="Asfalt Centrale Nijkerk"/>
    <m/>
    <n v="146.6"/>
    <m/>
  </r>
  <r>
    <s v="Krinkels- Van Gelder"/>
    <x v="1"/>
    <n v="31142566"/>
    <n v="6"/>
    <s v="1HRL"/>
    <m/>
    <n v="293.75"/>
    <n v="293.41000000000003"/>
    <s v="1U-L"/>
    <m/>
    <n v="293.41000000000003"/>
    <n v="293.75"/>
    <x v="1"/>
    <m/>
    <d v="2021-06-02T00:00:00"/>
    <s v="16 70/100 Bestone"/>
    <n v="76300602"/>
    <s v="Asfalt Centrale Nijkerk"/>
    <n v="161"/>
    <n v="145.69999999999999"/>
    <m/>
  </r>
  <r>
    <s v="Krinkels- Van Gelder"/>
    <x v="1"/>
    <n v="31142566"/>
    <n v="6"/>
    <s v="1HRL"/>
    <m/>
    <n v="292"/>
    <n v="291.89999999999998"/>
    <s v="2R-L"/>
    <m/>
    <n v="291.89999999999998"/>
    <n v="292"/>
    <x v="1"/>
    <m/>
    <d v="2021-06-03T00:00:00"/>
    <s v="PA8 Periphalt 45a Speciaal"/>
    <n v="74304200"/>
    <s v="Asfalt Centrale Nijkerk"/>
    <m/>
    <n v="145.30000000000001"/>
    <m/>
  </r>
  <r>
    <s v="Krinkels- Van Gelder"/>
    <x v="1"/>
    <n v="31142566"/>
    <n v="6"/>
    <s v="1HRL"/>
    <m/>
    <n v="288.7"/>
    <n v="288.60000000000002"/>
    <s v="2R-L"/>
    <m/>
    <n v="288.60000000000002"/>
    <n v="288.7"/>
    <x v="1"/>
    <s v="50 mm (AC22 Bind 30/45 60% PR ECO)"/>
    <d v="2021-06-02T00:00:00"/>
    <s v="16 70/100 Bestone"/>
    <n v="76300602"/>
    <s v="Asfalt Centrale Nijkerk"/>
    <n v="47"/>
    <n v="148"/>
    <m/>
  </r>
  <r>
    <s v="Krinkels- Van Gelder"/>
    <x v="1"/>
    <n v="31142566"/>
    <n v="6"/>
    <s v="1HRL"/>
    <m/>
    <n v="288.60000000000002"/>
    <n v="288.5"/>
    <s v="1R-L"/>
    <m/>
    <n v="288.5"/>
    <n v="288.60000000000002"/>
    <x v="1"/>
    <m/>
    <d v="2021-06-03T00:00:00"/>
    <s v="PA8 Periphalt 45a Speciaal"/>
    <n v="74304200"/>
    <s v="Asfalt Centrale Nijkerk"/>
    <n v="50"/>
    <n v="166.7"/>
    <m/>
  </r>
  <r>
    <s v="Krinkels- Van Gelder"/>
    <x v="1"/>
    <n v="31142566"/>
    <n v="6"/>
    <s v="1HRL"/>
    <m/>
    <n v="288.39999999999998"/>
    <n v="288.2"/>
    <s v="1R-L"/>
    <m/>
    <n v="288.2"/>
    <n v="288.39999999999998"/>
    <x v="1"/>
    <m/>
    <d v="2021-06-03T00:00:00"/>
    <s v="PA8 Periphalt 45a Speciaal"/>
    <n v="74304200"/>
    <s v="Asfalt Centrale Nijkerk"/>
    <m/>
    <n v="145.69999999999999"/>
    <m/>
  </r>
  <r>
    <s v="Krinkels- Van Gelder"/>
    <x v="1"/>
    <n v="31142566"/>
    <n v="6"/>
    <s v="1HRL"/>
    <m/>
    <n v="284.3"/>
    <n v="284.2"/>
    <s v="2R-R"/>
    <m/>
    <n v="284.2"/>
    <n v="284.3"/>
    <x v="1"/>
    <m/>
    <d v="2021-06-08T00:00:00"/>
    <s v="PA8 Periphalt 45a Speciaal"/>
    <n v="74304200"/>
    <s v="Asfalt Centrale Nijkerk"/>
    <n v="24"/>
    <n v="141.30000000000001"/>
    <m/>
  </r>
  <r>
    <s v="Krinkels- Van Gelder"/>
    <x v="1"/>
    <n v="31142566"/>
    <n v="6"/>
    <s v="1HRL"/>
    <m/>
    <n v="283.11"/>
    <n v="283.08999999999997"/>
    <s v="1V-L"/>
    <m/>
    <n v="283.08999999999997"/>
    <n v="283.11"/>
    <x v="1"/>
    <m/>
    <d v="2021-06-09T00:00:00"/>
    <s v="16 70/100 Bestone"/>
    <n v="76300602"/>
    <s v="Asfalt Centrale Nijkerk"/>
    <n v="9"/>
    <n v="146.5"/>
    <m/>
  </r>
  <r>
    <s v="Krinkels- Van Gelder"/>
    <x v="1"/>
    <n v="31142566"/>
    <n v="6"/>
    <s v="1HRL"/>
    <m/>
    <n v="282.7"/>
    <n v="282.5"/>
    <s v="1R-L"/>
    <m/>
    <n v="282.5"/>
    <n v="282.7"/>
    <x v="1"/>
    <m/>
    <d v="2021-06-08T00:00:00"/>
    <s v="PA8 Periphalt 45a Speciaal"/>
    <n v="74304200"/>
    <s v="Asfalt Centrale Nijkerk"/>
    <n v="48"/>
    <n v="145.69999999999999"/>
    <m/>
  </r>
  <r>
    <s v="Krinkels- Van Gelder"/>
    <x v="1"/>
    <n v="31142566"/>
    <n v="6"/>
    <s v="1HRL"/>
    <m/>
    <n v="280.39999999999998"/>
    <n v="280.32"/>
    <s v="1R-L"/>
    <m/>
    <n v="280.32"/>
    <n v="280.39999999999998"/>
    <x v="1"/>
    <s v="50 mm (AC22 Bind 30/45 60% PR ECO)"/>
    <d v="2021-06-09T00:00:00"/>
    <s v="16 70/100 Bestone"/>
    <n v="76300602"/>
    <s v="Asfalt Centrale Nijkerk"/>
    <s v="38 / 40"/>
    <n v="146.19999999999999"/>
    <m/>
  </r>
  <r>
    <s v="Krinkels- Van Gelder"/>
    <x v="1"/>
    <n v="31142566"/>
    <n v="6"/>
    <s v="1HRL"/>
    <m/>
    <n v="280.3"/>
    <n v="279.5"/>
    <m/>
    <m/>
    <n v="279.5"/>
    <n v="280.3"/>
    <x v="6"/>
    <m/>
    <m/>
    <m/>
    <m/>
    <s v="Asfalt Centrale Nijkerk"/>
    <m/>
    <m/>
    <m/>
  </r>
  <r>
    <s v="Krinkels- Van Gelder"/>
    <x v="1"/>
    <n v="31142566"/>
    <n v="6"/>
    <s v="1HRL"/>
    <m/>
    <n v="110.15"/>
    <n v="110.1"/>
    <m/>
    <s v="ALLE"/>
    <n v="110.1"/>
    <n v="110.15"/>
    <x v="1"/>
    <s v="80 mm (AC22 Bind 30/45 60% PR ECO)"/>
    <d v="2021-06-22T00:00:00"/>
    <s v="16 70/100 Bestone"/>
    <n v="76300602"/>
    <s v="Asfalt Centrale Nijkerk"/>
    <s v="66 / 125"/>
    <n v="146"/>
    <m/>
  </r>
  <r>
    <s v="Krinkels- Van Gelder"/>
    <x v="1"/>
    <n v="31142566"/>
    <n v="6"/>
    <s v="1HRL"/>
    <m/>
    <n v="110.1"/>
    <n v="109.7"/>
    <s v="2R-L"/>
    <m/>
    <n v="109.7"/>
    <n v="110.1"/>
    <x v="1"/>
    <s v="80 mm (AC22 Bind 30/45 60% PR ECO)"/>
    <d v="2021-06-23T00:00:00"/>
    <s v="16 70/100 Bestone"/>
    <n v="76300602"/>
    <s v="Asfalt Centrale Nijkerk"/>
    <s v="189 / 40"/>
    <n v="146"/>
    <m/>
  </r>
  <r>
    <s v="Krinkels- Van Gelder"/>
    <x v="1"/>
    <n v="31142566"/>
    <n v="6"/>
    <s v="1HRL"/>
    <m/>
    <n v="109.6"/>
    <n v="109.5"/>
    <s v="1U-L"/>
    <m/>
    <n v="109.5"/>
    <n v="109.6"/>
    <x v="1"/>
    <m/>
    <d v="2021-06-23T00:00:00"/>
    <s v="16 70/100 Bestone"/>
    <n v="76300602"/>
    <s v="Asfalt Centrale Nijkerk"/>
    <n v="47"/>
    <n v="158.80000000000001"/>
    <m/>
  </r>
  <r>
    <s v="Krinkels- Van Gelder"/>
    <x v="1"/>
    <n v="31142566"/>
    <n v="6"/>
    <s v="1HRL"/>
    <m/>
    <n v="109.3"/>
    <n v="108.7"/>
    <s v="2R-L"/>
    <m/>
    <n v="108.7"/>
    <n v="109.3"/>
    <x v="1"/>
    <m/>
    <d v="2021-06-23T00:00:00"/>
    <s v="PA8 Periphalt 45a Speciaal"/>
    <n v="74304200"/>
    <s v="Asfalt Centrale Nijkerk"/>
    <m/>
    <n v="147.5"/>
    <m/>
  </r>
  <r>
    <s v="Krinkels- Van Gelder"/>
    <x v="1"/>
    <n v="31142566"/>
    <n v="6"/>
    <s v="1HRL"/>
    <m/>
    <n v="108.7"/>
    <n v="108.6"/>
    <s v="2R-L"/>
    <m/>
    <n v="108.6"/>
    <n v="108.7"/>
    <x v="1"/>
    <s v="50 mm (AC22 Bind 30/45 60% PR ECO)"/>
    <d v="2021-06-23T00:00:00"/>
    <s v="16 70/100 Bestone"/>
    <n v="76300602"/>
    <s v="Asfalt Centrale Nijkerk"/>
    <s v="47  / 50"/>
    <n v="158.80000000000001"/>
    <m/>
  </r>
  <r>
    <s v="Krinkels- Van Gelder"/>
    <x v="1"/>
    <n v="31142566"/>
    <n v="6"/>
    <s v="1HRL"/>
    <m/>
    <n v="108.7"/>
    <n v="108.4"/>
    <s v="1I-L"/>
    <m/>
    <n v="108.4"/>
    <n v="108.7"/>
    <x v="1"/>
    <m/>
    <d v="2021-06-29T00:00:00"/>
    <s v="16 70/100 Bestone"/>
    <n v="76300602"/>
    <s v="Asfalt Centrale Nijkerk"/>
    <n v="142"/>
    <n v="147.5"/>
    <m/>
  </r>
  <r>
    <s v="Krinkels- Van Gelder"/>
    <x v="1"/>
    <n v="31142566"/>
    <n v="6"/>
    <s v="1HRL"/>
    <m/>
    <n v="106.1"/>
    <n v="105.9"/>
    <s v="2R-L"/>
    <m/>
    <n v="105.9"/>
    <n v="106.1"/>
    <x v="1"/>
    <m/>
    <d v="2021-06-29T00:00:00"/>
    <s v="PA8 Periphalt 45a Speciaal"/>
    <n v="74304200"/>
    <s v="Asfalt Centrale Nijkerk"/>
    <n v="48"/>
    <n v="158.80000000000001"/>
    <m/>
  </r>
  <r>
    <s v="Krinkels- Van Gelder"/>
    <x v="1"/>
    <n v="31142566"/>
    <n v="6"/>
    <s v="1HRL"/>
    <m/>
    <n v="105.61"/>
    <n v="105.54"/>
    <m/>
    <s v="ALLE"/>
    <n v="105.54"/>
    <n v="105.61"/>
    <x v="1"/>
    <s v="50 mm (AC22 Bind 30/45 60% PR ECO)"/>
    <d v="2021-06-25T00:00:00"/>
    <s v="16 70/100 Bestone"/>
    <n v="76300602"/>
    <s v="Asfalt Centrale Nijkerk"/>
    <s v="92 / 438?"/>
    <n v="147.5"/>
    <m/>
  </r>
  <r>
    <s v="Krinkels- Van Gelder"/>
    <x v="1"/>
    <n v="31142566"/>
    <n v="6"/>
    <s v="1HRL"/>
    <m/>
    <n v="105.5"/>
    <n v="105.3"/>
    <s v="2R-L"/>
    <m/>
    <n v="105.3"/>
    <n v="105.5"/>
    <x v="1"/>
    <m/>
    <d v="2021-06-30T00:00:00"/>
    <s v="PA8 Periphalt 45a Speciaal"/>
    <n v="74304200"/>
    <s v="Asfalt Centrale Nijkerk"/>
    <m/>
    <n v="139.9"/>
    <m/>
  </r>
  <r>
    <s v="Krinkels- Van Gelder"/>
    <x v="1"/>
    <n v="31142566"/>
    <n v="6"/>
    <s v="1HRL"/>
    <m/>
    <n v="102.85"/>
    <n v="102.7"/>
    <s v="1R-L"/>
    <m/>
    <n v="102.7"/>
    <n v="102.85"/>
    <x v="1"/>
    <m/>
    <d v="2021-06-30T00:00:00"/>
    <s v="PA8 Periphalt 45a Speciaal"/>
    <n v="74304200"/>
    <s v="Asfalt Centrale Nijkerk"/>
    <n v="36"/>
    <n v="147.5"/>
    <m/>
  </r>
  <r>
    <s v="Krinkels- Van Gelder"/>
    <x v="1"/>
    <n v="31142566"/>
    <n v="6"/>
    <s v="1HRL"/>
    <m/>
    <n v="100.2"/>
    <n v="100"/>
    <s v="1R-L"/>
    <m/>
    <n v="100"/>
    <n v="100.2"/>
    <x v="1"/>
    <m/>
    <d v="2021-07-07T00:00:00"/>
    <s v="PA8 Periphalt 45a Speciaal"/>
    <n v="74304200"/>
    <s v="Asfalt Centrale Nijkerk"/>
    <n v="48"/>
    <n v="142.6"/>
    <m/>
  </r>
  <r>
    <s v="Krinkels- Van Gelder"/>
    <x v="1"/>
    <n v="31142566"/>
    <n v="6"/>
    <s v="1HRL"/>
    <m/>
    <n v="99.8"/>
    <n v="99.5"/>
    <s v="1R-L"/>
    <m/>
    <n v="99.5"/>
    <n v="99.8"/>
    <x v="1"/>
    <m/>
    <d v="2021-07-07T00:00:00"/>
    <s v="PA8 Periphalt 45a Speciaal"/>
    <n v="74304200"/>
    <s v="Asfalt Centrale Nijkerk"/>
    <n v="73"/>
    <n v="142.6"/>
    <m/>
  </r>
  <r>
    <s v="Krinkels- Van Gelder"/>
    <x v="1"/>
    <n v="31142566"/>
    <n v="6"/>
    <s v="1HRL"/>
    <m/>
    <n v="85.3"/>
    <n v="84.9"/>
    <m/>
    <s v="ALLE"/>
    <n v="84.9"/>
    <n v="85.3"/>
    <x v="1"/>
    <m/>
    <d v="2021-07-08T00:00:00"/>
    <s v="16 70/100 Bestone"/>
    <n v="76300602"/>
    <s v="Asfalt Centrale Nijkerk"/>
    <n v="12"/>
    <n v="154.69999999999999"/>
    <m/>
  </r>
  <r>
    <s v="Krinkels- Van Gelder"/>
    <x v="1"/>
    <n v="31142566"/>
    <n v="6"/>
    <s v="1HRL"/>
    <m/>
    <n v="83.3"/>
    <n v="83.2"/>
    <s v="2R-L"/>
    <m/>
    <n v="83.2"/>
    <n v="83.3"/>
    <x v="1"/>
    <m/>
    <d v="2021-07-07T00:00:00"/>
    <s v="16 70/100 Bestone"/>
    <n v="76300602"/>
    <s v="Asfalt Centrale Nijkerk"/>
    <n v="47"/>
    <n v="141.4"/>
    <m/>
  </r>
  <r>
    <s v="Krinkels- Van Gelder"/>
    <x v="1"/>
    <n v="31142566"/>
    <n v="6"/>
    <s v="1HRL"/>
    <m/>
    <n v="80"/>
    <n v="80"/>
    <s v="1R-L"/>
    <m/>
    <n v="80"/>
    <n v="80"/>
    <x v="1"/>
    <m/>
    <d v="2021-07-08T00:00:00"/>
    <s v="16 70/100 Bestone"/>
    <n v="76300602"/>
    <s v="Asfalt Centrale Nijkerk"/>
    <n v="4"/>
    <n v="154.69999999999999"/>
    <m/>
  </r>
  <r>
    <s v="Krinkels- Van Gelder"/>
    <x v="1"/>
    <n v="31142566"/>
    <n v="6"/>
    <s v="1HRL"/>
    <m/>
    <n v="75.400000000000006"/>
    <n v="75.22"/>
    <s v="1U-L"/>
    <m/>
    <n v="75.22"/>
    <n v="75.400000000000006"/>
    <x v="1"/>
    <m/>
    <d v="2021-07-07T00:00:00"/>
    <s v="16 70/100 Bestone"/>
    <n v="76300602"/>
    <s v="Asfalt Centrale Nijkerk"/>
    <n v="85"/>
    <n v="141"/>
    <m/>
  </r>
  <r>
    <s v="Krinkels- Van Gelder"/>
    <x v="1"/>
    <n v="31142566"/>
    <n v="6"/>
    <s v="0VW"/>
    <s v="d"/>
    <n v="75.099999999999994"/>
    <n v="75"/>
    <s v="2R-L"/>
    <m/>
    <n v="75"/>
    <n v="75.099999999999994"/>
    <x v="1"/>
    <m/>
    <d v="2021-07-07T00:00:00"/>
    <s v="16 70/100 Bestone"/>
    <n v="76300602"/>
    <s v="Asfalt Centrale Nijkerk"/>
    <n v="47"/>
    <n v="138.4"/>
    <m/>
  </r>
  <r>
    <s v="Krinkels- Van Gelder"/>
    <x v="1"/>
    <n v="31142566"/>
    <n v="6"/>
    <s v="1HRL"/>
    <m/>
    <n v="65.900000000000006"/>
    <n v="65.8"/>
    <s v="2R-L"/>
    <m/>
    <n v="65.8"/>
    <n v="65.900000000000006"/>
    <x v="7"/>
    <m/>
    <d v="2021-07-14T00:00:00"/>
    <m/>
    <m/>
    <m/>
    <m/>
    <m/>
    <m/>
  </r>
  <r>
    <s v="Krinkels- Van Gelder"/>
    <x v="1"/>
    <n v="31142566"/>
    <n v="6"/>
    <s v="1HRL"/>
    <m/>
    <n v="65.599999999999994"/>
    <n v="65.400000000000006"/>
    <s v="2R-L"/>
    <m/>
    <n v="65.400000000000006"/>
    <n v="65.599999999999994"/>
    <x v="7"/>
    <m/>
    <d v="2021-07-15T00:00:00"/>
    <m/>
    <m/>
    <m/>
    <m/>
    <m/>
    <m/>
  </r>
  <r>
    <s v="Krinkels- Van Gelder"/>
    <x v="1"/>
    <n v="31142566"/>
    <n v="6"/>
    <s v="1HRL"/>
    <m/>
    <n v="65.599999999999994"/>
    <n v="65.5"/>
    <s v="2R-L"/>
    <m/>
    <n v="65.5"/>
    <n v="65.599999999999994"/>
    <x v="7"/>
    <m/>
    <d v="2021-07-16T00:00:00"/>
    <m/>
    <m/>
    <m/>
    <m/>
    <m/>
    <m/>
  </r>
  <r>
    <s v="Krinkels- Van Gelder"/>
    <x v="1"/>
    <n v="31142566"/>
    <n v="6"/>
    <s v="1HRL"/>
    <m/>
    <n v="65"/>
    <n v="64.8"/>
    <s v="1V-L"/>
    <m/>
    <n v="64.8"/>
    <n v="65"/>
    <x v="7"/>
    <m/>
    <d v="2021-07-17T00:00:00"/>
    <m/>
    <m/>
    <m/>
    <m/>
    <m/>
    <m/>
  </r>
  <r>
    <s v="Krinkels- Van Gelder"/>
    <x v="1"/>
    <n v="31142566"/>
    <n v="6"/>
    <s v="1HRR"/>
    <m/>
    <n v="63.05"/>
    <n v="63.5"/>
    <s v="2R-R"/>
    <m/>
    <n v="63.05"/>
    <n v="63.5"/>
    <x v="7"/>
    <m/>
    <d v="2021-07-20T00:00:00"/>
    <m/>
    <m/>
    <m/>
    <m/>
    <m/>
    <m/>
  </r>
  <r>
    <s v="Krinkels- Van Gelder"/>
    <x v="1"/>
    <n v="31142566"/>
    <n v="6"/>
    <s v="1HRR"/>
    <m/>
    <n v="65.400000000000006"/>
    <n v="65.5"/>
    <s v="1R-R"/>
    <m/>
    <n v="65.400000000000006"/>
    <n v="65.5"/>
    <x v="7"/>
    <m/>
    <d v="2021-07-21T00:00:00"/>
    <m/>
    <m/>
    <m/>
    <m/>
    <m/>
    <m/>
  </r>
  <r>
    <s v="Krinkels- Van Gelder"/>
    <x v="1"/>
    <n v="31142566"/>
    <n v="6"/>
    <s v="1HRR"/>
    <m/>
    <n v="67.2"/>
    <n v="67.3"/>
    <s v="2R-R"/>
    <m/>
    <n v="67.2"/>
    <n v="67.3"/>
    <x v="7"/>
    <m/>
    <d v="2021-07-21T00:00:00"/>
    <m/>
    <m/>
    <m/>
    <m/>
    <m/>
    <m/>
  </r>
  <r>
    <s v="Krinkels- Van Gelder"/>
    <x v="1"/>
    <n v="31142566"/>
    <n v="6"/>
    <s v="0VW"/>
    <s v="m"/>
    <n v="67.84"/>
    <n v="67.864999999999995"/>
    <s v="2R-R"/>
    <m/>
    <n v="67.84"/>
    <n v="67.864999999999995"/>
    <x v="8"/>
    <s v="80 mm (AC22 Bind 30/45 60% PR ECO)"/>
    <d v="2021-07-15T00:00:00"/>
    <s v="40mm AC16 Surf 40/60 30% PR Bestone"/>
    <n v="36330401"/>
    <s v="Asfalt Centrale Nijkerk"/>
    <s v="12 / 25"/>
    <n v="149"/>
    <m/>
  </r>
  <r>
    <s v="Krinkels- Van Gelder"/>
    <x v="1"/>
    <n v="31142566"/>
    <n v="6"/>
    <s v="0VW"/>
    <s v="p"/>
    <n v="67.87"/>
    <n v="67.887"/>
    <s v="2R-R"/>
    <m/>
    <n v="67.87"/>
    <n v="67.887"/>
    <x v="8"/>
    <s v="80 mm (AC22 Bind 30/45 60% PR ECO)"/>
    <d v="2021-07-15T00:00:00"/>
    <s v="40mm AC16 Surf 40/60 30% PR Bestone"/>
    <n v="36330401"/>
    <s v="Asfalt Centrale Nijkerk"/>
    <s v="8 / 17"/>
    <n v="149"/>
    <m/>
  </r>
  <r>
    <s v="Krinkels- Van Gelder"/>
    <x v="1"/>
    <n v="31142566"/>
    <n v="6"/>
    <s v="1HRR"/>
    <m/>
    <n v="68.349999999999994"/>
    <n v="68.5"/>
    <s v="1I-R"/>
    <m/>
    <n v="68.349999999999994"/>
    <n v="68.5"/>
    <x v="1"/>
    <m/>
    <d v="2021-07-15T00:00:00"/>
    <s v="16 70/100 Bestone"/>
    <n v="76300602"/>
    <s v="Asfalt Centrale Nijkerk"/>
    <s v="71"/>
    <n v="135"/>
    <m/>
  </r>
  <r>
    <s v="Krinkels- Van Gelder"/>
    <x v="1"/>
    <n v="31142566"/>
    <n v="6"/>
    <s v="1HRR"/>
    <m/>
    <n v="69.099999999999994"/>
    <n v="69.2"/>
    <s v="2R-R"/>
    <m/>
    <n v="69.099999999999994"/>
    <n v="69.2"/>
    <x v="1"/>
    <s v="50 mm (AC22 Bind 30/45 60% PR ECO)"/>
    <d v="2021-06-09T00:00:00"/>
    <s v="16 70/100 Bestone"/>
    <n v="76300602"/>
    <s v="Asfalt Centrale Nijkerk"/>
    <s v="47 / 56"/>
    <n v="152"/>
    <m/>
  </r>
  <r>
    <s v="Krinkels- Van Gelder"/>
    <x v="1"/>
    <n v="31142566"/>
    <n v="6"/>
    <s v="1HRR"/>
    <m/>
    <n v="74.55"/>
    <n v="75.05"/>
    <s v="1V-R"/>
    <m/>
    <n v="74.55"/>
    <n v="75.05"/>
    <x v="7"/>
    <m/>
    <d v="2021-07-21T00:00:00"/>
    <m/>
    <m/>
    <s v="Asfalt Centrale Nijkerk"/>
    <m/>
    <m/>
    <m/>
  </r>
  <r>
    <s v="Krinkels- Van Gelder"/>
    <x v="1"/>
    <n v="31142566"/>
    <n v="6"/>
    <s v="1HRR"/>
    <m/>
    <n v="82.9"/>
    <n v="83"/>
    <s v="1R-R"/>
    <m/>
    <n v="82.9"/>
    <n v="83"/>
    <x v="1"/>
    <m/>
    <d v="2021-07-22T00:00:00"/>
    <s v="PA8 Periphalt 45a Speciaal"/>
    <n v="74304200"/>
    <s v="Asfalt Centrale Nijkerk"/>
    <s v="24"/>
    <m/>
    <m/>
  </r>
  <r>
    <s v="Krinkels- Van Gelder"/>
    <x v="1"/>
    <n v="31142566"/>
    <n v="6"/>
    <s v="1HRR"/>
    <m/>
    <n v="84.8"/>
    <n v="84.9"/>
    <s v="1R-R"/>
    <m/>
    <n v="84.8"/>
    <n v="84.9"/>
    <x v="1"/>
    <m/>
    <d v="2021-07-22T00:00:00"/>
    <s v="PA8 Periphalt 45a Speciaal"/>
    <n v="74304200"/>
    <s v="Asfalt Centrale Nijkerk"/>
    <s v="24"/>
    <m/>
    <m/>
  </r>
  <r>
    <s v="Krinkels- Van Gelder"/>
    <x v="1"/>
    <n v="31142566"/>
    <n v="6"/>
    <s v="1HRR"/>
    <m/>
    <n v="85.1"/>
    <n v="85.7"/>
    <s v="2R-R"/>
    <m/>
    <n v="85.1"/>
    <n v="85.7"/>
    <x v="1"/>
    <m/>
    <d v="2021-07-22T00:00:00"/>
    <s v="PA8 Periphalt 45a Speciaal"/>
    <n v="74304200"/>
    <s v="Asfalt Centrale Nijkerk"/>
    <s v="145"/>
    <m/>
    <m/>
  </r>
  <r>
    <s v="Krinkels- Van Gelder"/>
    <x v="1"/>
    <n v="31142566"/>
    <n v="6"/>
    <s v="1HRR"/>
    <m/>
    <n v="100.83"/>
    <n v="100.9"/>
    <s v="1I-R"/>
    <m/>
    <n v="100.83"/>
    <n v="100.9"/>
    <x v="1"/>
    <m/>
    <d v="2021-08-14T00:00:00"/>
    <s v="16 70/100 Bestone"/>
    <n v="76300602"/>
    <s v="Asfalt Centrale Nijkerk"/>
    <s v="34"/>
    <m/>
    <m/>
  </r>
  <r>
    <s v="Krinkels- Van Gelder"/>
    <x v="1"/>
    <n v="31142566"/>
    <n v="6"/>
    <s v="1HRR"/>
    <m/>
    <n v="102.68"/>
    <n v="102.8"/>
    <s v="1I-R"/>
    <m/>
    <n v="102.68"/>
    <n v="102.8"/>
    <x v="1"/>
    <m/>
    <d v="2021-08-20T00:00:00"/>
    <s v="16 70/100 Bestone"/>
    <n v="76300602"/>
    <m/>
    <s v="59"/>
    <n v="146.30000000000001"/>
    <m/>
  </r>
  <r>
    <s v="Krinkels- Van Gelder"/>
    <x v="1"/>
    <n v="31142566"/>
    <n v="6"/>
    <s v="1HRR"/>
    <m/>
    <n v="108.95"/>
    <n v="109"/>
    <s v="2R-R"/>
    <m/>
    <n v="108.95"/>
    <n v="109"/>
    <x v="1"/>
    <s v="50 mm (AC22 Bind 30/45 60% PR ECO)"/>
    <d v="2021-08-19T00:00:00"/>
    <s v="16 70/100 Bestone"/>
    <n v="76300602"/>
    <m/>
    <s v="26"/>
    <n v="156.19999999999999"/>
    <m/>
  </r>
  <r>
    <s v="Krinkels- Van Gelder"/>
    <x v="1"/>
    <n v="31142566"/>
    <n v="6"/>
    <s v="1HRR"/>
    <m/>
    <n v="109.6"/>
    <n v="109.9"/>
    <s v="1I-R"/>
    <m/>
    <n v="109.6"/>
    <n v="109.9"/>
    <x v="1"/>
    <m/>
    <d v="2021-08-19T00:00:00"/>
    <s v="16 70/100 Bestone"/>
    <n v="76300602"/>
    <m/>
    <s v="118"/>
    <n v="141.30000000000001"/>
    <m/>
  </r>
  <r>
    <s v="Krinkels- Van Gelder"/>
    <x v="1"/>
    <n v="31142566"/>
    <n v="6"/>
    <s v="1HRR"/>
    <m/>
    <n v="110.8"/>
    <n v="110.8"/>
    <m/>
    <s v="ALLE"/>
    <n v="110.8"/>
    <n v="110.8"/>
    <x v="1"/>
    <s v="50 mm (AC22 Bind 30/45 60% PR ECO)"/>
    <d v="2021-08-19T00:00:00"/>
    <s v="16 70/100 Bestone"/>
    <n v="76300602"/>
    <s v=" "/>
    <s v="24 / 28"/>
    <n v="146.30000000000001"/>
    <m/>
  </r>
  <r>
    <s v="Krinkels- Van Gelder"/>
    <x v="1"/>
    <n v="31142566"/>
    <n v="6"/>
    <s v="1HRR"/>
    <m/>
    <n v="112.1"/>
    <n v="112.4"/>
    <m/>
    <s v="ALLE"/>
    <n v="112.1"/>
    <n v="112.4"/>
    <x v="1"/>
    <s v="50 mm (AC22 Bind 30/45 60% PR ECO)"/>
    <d v="2021-08-24T00:00:00"/>
    <s v="16 70/100 Bestone"/>
    <n v="76300602"/>
    <m/>
    <s v="410"/>
    <n v="144.30000000000001"/>
    <m/>
  </r>
  <r>
    <s v="Krinkels- Van Gelder"/>
    <x v="1"/>
    <n v="31142566"/>
    <n v="6"/>
    <s v="1HRR"/>
    <m/>
    <n v="112.27500000000001"/>
    <n v="112.375"/>
    <s v="2R-R"/>
    <m/>
    <n v="112.27500000000001"/>
    <n v="112.375"/>
    <x v="6"/>
    <s v="50 mm (AC22 Bind 30/45 60% PR ECO)"/>
    <d v="2021-08-24T00:00:00"/>
    <m/>
    <m/>
    <m/>
    <s v="56"/>
    <m/>
    <m/>
  </r>
  <r>
    <s v="Krinkels- Van Gelder"/>
    <x v="1"/>
    <n v="31142566"/>
    <n v="6"/>
    <s v="1HRR"/>
    <m/>
    <n v="279.5"/>
    <n v="279.82499999999999"/>
    <m/>
    <s v="ALLE"/>
    <n v="279.5"/>
    <n v="279.82499999999999"/>
    <x v="1"/>
    <s v="50 mm (AC22 Bind 30/45 60% PR ECO)"/>
    <d v="2021-10-09T00:00:00"/>
    <s v="16 70/100 Bestone"/>
    <n v="76300602"/>
    <m/>
    <s v="529"/>
    <n v="145.4"/>
    <m/>
  </r>
  <r>
    <s v="Krinkels- Van Gelder"/>
    <x v="1"/>
    <n v="31142566"/>
    <n v="6"/>
    <s v="1HRR"/>
    <m/>
    <n v="279.5"/>
    <n v="279.82499999999999"/>
    <s v="2R-R"/>
    <m/>
    <n v="279.5"/>
    <n v="279.82499999999999"/>
    <x v="6"/>
    <s v="50 mm (AC22 Bind 30/45 60% PR ECO)"/>
    <d v="2021-10-09T00:00:00"/>
    <m/>
    <m/>
    <m/>
    <s v="31"/>
    <m/>
    <m/>
  </r>
  <r>
    <s v="Krinkels- Van Gelder"/>
    <x v="1"/>
    <n v="31142566"/>
    <n v="6"/>
    <s v="1HRR"/>
    <m/>
    <n v="281.17500000000001"/>
    <n v="283.10000000000002"/>
    <m/>
    <s v="ALLE"/>
    <n v="281.17500000000001"/>
    <n v="283.10000000000002"/>
    <x v="1"/>
    <s v="50 mm (AC22 Bind 30/45 60% PR ECO)"/>
    <d v="2021-10-09T00:00:00"/>
    <s v="16 70/100 Bestone"/>
    <n v="76300602"/>
    <m/>
    <s v="2523 / 89"/>
    <n v="138.4"/>
    <m/>
  </r>
  <r>
    <s v="Krinkels- Van Gelder"/>
    <x v="1"/>
    <n v="31142566"/>
    <n v="6"/>
    <s v="1HRR"/>
    <m/>
    <n v="283.45"/>
    <n v="283.5"/>
    <s v="2R-R"/>
    <m/>
    <n v="283.45"/>
    <n v="283.5"/>
    <x v="1"/>
    <m/>
    <d v="2021-10-10T00:00:00"/>
    <s v="PA 16 ECO Periphalt HZ90 50 % PR Bestone"/>
    <n v="76354300"/>
    <m/>
    <s v="24"/>
    <n v="134.69999999999999"/>
    <m/>
  </r>
  <r>
    <s v="Krinkels- Van Gelder"/>
    <x v="1"/>
    <n v="31142566"/>
    <n v="6"/>
    <s v="1HRR"/>
    <m/>
    <n v="284.2"/>
    <n v="284.3"/>
    <s v="2R-R"/>
    <m/>
    <n v="284.2"/>
    <n v="284.3"/>
    <x v="1"/>
    <m/>
    <d v="2021-10-10T00:00:00"/>
    <s v="PA 16 ECO Periphalt HZ90 50 % PR Bestone"/>
    <n v="76354300"/>
    <m/>
    <s v="47"/>
    <n v="139"/>
    <m/>
  </r>
  <r>
    <s v="Krinkels- Van Gelder"/>
    <x v="1"/>
    <n v="31142566"/>
    <n v="6"/>
    <s v="1HRR"/>
    <m/>
    <n v="285.7"/>
    <n v="285.75"/>
    <s v="2R-R"/>
    <m/>
    <n v="285.7"/>
    <n v="285.75"/>
    <x v="1"/>
    <s v="50 mm (AC22 Bind 30/45 60% PR ECO)"/>
    <d v="2021-10-09T00:00:00"/>
    <s v="PA 16 ECO Periphalt HZ90 50 % PR Bestone"/>
    <n v="76354300"/>
    <m/>
    <s v="24 / 34"/>
    <n v="138.80000000000001"/>
    <m/>
  </r>
  <r>
    <s v="Krinkels- Van Gelder"/>
    <x v="1"/>
    <n v="31142566"/>
    <n v="6"/>
    <s v="1HRR"/>
    <m/>
    <n v="287.10000000000002"/>
    <n v="287.2"/>
    <s v="2R-R"/>
    <m/>
    <n v="287.10000000000002"/>
    <n v="287.2"/>
    <x v="1"/>
    <m/>
    <d v="2021-08-31T00:00:00"/>
    <s v="16 70/100 Bestone"/>
    <n v="76300602"/>
    <m/>
    <s v="47"/>
    <n v="135.1"/>
    <m/>
  </r>
  <r>
    <s v="Krinkels- Van Gelder"/>
    <x v="1"/>
    <n v="31142566"/>
    <n v="6"/>
    <s v="1HRR"/>
    <m/>
    <n v="287.3"/>
    <n v="287.39999999999998"/>
    <s v="2R-R"/>
    <m/>
    <n v="287.3"/>
    <n v="287.39999999999998"/>
    <x v="1"/>
    <m/>
    <d v="2021-08-31T00:00:00"/>
    <s v="16 70/100 Bestone"/>
    <n v="76300602"/>
    <m/>
    <s v="47"/>
    <n v="137.6"/>
    <m/>
  </r>
  <r>
    <s v="Krinkels- Van Gelder"/>
    <x v="1"/>
    <n v="31142566"/>
    <n v="6"/>
    <s v="1HRR"/>
    <m/>
    <n v="287.8"/>
    <n v="287.89999999999998"/>
    <s v="2R-R"/>
    <m/>
    <n v="287.8"/>
    <n v="287.89999999999998"/>
    <x v="1"/>
    <s v="50 mm (AC22 Bind 30/45 60% PR ECO)"/>
    <d v="2021-08-31T00:00:00"/>
    <s v="16 70/100 Bestone"/>
    <n v="76300602"/>
    <m/>
    <s v="47 / 44"/>
    <n v="143"/>
    <m/>
  </r>
  <r>
    <s v="Krinkels- Van Gelder"/>
    <x v="1"/>
    <n v="31142566"/>
    <n v="6"/>
    <s v="1HRR"/>
    <m/>
    <n v="288.89"/>
    <n v="289.25"/>
    <s v="2R-R"/>
    <m/>
    <n v="288.89"/>
    <n v="289.25"/>
    <x v="1"/>
    <s v="50 mm (AC22 Bind 30/45 60% PR ECO)"/>
    <d v="2021-09-02T00:00:00"/>
    <s v="16 70/100 Bestone"/>
    <n v="76300602"/>
    <m/>
    <s v="170 /155"/>
    <n v="137.30000000000001"/>
    <m/>
  </r>
  <r>
    <s v="Krinkels- Van Gelder"/>
    <x v="1"/>
    <n v="31142566"/>
    <n v="6"/>
    <s v="1HRR"/>
    <m/>
    <n v="288.89"/>
    <n v="289.25"/>
    <s v="1U-R"/>
    <m/>
    <n v="288.89"/>
    <n v="289.25"/>
    <x v="1"/>
    <s v="50 mm (AC22 Bind 30/45 60% PR ECO)"/>
    <d v="2021-09-02T00:00:00"/>
    <s v="16 70/100 Bestone"/>
    <n v="76300602"/>
    <m/>
    <s v="189 / 219"/>
    <n v="141.30000000000001"/>
    <m/>
  </r>
  <r>
    <s v="Krinkels- Van Gelder"/>
    <x v="1"/>
    <n v="31142566"/>
    <n v="6"/>
    <s v="1HRR"/>
    <m/>
    <n v="258.5"/>
    <n v="258.60000000000002"/>
    <s v="2R-R"/>
    <m/>
    <n v="258.5"/>
    <n v="258.60000000000002"/>
    <x v="1"/>
    <m/>
    <d v="2021-10-16T00:00:00"/>
    <s v="PA8 Periphalt 45a Speciaal"/>
    <n v="74304200"/>
    <m/>
    <s v="24"/>
    <n v="153.6"/>
    <m/>
  </r>
  <r>
    <s v="Krinkels- Van Gelder"/>
    <x v="1"/>
    <n v="31142566"/>
    <n v="6"/>
    <s v="1HRR"/>
    <m/>
    <n v="260"/>
    <n v="260.3"/>
    <s v="2R-R"/>
    <m/>
    <n v="260"/>
    <n v="260.3"/>
    <x v="1"/>
    <m/>
    <d v="2021-10-16T00:00:00"/>
    <s v="PA8 Periphalt 45a Speciaal"/>
    <n v="74304200"/>
    <m/>
    <s v="73"/>
    <n v="143.6"/>
    <m/>
  </r>
  <r>
    <s v="Krinkels- Van Gelder"/>
    <x v="1"/>
    <n v="31142566"/>
    <n v="6"/>
    <s v="1HRR"/>
    <m/>
    <n v="261.39999999999998"/>
    <n v="261.5"/>
    <s v="2R-R"/>
    <m/>
    <n v="261.39999999999998"/>
    <n v="261.5"/>
    <x v="1"/>
    <m/>
    <d v="2021-10-16T00:00:00"/>
    <s v="PA8 Periphalt 45a Speciaal"/>
    <n v="74304200"/>
    <m/>
    <s v="24"/>
    <n v="140.5"/>
    <m/>
  </r>
  <r>
    <s v="Krinkels- Van Gelder"/>
    <x v="1"/>
    <n v="31142566"/>
    <n v="6"/>
    <s v="1HRR"/>
    <m/>
    <n v="261.45999999999998"/>
    <n v="261.60000000000002"/>
    <s v="2R-R"/>
    <m/>
    <n v="261.45999999999998"/>
    <n v="261.60000000000002"/>
    <x v="1"/>
    <m/>
    <d v="2021-10-16T00:00:00"/>
    <s v="PA8 Periphalt 45a Speciaal"/>
    <n v="74304200"/>
    <m/>
    <s v="34"/>
    <n v="130.5"/>
    <m/>
  </r>
  <r>
    <s v="Krinkels- Van Gelder"/>
    <x v="1"/>
    <n v="31142566"/>
    <n v="6"/>
    <s v="1HRR"/>
    <m/>
    <n v="262.66000000000003"/>
    <n v="262.75"/>
    <m/>
    <s v="ALLE"/>
    <n v="262.66000000000003"/>
    <n v="262.75"/>
    <x v="3"/>
    <m/>
    <d v="2021-10-16T00:00:00"/>
    <s v="8 SFB 5-50 PA Bestone"/>
    <n v="74303100"/>
    <m/>
    <s v="120"/>
    <n v="140"/>
    <m/>
  </r>
  <r>
    <s v="Krinkels- Van Gelder"/>
    <x v="1"/>
    <n v="31142566"/>
    <n v="6"/>
    <s v="1HRR"/>
    <m/>
    <n v="262.7"/>
    <n v="262.72500000000002"/>
    <s v="2R-R"/>
    <m/>
    <n v="262.7"/>
    <n v="262.72500000000002"/>
    <x v="6"/>
    <s v="50 mm (AC22 Bind 30/45 60% PR ECO)"/>
    <d v="2021-10-16T00:00:00"/>
    <m/>
    <m/>
    <m/>
    <s v="28"/>
    <m/>
    <m/>
  </r>
  <r>
    <s v="Krinkels- Van Gelder"/>
    <x v="1"/>
    <n v="31142566"/>
    <n v="6"/>
    <s v="1HRL"/>
    <m/>
    <n v="262.72500000000002"/>
    <n v="262.64999999999998"/>
    <m/>
    <s v="ALLE"/>
    <n v="262.64999999999998"/>
    <n v="262.72500000000002"/>
    <x v="3"/>
    <m/>
    <d v="2021-10-22T00:00:00"/>
    <s v="8 SFB 5-50 PA Bestone"/>
    <n v="74303100"/>
    <m/>
    <s v="100"/>
    <n v="142"/>
    <m/>
  </r>
  <r>
    <s v="Krinkels- Van Gelder"/>
    <x v="1"/>
    <n v="31142566"/>
    <n v="6"/>
    <s v="1HRL"/>
    <m/>
    <n v="261.5"/>
    <n v="261.10000000000002"/>
    <s v="2R-L"/>
    <m/>
    <n v="261.10000000000002"/>
    <n v="261.5"/>
    <x v="1"/>
    <m/>
    <d v="2021-10-16T00:00:00"/>
    <s v="PA8 Periphalt 45a Speciaal"/>
    <n v="74304200"/>
    <m/>
    <s v="97"/>
    <n v="147.5"/>
    <m/>
  </r>
  <r>
    <s v="Krinkels- Van Gelder"/>
    <x v="1"/>
    <n v="31142566"/>
    <n v="6"/>
    <s v="1HRL"/>
    <m/>
    <n v="261.60000000000002"/>
    <n v="261.3"/>
    <s v="1I-L"/>
    <m/>
    <n v="261.3"/>
    <n v="261.60000000000002"/>
    <x v="1"/>
    <m/>
    <d v="2021-10-16T00:00:00"/>
    <s v="PA8 Periphalt 45a Speciaal"/>
    <n v="74304200"/>
    <m/>
    <s v="73"/>
    <n v="149"/>
    <m/>
  </r>
  <r>
    <s v="Heijmans"/>
    <x v="1"/>
    <n v="31126912"/>
    <n v="6"/>
    <s v="1HRL"/>
    <m/>
    <n v="87.25"/>
    <n v="98.13"/>
    <m/>
    <s v="ALLE"/>
    <n v="87.25"/>
    <n v="98.13"/>
    <x v="9"/>
    <s v="0-65"/>
    <d v="2021-05-31T00:00:00"/>
    <s v="0/16"/>
    <s v="AP84961"/>
    <m/>
    <m/>
    <m/>
    <m/>
  </r>
  <r>
    <s v="Heijmans"/>
    <x v="1"/>
    <n v="31126912"/>
    <n v="6"/>
    <s v="1HRR"/>
    <m/>
    <n v="87.23"/>
    <n v="97.3"/>
    <m/>
    <s v="ALLE"/>
    <n v="87.23"/>
    <n v="97.3"/>
    <x v="9"/>
    <s v="0-65"/>
    <d v="2021-05-31T00:00:00"/>
    <s v="0/16"/>
    <s v="AP84961"/>
    <m/>
    <m/>
    <m/>
    <m/>
  </r>
  <r>
    <s v="Heijmans"/>
    <x v="1"/>
    <n v="31126912"/>
    <n v="6"/>
    <s v="1HRR"/>
    <m/>
    <n v="97.3"/>
    <n v="98.13"/>
    <m/>
    <s v="ALLE"/>
    <n v="97.3"/>
    <n v="98.13"/>
    <x v="10"/>
    <n v="65"/>
    <d v="2021-05-31T00:00:00"/>
    <s v="0/8"/>
    <s v="AP86409"/>
    <m/>
    <m/>
    <m/>
    <m/>
  </r>
  <r>
    <s v="Heijmans"/>
    <x v="1"/>
    <n v="31126912"/>
    <n v="6"/>
    <s v="0VW"/>
    <s v="q"/>
    <n v="90.9"/>
    <n v="90.3"/>
    <m/>
    <s v="ALLE"/>
    <n v="90.3"/>
    <n v="90.9"/>
    <x v="11"/>
    <m/>
    <d v="2021-09-06T00:00:00"/>
    <s v="0/11"/>
    <n v="88407"/>
    <m/>
    <m/>
    <m/>
    <s v="VZP Rivierduin"/>
  </r>
  <r>
    <s v="Heijmans"/>
    <x v="1"/>
    <n v="31126912"/>
    <n v="6"/>
    <s v="0VW"/>
    <s v="p"/>
    <n v="90.6"/>
    <n v="91"/>
    <m/>
    <s v="ALLE"/>
    <n v="90.6"/>
    <n v="91"/>
    <x v="11"/>
    <m/>
    <d v="2021-09-06T00:00:00"/>
    <s v="0/11"/>
    <n v="88407"/>
    <m/>
    <m/>
    <m/>
    <s v="VZP Oeverwal"/>
  </r>
  <r>
    <s v="KWS Infra"/>
    <x v="2"/>
    <n v="31163605"/>
    <n v="57"/>
    <s v="1HRR"/>
    <m/>
    <n v="23.1"/>
    <n v="23.6"/>
    <m/>
    <s v="ALLE"/>
    <n v="23.1"/>
    <n v="23.6"/>
    <x v="9"/>
    <m/>
    <d v="2021-10-14T00:00:00"/>
    <m/>
    <m/>
    <s v="APR of APH"/>
    <n v="500"/>
    <m/>
    <m/>
  </r>
  <r>
    <s v="KWS Infra"/>
    <x v="2"/>
    <n v="31163605"/>
    <n v="57"/>
    <s v="1HRR"/>
    <m/>
    <n v="23.6"/>
    <n v="23.9"/>
    <m/>
    <s v="ALLE"/>
    <n v="23.6"/>
    <n v="23.9"/>
    <x v="12"/>
    <m/>
    <d v="2021-10-14T00:00:00"/>
    <m/>
    <m/>
    <s v="APR of APH"/>
    <n v="300"/>
    <m/>
    <m/>
  </r>
  <r>
    <s v="KWS Infra"/>
    <x v="2"/>
    <n v="31163605"/>
    <n v="57"/>
    <s v="0VW"/>
    <s v="c"/>
    <n v="60.4"/>
    <n v="60.8"/>
    <m/>
    <s v="ALLE"/>
    <n v="60.4"/>
    <n v="60.8"/>
    <x v="8"/>
    <m/>
    <d v="2021-10-19T00:00:00"/>
    <m/>
    <m/>
    <s v="APR of APH"/>
    <n v="400"/>
    <m/>
    <m/>
  </r>
  <r>
    <s v="KWS Infra"/>
    <x v="2"/>
    <n v="31163605"/>
    <n v="57"/>
    <s v="0VW"/>
    <s v="a"/>
    <n v="60.6"/>
    <n v="61.1"/>
    <m/>
    <s v="ALLE"/>
    <n v="60.6"/>
    <n v="61.1"/>
    <x v="8"/>
    <m/>
    <d v="2021-10-19T00:00:00"/>
    <m/>
    <m/>
    <s v="APR of APH"/>
    <n v="500"/>
    <m/>
    <m/>
  </r>
  <r>
    <s v="KWS Infra"/>
    <x v="2"/>
    <n v="31163605"/>
    <n v="57"/>
    <s v="1HRL"/>
    <m/>
    <n v="78.025000000000006"/>
    <n v="78.135000000000005"/>
    <m/>
    <s v="ALLE"/>
    <n v="78.025000000000006"/>
    <n v="78.135000000000005"/>
    <x v="12"/>
    <m/>
    <d v="2021-10-17T00:00:00"/>
    <m/>
    <m/>
    <s v="APR of APH"/>
    <n v="110"/>
    <m/>
    <m/>
  </r>
  <r>
    <s v="KWS Infra"/>
    <x v="2"/>
    <n v="31163605"/>
    <n v="57"/>
    <s v="1HRL"/>
    <m/>
    <n v="78.135000000000005"/>
    <n v="79.75"/>
    <m/>
    <s v="ALLE"/>
    <n v="78.135000000000005"/>
    <n v="79.75"/>
    <x v="3"/>
    <m/>
    <d v="2021-10-17T00:00:00"/>
    <m/>
    <m/>
    <s v="APR of APH"/>
    <n v="2185.2600000000002"/>
    <m/>
    <m/>
  </r>
  <r>
    <s v="KWS Infra"/>
    <x v="2"/>
    <n v="31163605"/>
    <n v="57"/>
    <s v="1HRL"/>
    <m/>
    <n v="79.75"/>
    <n v="80.400000000000006"/>
    <m/>
    <s v="ALLE"/>
    <n v="79.75"/>
    <n v="80.400000000000006"/>
    <x v="9"/>
    <m/>
    <d v="2021-10-17T00:00:00"/>
    <m/>
    <m/>
    <s v="APR of APH"/>
    <n v="559"/>
    <m/>
    <m/>
  </r>
  <r>
    <s v="KWS Infra"/>
    <x v="2"/>
    <n v="31163605"/>
    <n v="57"/>
    <s v="1HRR"/>
    <m/>
    <n v="78.025000000000006"/>
    <n v="78.135000000000005"/>
    <m/>
    <s v="ALLE"/>
    <n v="78.025000000000006"/>
    <n v="78.135000000000005"/>
    <x v="12"/>
    <m/>
    <d v="2021-09-26T00:00:00"/>
    <m/>
    <m/>
    <s v="APR of APH"/>
    <n v="110"/>
    <m/>
    <m/>
  </r>
  <r>
    <s v="KWS Infra"/>
    <x v="2"/>
    <n v="31163605"/>
    <n v="57"/>
    <s v="1HRR"/>
    <m/>
    <n v="78.135000000000005"/>
    <n v="79.75"/>
    <m/>
    <s v="ALLE"/>
    <n v="78.135000000000005"/>
    <n v="79.75"/>
    <x v="3"/>
    <m/>
    <d v="2021-09-26T00:00:00"/>
    <m/>
    <m/>
    <s v="APR of APH"/>
    <n v="1944.46"/>
    <m/>
    <m/>
  </r>
  <r>
    <s v="KWS Infra"/>
    <x v="2"/>
    <n v="31163605"/>
    <n v="57"/>
    <s v="1HRR"/>
    <m/>
    <n v="79.75"/>
    <n v="80.400000000000006"/>
    <m/>
    <s v="ALLE"/>
    <n v="79.75"/>
    <n v="80.400000000000006"/>
    <x v="9"/>
    <m/>
    <d v="2021-09-26T00:00:00"/>
    <m/>
    <m/>
    <s v="APR of APH"/>
    <n v="559"/>
    <m/>
    <m/>
  </r>
  <r>
    <s v="KWS Infra"/>
    <x v="2"/>
    <n v="31163605"/>
    <n v="58"/>
    <s v="0VW"/>
    <s v="a"/>
    <n v="141.5"/>
    <n v="141.9"/>
    <m/>
    <s v="ALLE"/>
    <n v="141.5"/>
    <n v="141.9"/>
    <x v="8"/>
    <m/>
    <d v="2021-06-23T00:00:00"/>
    <m/>
    <m/>
    <s v="APR of APH"/>
    <n v="400"/>
    <m/>
    <m/>
  </r>
  <r>
    <s v="KWS Infra"/>
    <x v="2"/>
    <n v="31163605"/>
    <n v="59"/>
    <s v="PWL"/>
    <m/>
    <n v="17.8"/>
    <n v="18.8"/>
    <m/>
    <s v="ALLE"/>
    <n v="17.8"/>
    <n v="18.8"/>
    <x v="8"/>
    <m/>
    <d v="2021-10-29T00:00:00"/>
    <m/>
    <m/>
    <s v="APR of APH"/>
    <n v="1000"/>
    <m/>
    <m/>
  </r>
  <r>
    <s v="KWS Infra"/>
    <x v="2"/>
    <n v="31163605"/>
    <n v="59"/>
    <s v="PWL"/>
    <m/>
    <n v="18.8"/>
    <n v="19.600000000000001"/>
    <m/>
    <s v="ALLE"/>
    <n v="18.8"/>
    <n v="19.600000000000001"/>
    <x v="8"/>
    <m/>
    <d v="2021-11-03T00:00:00"/>
    <m/>
    <m/>
    <s v="APR of APH"/>
    <n v="800"/>
    <m/>
    <m/>
  </r>
  <r>
    <s v="Heijmans"/>
    <x v="3"/>
    <n v="31143638"/>
    <n v="79"/>
    <s v="1HRR"/>
    <m/>
    <n v="0.92900000000000005"/>
    <n v="1.151"/>
    <m/>
    <s v="ALLE"/>
    <n v="0.92900000000000005"/>
    <n v="1.151"/>
    <x v="9"/>
    <m/>
    <d v="2021-03-01T00:00:00"/>
    <s v="0/16"/>
    <n v="55312"/>
    <s v="ACS"/>
    <n v="3350.3400000000006"/>
    <m/>
    <m/>
  </r>
  <r>
    <s v="Heijmans"/>
    <x v="3"/>
    <n v="31143638"/>
    <n v="79"/>
    <s v="1HRR"/>
    <m/>
    <n v="3.5880000000000001"/>
    <n v="3.633"/>
    <m/>
    <s v="ALLE"/>
    <n v="3.5880000000000001"/>
    <n v="3.633"/>
    <x v="13"/>
    <m/>
    <d v="2021-03-01T00:00:00"/>
    <s v="0/11"/>
    <n v="91709"/>
    <s v="ACHH"/>
    <n v="67.499999999999886"/>
    <m/>
    <m/>
  </r>
  <r>
    <s v="Heijmans"/>
    <x v="3"/>
    <n v="31143638"/>
    <n v="79"/>
    <s v="1HRR"/>
    <m/>
    <n v="3.633"/>
    <n v="4.1159999999999997"/>
    <m/>
    <s v="ALLE"/>
    <n v="3.633"/>
    <n v="4.1159999999999997"/>
    <x v="9"/>
    <m/>
    <d v="2021-03-01T00:00:00"/>
    <s v="0/16"/>
    <n v="55312"/>
    <s v="ACS"/>
    <n v="735.83999999999969"/>
    <m/>
    <m/>
  </r>
  <r>
    <s v="Heijmans"/>
    <x v="3"/>
    <n v="31143638"/>
    <n v="79"/>
    <s v="1HRR"/>
    <m/>
    <n v="4.2169999999999996"/>
    <n v="4.3360000000000003"/>
    <m/>
    <s v="ALLE"/>
    <n v="4.2169999999999996"/>
    <n v="4.3360000000000003"/>
    <x v="13"/>
    <m/>
    <d v="2021-03-01T00:00:00"/>
    <s v="0/11"/>
    <n v="91709"/>
    <s v="ACHH"/>
    <n v="178.50000000000097"/>
    <m/>
    <m/>
  </r>
  <r>
    <s v="Heijmans"/>
    <x v="3"/>
    <n v="31143638"/>
    <n v="79"/>
    <s v="1HRR"/>
    <m/>
    <n v="4.3360000000000003"/>
    <n v="4.6040000000000001"/>
    <m/>
    <s v="ALLE"/>
    <n v="4.3360000000000003"/>
    <n v="4.6040000000000001"/>
    <x v="9"/>
    <m/>
    <d v="2021-03-01T00:00:00"/>
    <s v="0/16"/>
    <n v="55312"/>
    <s v="ACS"/>
    <n v="6504.12"/>
    <m/>
    <m/>
  </r>
  <r>
    <s v="Heijmans"/>
    <x v="3"/>
    <n v="31143638"/>
    <n v="79"/>
    <s v="1HRR"/>
    <m/>
    <n v="9.4979999999999993"/>
    <n v="9.5739999999999998"/>
    <m/>
    <s v="ALLE"/>
    <n v="9.4979999999999993"/>
    <n v="9.5739999999999998"/>
    <x v="13"/>
    <m/>
    <d v="2021-05-01T00:00:00"/>
    <s v="0/11"/>
    <n v="91709"/>
    <s v="ACHH"/>
    <n v="114.00000000000077"/>
    <m/>
    <m/>
  </r>
  <r>
    <s v="Heijmans"/>
    <x v="3"/>
    <n v="31143638"/>
    <n v="79"/>
    <s v="1HRR"/>
    <m/>
    <n v="9.5739999999999998"/>
    <n v="9.6"/>
    <m/>
    <s v="ALLE"/>
    <n v="9.5739999999999998"/>
    <n v="9.6"/>
    <x v="9"/>
    <m/>
    <d v="2021-05-01T00:00:00"/>
    <s v="0/16"/>
    <n v="55312"/>
    <s v="ACS"/>
    <n v="1455.2999999999993"/>
    <m/>
    <m/>
  </r>
  <r>
    <s v="Heijmans"/>
    <x v="3"/>
    <n v="31143638"/>
    <n v="79"/>
    <s v="1HRR"/>
    <m/>
    <n v="10.728999999999999"/>
    <n v="10.795999999999999"/>
    <m/>
    <s v="ALLE"/>
    <n v="10.728999999999999"/>
    <n v="10.795999999999999"/>
    <x v="13"/>
    <m/>
    <d v="2021-05-01T00:00:00"/>
    <s v="0/11"/>
    <n v="91709"/>
    <s v="ACHH"/>
    <n v="100.50000000000026"/>
    <m/>
    <m/>
  </r>
  <r>
    <s v="Heijmans"/>
    <x v="3"/>
    <n v="31143638"/>
    <n v="79"/>
    <s v="1HRR"/>
    <m/>
    <n v="10.795999999999999"/>
    <n v="11.202"/>
    <m/>
    <s v="ALLE"/>
    <n v="10.795999999999999"/>
    <n v="11.202"/>
    <x v="9"/>
    <m/>
    <d v="2021-05-01T00:00:00"/>
    <s v="0/16"/>
    <n v="55312"/>
    <s v="ACS"/>
    <n v="1392.3000000000006"/>
    <m/>
    <m/>
  </r>
  <r>
    <s v="Heijmans"/>
    <x v="3"/>
    <n v="31143638"/>
    <n v="79"/>
    <s v="1HRR"/>
    <m/>
    <n v="11.901"/>
    <n v="12.237"/>
    <m/>
    <s v="ALLE"/>
    <n v="11.901"/>
    <n v="12.237"/>
    <x v="14"/>
    <m/>
    <d v="2021-05-01T00:00:00"/>
    <s v="0/8"/>
    <n v="53007"/>
    <s v="ACS"/>
    <n v="211.68000000000018"/>
    <m/>
    <m/>
  </r>
  <r>
    <s v="Heijmans"/>
    <x v="3"/>
    <n v="31143638"/>
    <n v="79"/>
    <s v="1HRR"/>
    <m/>
    <n v="12.237"/>
    <n v="12.302"/>
    <m/>
    <s v="ALLE"/>
    <n v="12.237"/>
    <n v="12.302"/>
    <x v="13"/>
    <m/>
    <d v="2021-05-01T00:00:00"/>
    <s v="0/11"/>
    <n v="91709"/>
    <s v="ACHH"/>
    <n v="97.499999999999261"/>
    <m/>
    <m/>
  </r>
  <r>
    <s v="Heijmans"/>
    <x v="3"/>
    <n v="31143638"/>
    <n v="79"/>
    <s v="1HRR"/>
    <m/>
    <n v="12.302"/>
    <n v="12.500999999999999"/>
    <m/>
    <s v="ALLE"/>
    <n v="12.302"/>
    <n v="12.500999999999999"/>
    <x v="14"/>
    <m/>
    <d v="2021-05-01T00:00:00"/>
    <s v="0/8"/>
    <n v="53007"/>
    <s v="ACS"/>
    <n v="125.36999999999992"/>
    <m/>
    <m/>
  </r>
  <r>
    <s v="Heijmans"/>
    <x v="3"/>
    <n v="31143638"/>
    <n v="79"/>
    <s v="1HRR"/>
    <m/>
    <n v="12.500999999999999"/>
    <n v="13.305999999999999"/>
    <m/>
    <s v="ALLE"/>
    <n v="12.500999999999999"/>
    <n v="13.305999999999999"/>
    <x v="9"/>
    <m/>
    <d v="2021-05-01T00:00:00"/>
    <s v="0/16"/>
    <n v="55312"/>
    <s v="ACS"/>
    <n v="1014.3"/>
    <m/>
    <m/>
  </r>
  <r>
    <s v="Heijmans"/>
    <x v="3"/>
    <n v="31143638"/>
    <n v="79"/>
    <s v="1HRR"/>
    <m/>
    <n v="13.305999999999999"/>
    <n v="13.374000000000001"/>
    <m/>
    <s v="ALLE"/>
    <n v="13.305999999999999"/>
    <n v="13.374000000000001"/>
    <x v="13"/>
    <m/>
    <d v="2021-05-01T00:00:00"/>
    <s v="0/11"/>
    <n v="91709"/>
    <s v="ACHH"/>
    <n v="102.00000000000209"/>
    <m/>
    <m/>
  </r>
  <r>
    <s v="Heijmans"/>
    <x v="3"/>
    <n v="31143638"/>
    <n v="79"/>
    <s v="1HRR"/>
    <m/>
    <n v="13.374000000000001"/>
    <n v="15.199"/>
    <m/>
    <s v="ALLE"/>
    <n v="13.374000000000001"/>
    <n v="15.199"/>
    <x v="9"/>
    <m/>
    <d v="2021-05-01T00:00:00"/>
    <s v="0/16"/>
    <n v="55312"/>
    <s v="ACS"/>
    <n v="2299.4999999999991"/>
    <m/>
    <m/>
  </r>
  <r>
    <s v="Heijmans"/>
    <x v="3"/>
    <n v="31143638"/>
    <n v="79"/>
    <s v="1HRR"/>
    <m/>
    <n v="15.199"/>
    <n v="15.441000000000001"/>
    <m/>
    <s v="ALLE"/>
    <n v="15.199"/>
    <n v="15.441000000000001"/>
    <x v="14"/>
    <m/>
    <d v="2021-05-01T00:00:00"/>
    <s v="0/8"/>
    <n v="53007"/>
    <s v="ACS"/>
    <n v="152.46000000000055"/>
    <m/>
    <m/>
  </r>
  <r>
    <s v="Heijmans"/>
    <x v="3"/>
    <n v="31143638"/>
    <n v="79"/>
    <s v="1HRR"/>
    <m/>
    <n v="15.441000000000001"/>
    <n v="15.449"/>
    <m/>
    <s v="ALLE"/>
    <n v="15.441000000000001"/>
    <n v="15.449"/>
    <x v="9"/>
    <m/>
    <d v="2021-05-01T00:00:00"/>
    <s v="0/16"/>
    <n v="55312"/>
    <s v="ACS"/>
    <n v="10.07999999999889"/>
    <m/>
    <m/>
  </r>
  <r>
    <s v="Heijmans"/>
    <x v="3"/>
    <n v="31143638"/>
    <n v="79"/>
    <s v="1HRR"/>
    <m/>
    <n v="15.449"/>
    <n v="16.579999999999998"/>
    <m/>
    <s v="ALLE"/>
    <n v="15.449"/>
    <n v="16.579999999999998"/>
    <x v="14"/>
    <m/>
    <d v="2021-05-01T00:00:00"/>
    <s v="0/8"/>
    <n v="53007"/>
    <s v="ACS"/>
    <n v="712.52999999999906"/>
    <m/>
    <m/>
  </r>
  <r>
    <s v="Heijmans"/>
    <x v="3"/>
    <n v="31143638"/>
    <n v="79"/>
    <s v="1HRR"/>
    <m/>
    <n v="16.579999999999998"/>
    <n v="16.631"/>
    <m/>
    <s v="ALLE"/>
    <n v="16.579999999999998"/>
    <n v="16.631"/>
    <x v="13"/>
    <m/>
    <d v="2021-05-01T00:00:00"/>
    <s v="0/11"/>
    <n v="91709"/>
    <s v="ACHH"/>
    <n v="76.500000000002899"/>
    <m/>
    <m/>
  </r>
  <r>
    <s v="Heijmans"/>
    <x v="3"/>
    <n v="31143638"/>
    <n v="79"/>
    <s v="0VW"/>
    <s v="b"/>
    <n v="1.0620000000000001"/>
    <n v="1.325"/>
    <m/>
    <s v="ALLE"/>
    <n v="1.0620000000000001"/>
    <n v="1.325"/>
    <x v="4"/>
    <m/>
    <d v="2021-03-01T00:00:00"/>
    <s v="0/11"/>
    <n v="44051"/>
    <s v="ACS"/>
    <n v="246.56249999999989"/>
    <m/>
    <m/>
  </r>
  <r>
    <s v="Heijmans"/>
    <x v="3"/>
    <n v="31143638"/>
    <n v="79"/>
    <s v="0VW"/>
    <s v="a"/>
    <n v="3.7989999999999999"/>
    <n v="4.1509999999999998"/>
    <m/>
    <s v="ALLE"/>
    <n v="3.7989999999999999"/>
    <n v="4.1509999999999998"/>
    <x v="4"/>
    <m/>
    <d v="2021-03-01T00:00:00"/>
    <s v="0/11"/>
    <n v="44051"/>
    <s v="ACS"/>
    <n v="329.99999999999989"/>
    <m/>
    <m/>
  </r>
  <r>
    <s v="Heijmans"/>
    <x v="3"/>
    <n v="31143638"/>
    <n v="79"/>
    <s v="0VW"/>
    <s v="b"/>
    <n v="4.1130000000000004"/>
    <n v="4.7859999999999996"/>
    <m/>
    <s v="ALLE"/>
    <n v="4.1130000000000004"/>
    <n v="4.7859999999999996"/>
    <x v="4"/>
    <m/>
    <d v="2021-03-01T00:00:00"/>
    <s v="0/11"/>
    <n v="44051"/>
    <s v="ACS"/>
    <n v="630.93749999999932"/>
    <m/>
    <m/>
  </r>
  <r>
    <s v="Heijmans"/>
    <x v="3"/>
    <n v="31143638"/>
    <n v="79"/>
    <s v="0VW"/>
    <s v="a"/>
    <n v="6.07"/>
    <n v="6.734"/>
    <m/>
    <s v="ALLE"/>
    <n v="6.07"/>
    <n v="6.734"/>
    <x v="4"/>
    <m/>
    <d v="2021-03-01T00:00:00"/>
    <s v="0/11"/>
    <n v="44051"/>
    <s v="ACS"/>
    <n v="622.49999999999966"/>
    <m/>
    <m/>
  </r>
  <r>
    <s v="Heijmans"/>
    <x v="3"/>
    <n v="31143638"/>
    <n v="79"/>
    <s v="0VW"/>
    <s v="b"/>
    <n v="6.8559999999999999"/>
    <n v="7.1050000000000004"/>
    <m/>
    <s v="ALLE"/>
    <n v="6.8559999999999999"/>
    <n v="7.1050000000000004"/>
    <x v="4"/>
    <m/>
    <d v="2021-03-01T00:00:00"/>
    <s v="0/11"/>
    <n v="44051"/>
    <s v="ACS"/>
    <n v="85.312500000000199"/>
    <m/>
    <m/>
  </r>
  <r>
    <s v="Heijmans"/>
    <x v="3"/>
    <n v="31143638"/>
    <n v="79"/>
    <s v="0VW"/>
    <s v="a"/>
    <n v="9.1890000000000001"/>
    <n v="9.5139999999999993"/>
    <m/>
    <s v="ALLE"/>
    <n v="9.1890000000000001"/>
    <n v="9.5139999999999993"/>
    <x v="4"/>
    <m/>
    <d v="2021-03-01T00:00:00"/>
    <s v="0/11"/>
    <n v="44051"/>
    <s v="ACS"/>
    <n v="304.68749999999943"/>
    <m/>
    <m/>
  </r>
  <r>
    <s v="Heijmans"/>
    <x v="3"/>
    <n v="31143638"/>
    <n v="79"/>
    <s v="0VW"/>
    <s v="b"/>
    <n v="9.56"/>
    <n v="9.891"/>
    <m/>
    <s v="ALLE"/>
    <n v="9.56"/>
    <n v="9.891"/>
    <x v="4"/>
    <m/>
    <d v="2021-05-01T00:00:00"/>
    <s v="0/11"/>
    <n v="44051"/>
    <s v="ACS"/>
    <n v="310.3124999999996"/>
    <m/>
    <m/>
  </r>
  <r>
    <s v="Heijmans"/>
    <x v="3"/>
    <n v="31143638"/>
    <n v="79"/>
    <s v="0VW"/>
    <s v="a"/>
    <n v="10.487"/>
    <n v="10.786"/>
    <m/>
    <s v="ALLE"/>
    <n v="10.487"/>
    <n v="10.786"/>
    <x v="4"/>
    <m/>
    <d v="2021-05-01T00:00:00"/>
    <s v="0/11"/>
    <n v="44051"/>
    <s v="ACS"/>
    <n v="280.31249999999955"/>
    <m/>
    <m/>
  </r>
  <r>
    <s v="Heijmans"/>
    <x v="3"/>
    <n v="31143638"/>
    <n v="79"/>
    <s v="0VW"/>
    <s v="b"/>
    <n v="13.332000000000001"/>
    <n v="13.475"/>
    <m/>
    <s v="ALLE"/>
    <n v="13.332000000000001"/>
    <n v="13.475"/>
    <x v="4"/>
    <m/>
    <d v="2021-05-01T00:00:00"/>
    <s v="0/11"/>
    <n v="44051"/>
    <s v="ACS"/>
    <n v="25.312499999999293"/>
    <m/>
    <m/>
  </r>
  <r>
    <s v="Heijmans"/>
    <x v="3"/>
    <n v="31143638"/>
    <n v="79"/>
    <s v="0VW"/>
    <s v="a"/>
    <n v="14.002000000000001"/>
    <n v="14.166"/>
    <m/>
    <s v="ALLE"/>
    <n v="14.002000000000001"/>
    <n v="14.166"/>
    <x v="4"/>
    <m/>
    <d v="2021-05-01T00:00:00"/>
    <s v="0/11"/>
    <n v="44051"/>
    <s v="ACS"/>
    <n v="122.81249999999856"/>
    <m/>
    <m/>
  </r>
  <r>
    <s v="Heijmans"/>
    <x v="3"/>
    <n v="31143638"/>
    <n v="79"/>
    <s v="1HRL"/>
    <m/>
    <n v="0.92900000000000005"/>
    <n v="1.151"/>
    <m/>
    <s v="ALLE"/>
    <n v="0.92900000000000005"/>
    <n v="1.151"/>
    <x v="9"/>
    <m/>
    <d v="2021-06-01T00:00:00"/>
    <s v="0/16"/>
    <n v="55312"/>
    <s v="ACS"/>
    <n v="3350.3400000000006"/>
    <m/>
    <m/>
  </r>
  <r>
    <s v="Heijmans"/>
    <x v="3"/>
    <n v="31143638"/>
    <n v="79"/>
    <s v="1HRL"/>
    <m/>
    <n v="3.5880000000000001"/>
    <n v="3.6339999999999999"/>
    <m/>
    <s v="ALLE"/>
    <n v="3.5880000000000001"/>
    <n v="3.6339999999999999"/>
    <x v="13"/>
    <m/>
    <d v="2021-06-01T00:00:00"/>
    <s v="0/11"/>
    <n v="91709"/>
    <s v="ACHH"/>
    <n v="68.999999999999716"/>
    <m/>
    <m/>
  </r>
  <r>
    <s v="Heijmans"/>
    <x v="3"/>
    <n v="31143638"/>
    <n v="79"/>
    <s v="1HRL"/>
    <m/>
    <n v="3.6339999999999999"/>
    <n v="3.9129999999999998"/>
    <m/>
    <s v="ALLE"/>
    <n v="3.6339999999999999"/>
    <n v="3.9129999999999998"/>
    <x v="9"/>
    <m/>
    <d v="2021-06-01T00:00:00"/>
    <s v="0/16"/>
    <n v="55312"/>
    <s v="ACS"/>
    <n v="690.48000000000059"/>
    <m/>
    <m/>
  </r>
  <r>
    <s v="Heijmans"/>
    <x v="3"/>
    <n v="31143638"/>
    <n v="79"/>
    <s v="1HRL"/>
    <m/>
    <n v="4.1820000000000004"/>
    <n v="4.3010000000000002"/>
    <m/>
    <s v="ALLE"/>
    <n v="4.1820000000000004"/>
    <n v="4.3010000000000002"/>
    <x v="13"/>
    <m/>
    <d v="2021-06-01T00:00:00"/>
    <s v="0/11"/>
    <n v="91709"/>
    <s v="ACHH"/>
    <n v="178.49999999999966"/>
    <m/>
    <m/>
  </r>
  <r>
    <s v="Heijmans"/>
    <x v="3"/>
    <n v="31143638"/>
    <n v="79"/>
    <s v="1HRL"/>
    <m/>
    <n v="4.3010000000000002"/>
    <n v="5.6520000000000001"/>
    <m/>
    <s v="ALLE"/>
    <n v="4.3010000000000002"/>
    <n v="5.6520000000000001"/>
    <x v="9"/>
    <m/>
    <d v="2021-06-01T00:00:00"/>
    <s v="0/16"/>
    <n v="55312"/>
    <s v="ACS"/>
    <n v="6548.2199999999993"/>
    <m/>
    <m/>
  </r>
  <r>
    <s v="Heijmans"/>
    <x v="3"/>
    <n v="31143638"/>
    <n v="79"/>
    <s v="1HRL"/>
    <m/>
    <n v="9.4979999999999993"/>
    <n v="9.5749999999999993"/>
    <m/>
    <s v="ALLE"/>
    <n v="9.4979999999999993"/>
    <n v="9.5749999999999993"/>
    <x v="13"/>
    <m/>
    <d v="2021-07-01T00:00:00"/>
    <s v="0/11"/>
    <n v="91709"/>
    <s v="ACHH"/>
    <n v="115.49999999999994"/>
    <m/>
    <m/>
  </r>
  <r>
    <s v="Heijmans"/>
    <x v="3"/>
    <n v="31143638"/>
    <n v="79"/>
    <s v="1HRL"/>
    <m/>
    <n v="9.4979999999999993"/>
    <n v="9.5749999999999993"/>
    <m/>
    <s v="ALLE"/>
    <n v="9.4979999999999993"/>
    <n v="9.5749999999999993"/>
    <x v="15"/>
    <m/>
    <d v="2021-07-01T00:00:00"/>
    <s v="0/11"/>
    <n v="92909"/>
    <s v="ACHH"/>
    <n v="115.49999999999994"/>
    <m/>
    <m/>
  </r>
  <r>
    <s v="Heijmans"/>
    <x v="3"/>
    <n v="31143638"/>
    <n v="79"/>
    <s v="1HRL"/>
    <m/>
    <n v="9.5749999999999993"/>
    <n v="10.717000000000001"/>
    <m/>
    <s v="ALLE"/>
    <n v="9.5749999999999993"/>
    <n v="10.717000000000001"/>
    <x v="9"/>
    <m/>
    <d v="2021-07-01T00:00:00"/>
    <s v="0/16"/>
    <n v="55312"/>
    <s v="ACS"/>
    <n v="1438.9200000000014"/>
    <m/>
    <m/>
  </r>
  <r>
    <s v="Heijmans"/>
    <x v="3"/>
    <n v="31143638"/>
    <n v="79"/>
    <s v="1HRL"/>
    <m/>
    <n v="10.717000000000001"/>
    <n v="10.784000000000001"/>
    <m/>
    <s v="ALLE"/>
    <n v="10.717000000000001"/>
    <n v="10.784000000000001"/>
    <x v="13"/>
    <m/>
    <d v="2021-07-01T00:00:00"/>
    <s v="0/11"/>
    <n v="91709"/>
    <s v="ACHH"/>
    <n v="100.50000000000026"/>
    <m/>
    <m/>
  </r>
  <r>
    <s v="Heijmans"/>
    <x v="3"/>
    <n v="31143638"/>
    <n v="79"/>
    <s v="1HRL"/>
    <m/>
    <n v="10.784000000000001"/>
    <n v="11.901"/>
    <m/>
    <s v="ALLE"/>
    <n v="10.784000000000001"/>
    <n v="11.901"/>
    <x v="9"/>
    <m/>
    <d v="2021-07-01T00:00:00"/>
    <s v="0/16"/>
    <n v="55312"/>
    <s v="ACS"/>
    <n v="1407.4199999999989"/>
    <m/>
    <m/>
  </r>
  <r>
    <s v="Heijmans"/>
    <x v="3"/>
    <n v="31143638"/>
    <n v="79"/>
    <s v="1HRL"/>
    <m/>
    <n v="11.901"/>
    <n v="12.247"/>
    <m/>
    <s v="ALLE"/>
    <n v="11.901"/>
    <n v="12.247"/>
    <x v="14"/>
    <m/>
    <d v="2021-07-01T00:00:00"/>
    <s v="0/8"/>
    <n v="53007"/>
    <s v="ACS"/>
    <n v="217.98000000000013"/>
    <m/>
    <m/>
  </r>
  <r>
    <s v="Heijmans"/>
    <x v="3"/>
    <n v="31143638"/>
    <n v="79"/>
    <s v="1HRL"/>
    <m/>
    <n v="12.247"/>
    <n v="12.314"/>
    <m/>
    <s v="ALLE"/>
    <n v="12.247"/>
    <n v="12.314"/>
    <x v="13"/>
    <m/>
    <d v="2021-07-01T00:00:00"/>
    <s v="0/11"/>
    <n v="91709"/>
    <s v="ACHH"/>
    <n v="100.50000000000026"/>
    <m/>
    <m/>
  </r>
  <r>
    <s v="Heijmans"/>
    <x v="3"/>
    <n v="31143638"/>
    <n v="79"/>
    <s v="1HRL"/>
    <m/>
    <n v="12.314"/>
    <n v="13.319000000000001"/>
    <m/>
    <s v="ALLE"/>
    <n v="12.314"/>
    <n v="13.319000000000001"/>
    <x v="14"/>
    <m/>
    <d v="2021-07-01T00:00:00"/>
    <s v="0/8"/>
    <n v="53007"/>
    <s v="ACS"/>
    <n v="633.15000000000055"/>
    <m/>
    <m/>
  </r>
  <r>
    <s v="Heijmans"/>
    <x v="3"/>
    <n v="31143638"/>
    <n v="79"/>
    <s v="1HRL"/>
    <m/>
    <n v="13.319000000000001"/>
    <n v="13.385"/>
    <m/>
    <s v="ALLE"/>
    <n v="13.319000000000001"/>
    <n v="13.385"/>
    <x v="13"/>
    <m/>
    <d v="2021-07-01T00:00:00"/>
    <s v="0/11"/>
    <n v="91709"/>
    <s v="ACHH"/>
    <n v="98.999999999998423"/>
    <m/>
    <m/>
  </r>
  <r>
    <s v="Heijmans"/>
    <x v="3"/>
    <n v="31143638"/>
    <n v="79"/>
    <s v="1HRL"/>
    <m/>
    <n v="13.385"/>
    <n v="13.55"/>
    <m/>
    <s v="ALLE"/>
    <n v="13.385"/>
    <n v="13.55"/>
    <x v="9"/>
    <m/>
    <d v="2021-07-01T00:00:00"/>
    <s v="0/16"/>
    <n v="55312"/>
    <s v="ACS"/>
    <n v="774.90000000000032"/>
    <m/>
    <m/>
  </r>
  <r>
    <s v="Heijmans"/>
    <x v="3"/>
    <n v="31143638"/>
    <n v="79"/>
    <s v="1HRL"/>
    <m/>
    <n v="14"/>
    <n v="14.4"/>
    <m/>
    <s v="ALLE"/>
    <n v="14"/>
    <n v="14.4"/>
    <x v="14"/>
    <m/>
    <d v="2021-07-01T00:00:00"/>
    <s v="0/8"/>
    <n v="53007"/>
    <s v="ACS"/>
    <n v="252.00000000000026"/>
    <m/>
    <m/>
  </r>
  <r>
    <s v="Heijmans"/>
    <x v="3"/>
    <n v="31143638"/>
    <n v="79"/>
    <s v="1HRL"/>
    <m/>
    <n v="14.4"/>
    <n v="14.622999999999999"/>
    <m/>
    <s v="ALLE"/>
    <n v="14.4"/>
    <n v="14.622999999999999"/>
    <x v="9"/>
    <m/>
    <d v="2021-07-01T00:00:00"/>
    <s v="0/16"/>
    <n v="55312"/>
    <s v="ACS"/>
    <n v="755.99999999999966"/>
    <m/>
    <m/>
  </r>
  <r>
    <s v="Heijmans"/>
    <x v="3"/>
    <n v="31143638"/>
    <n v="79"/>
    <s v="1HRL"/>
    <m/>
    <n v="15"/>
    <n v="15.411"/>
    <m/>
    <s v="ALLE"/>
    <n v="15"/>
    <n v="15.411"/>
    <x v="14"/>
    <m/>
    <d v="2021-07-01T00:00:00"/>
    <s v="0/8"/>
    <n v="53007"/>
    <s v="ACS"/>
    <n v="258.92999999999978"/>
    <m/>
    <m/>
  </r>
  <r>
    <s v="Heijmans"/>
    <x v="3"/>
    <n v="31143638"/>
    <n v="79"/>
    <s v="1HRL"/>
    <m/>
    <n v="15.441000000000001"/>
    <n v="15.45"/>
    <m/>
    <s v="ALLE"/>
    <n v="15.441000000000001"/>
    <n v="15.45"/>
    <x v="9"/>
    <m/>
    <d v="2021-07-01T00:00:00"/>
    <s v="0/16"/>
    <n v="55312"/>
    <s v="ACS"/>
    <n v="11.339999999998192"/>
    <m/>
    <m/>
  </r>
  <r>
    <s v="Heijmans"/>
    <x v="3"/>
    <n v="31143638"/>
    <n v="79"/>
    <s v="1HRL"/>
    <m/>
    <n v="15.45"/>
    <n v="15.478"/>
    <m/>
    <s v="ALLE"/>
    <n v="15.45"/>
    <n v="15.478"/>
    <x v="14"/>
    <m/>
    <d v="2021-07-01T00:00:00"/>
    <s v="0/8"/>
    <n v="53007"/>
    <s v="ACS"/>
    <n v="711.89999999999952"/>
    <m/>
    <m/>
  </r>
  <r>
    <s v="Heijmans"/>
    <x v="3"/>
    <n v="31143638"/>
    <n v="79"/>
    <s v="1HRL"/>
    <m/>
    <n v="16.579999999999998"/>
    <n v="16.631"/>
    <m/>
    <s v="ALLE"/>
    <n v="16.579999999999998"/>
    <n v="16.631"/>
    <x v="13"/>
    <m/>
    <d v="2021-07-01T00:00:00"/>
    <s v="0/11"/>
    <n v="91709"/>
    <s v="ACHH"/>
    <n v="76.500000000002899"/>
    <m/>
    <m/>
  </r>
  <r>
    <s v="Heijmans"/>
    <x v="3"/>
    <n v="31143638"/>
    <n v="79"/>
    <s v="0VW"/>
    <s v="c"/>
    <n v="1.0620000000000001"/>
    <n v="1.2769999999999999"/>
    <m/>
    <s v="ALLE"/>
    <n v="1.0620000000000001"/>
    <n v="1.2769999999999999"/>
    <x v="4"/>
    <m/>
    <d v="2021-06-01T00:00:00"/>
    <s v="0/11"/>
    <n v="44051"/>
    <s v="ACS"/>
    <n v="201.56249999999986"/>
    <m/>
    <m/>
  </r>
  <r>
    <s v="Heijmans"/>
    <x v="3"/>
    <n v="31143638"/>
    <n v="79"/>
    <s v="0VW"/>
    <s v="d"/>
    <n v="3.7469999999999999"/>
    <n v="3.8519999999999999"/>
    <m/>
    <s v="ALLE"/>
    <n v="3.7469999999999999"/>
    <n v="3.8519999999999999"/>
    <x v="4"/>
    <m/>
    <d v="2021-06-01T00:00:00"/>
    <s v="0/11"/>
    <n v="44051"/>
    <s v="ACS"/>
    <n v="21.562499999999709"/>
    <m/>
    <m/>
  </r>
  <r>
    <s v="Heijmans"/>
    <x v="3"/>
    <n v="31143638"/>
    <n v="79"/>
    <s v="0VW"/>
    <s v="c"/>
    <n v="4.173"/>
    <n v="4.71"/>
    <m/>
    <s v="ALLE"/>
    <n v="4.173"/>
    <n v="4.71"/>
    <x v="4"/>
    <m/>
    <d v="2021-06-01T00:00:00"/>
    <s v="0/11"/>
    <n v="44051"/>
    <s v="ACS"/>
    <n v="503.43749999999989"/>
    <m/>
    <m/>
  </r>
  <r>
    <s v="Heijmans"/>
    <x v="3"/>
    <n v="31143638"/>
    <n v="79"/>
    <s v="0VW"/>
    <s v="d"/>
    <n v="6.0830000000000002"/>
    <n v="6.7030000000000003"/>
    <m/>
    <s v="ALLE"/>
    <n v="6.0830000000000002"/>
    <n v="6.7030000000000003"/>
    <x v="4"/>
    <m/>
    <d v="2021-06-01T00:00:00"/>
    <s v="0/11"/>
    <n v="44051"/>
    <s v="ACS"/>
    <n v="581.25000000000011"/>
    <m/>
    <m/>
  </r>
  <r>
    <s v="Heijmans"/>
    <x v="3"/>
    <n v="31143638"/>
    <n v="79"/>
    <s v="0VW"/>
    <s v="c"/>
    <n v="6.8449999999999998"/>
    <n v="7.2629999999999999"/>
    <m/>
    <s v="ALLE"/>
    <n v="6.8449999999999998"/>
    <n v="7.2629999999999999"/>
    <x v="4"/>
    <m/>
    <d v="2021-06-01T00:00:00"/>
    <s v="0/11"/>
    <n v="44051"/>
    <s v="ACS"/>
    <n v="391.87500000000017"/>
    <m/>
    <m/>
  </r>
  <r>
    <s v="Heijmans"/>
    <x v="3"/>
    <n v="31143638"/>
    <n v="79"/>
    <s v="0VW"/>
    <s v="d"/>
    <n v="9.1530000000000005"/>
    <n v="9.6120000000000001"/>
    <m/>
    <s v="ALLE"/>
    <n v="9.1530000000000005"/>
    <n v="9.6120000000000001"/>
    <x v="4"/>
    <m/>
    <d v="2021-06-01T00:00:00"/>
    <s v="0/11"/>
    <n v="44051"/>
    <s v="ACS"/>
    <n v="336.5625"/>
    <m/>
    <m/>
  </r>
  <r>
    <s v="Heijmans"/>
    <x v="3"/>
    <n v="31143638"/>
    <n v="79"/>
    <s v="0VW"/>
    <s v="c"/>
    <n v="9.1890000000000001"/>
    <n v="9.5960000000000001"/>
    <m/>
    <s v="ALLE"/>
    <n v="9.1890000000000001"/>
    <n v="9.5960000000000001"/>
    <x v="4"/>
    <m/>
    <d v="2021-07-01T00:00:00"/>
    <s v="0/11"/>
    <n v="44051"/>
    <s v="ACS"/>
    <n v="19.687500000000746"/>
    <m/>
    <m/>
  </r>
  <r>
    <s v="Heijmans"/>
    <x v="3"/>
    <n v="31143638"/>
    <n v="79"/>
    <s v="0VW"/>
    <s v="d"/>
    <n v="10.481"/>
    <n v="10.69"/>
    <m/>
    <s v="ALLE"/>
    <n v="10.481"/>
    <n v="10.69"/>
    <x v="4"/>
    <m/>
    <d v="2021-07-01T00:00:00"/>
    <s v="0/11"/>
    <n v="44051"/>
    <s v="ACS"/>
    <n v="47.812500000000149"/>
    <m/>
    <m/>
  </r>
  <r>
    <s v="Heijmans"/>
    <x v="3"/>
    <n v="31143638"/>
    <n v="79"/>
    <s v="0VW"/>
    <s v="c"/>
    <n v="13.369"/>
    <n v="13.506"/>
    <m/>
    <s v="ALLE"/>
    <n v="13.369"/>
    <n v="13.506"/>
    <x v="4"/>
    <m/>
    <d v="2021-07-01T00:00:00"/>
    <s v="0/11"/>
    <n v="44051"/>
    <s v="ACS"/>
    <n v="114.37499999999989"/>
    <m/>
    <m/>
  </r>
  <r>
    <s v="Heijmans"/>
    <x v="3"/>
    <n v="31143638"/>
    <n v="79"/>
    <s v="0VW"/>
    <s v="d"/>
    <n v="14.202999999999999"/>
    <n v="14.452999999999999"/>
    <m/>
    <s v="ALLE"/>
    <n v="14.202999999999999"/>
    <n v="14.452999999999999"/>
    <x v="4"/>
    <m/>
    <d v="2021-07-01T00:00:00"/>
    <s v="0/11"/>
    <n v="44051"/>
    <s v="ACS"/>
    <n v="93.749999999999673"/>
    <m/>
    <m/>
  </r>
  <r>
    <s v="Gebr. van der Lee"/>
    <x v="4"/>
    <s v="31118126.0079"/>
    <n v="30"/>
    <s v="1HRL"/>
    <m/>
    <n v="24.625"/>
    <n v="24.49"/>
    <s v="2R-L  "/>
    <m/>
    <n v="24.49"/>
    <n v="24.625"/>
    <x v="8"/>
    <m/>
    <d v="2021-08-26T00:00:00"/>
    <s v="0/16"/>
    <n v="43611"/>
    <s v="Lelystad"/>
    <n v="34"/>
    <n v="175"/>
    <m/>
  </r>
  <r>
    <s v="Gebr. van der Lee"/>
    <x v="4"/>
    <s v="31118126.0079"/>
    <n v="835"/>
    <s v="0HRM"/>
    <m/>
    <n v="16.7"/>
    <n v="16.8"/>
    <s v="1R-R"/>
    <m/>
    <n v="16.7"/>
    <n v="16.8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6.899999999999999"/>
    <n v="17"/>
    <s v="1R-L"/>
    <m/>
    <n v="16.899999999999999"/>
    <n v="17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6.899999999999999"/>
    <n v="17"/>
    <s v="1R-R"/>
    <m/>
    <n v="16.899999999999999"/>
    <n v="17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7"/>
    <n v="17.100000000000001"/>
    <s v="1R-L"/>
    <m/>
    <n v="17"/>
    <n v="17.100000000000001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7"/>
    <n v="17.100000000000001"/>
    <s v="1R-R"/>
    <m/>
    <n v="17"/>
    <n v="17.100000000000001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7.2"/>
    <n v="17.3"/>
    <s v="1R-L"/>
    <m/>
    <n v="17.2"/>
    <n v="17.3"/>
    <x v="8"/>
    <m/>
    <d v="2021-10-18T00:00:00"/>
    <s v="0/16"/>
    <n v="43611"/>
    <s v="Lelystad"/>
    <n v="40"/>
    <n v="175"/>
    <m/>
  </r>
  <r>
    <s v="Gebr. van der Lee"/>
    <x v="4"/>
    <s v="31118126.0084"/>
    <n v="835"/>
    <s v="0HRM"/>
    <m/>
    <n v="17.3"/>
    <n v="17.399999999999999"/>
    <s v="1R-L"/>
    <m/>
    <n v="17.3"/>
    <n v="17.399999999999999"/>
    <x v="8"/>
    <m/>
    <d v="2021-10-18T00:00:00"/>
    <s v="0/16"/>
    <n v="43611"/>
    <s v="Lelystad"/>
    <n v="40"/>
    <n v="175"/>
    <m/>
  </r>
  <r>
    <s v="Gebr. van der Lee"/>
    <x v="4"/>
    <s v="31118126.0079"/>
    <n v="835"/>
    <s v="0HRM"/>
    <m/>
    <s v="t.h.v. 18,200"/>
    <m/>
    <s v="HRL kruising"/>
    <m/>
    <n v="0"/>
    <n v="0"/>
    <x v="8"/>
    <m/>
    <d v="2021-10-18T00:00:00"/>
    <s v="0/16"/>
    <n v="43611"/>
    <s v="Lelystad"/>
    <n v="31"/>
    <n v="175"/>
    <m/>
  </r>
  <r>
    <s v="Gebr. van der Lee"/>
    <x v="4"/>
    <s v="31118126.0079"/>
    <n v="835"/>
    <s v="0HRM"/>
    <m/>
    <s v="t.h.v. 19,300"/>
    <m/>
    <s v="HRL kruising"/>
    <m/>
    <n v="0"/>
    <n v="0"/>
    <x v="8"/>
    <s v="50 mm AC 16 bind"/>
    <d v="2021-10-19T00:00:00"/>
    <s v="0/16"/>
    <s v="43611 / 28618"/>
    <s v="Lelystad"/>
    <s v="60/75"/>
    <n v="175"/>
    <s v="ook tussenlaag vervangen"/>
  </r>
  <r>
    <s v="Gebr. van der Lee"/>
    <x v="4"/>
    <s v="31118126.0079"/>
    <n v="835"/>
    <s v="0HRM"/>
    <m/>
    <n v="19.285"/>
    <n v="19.28"/>
    <s v="HRL linksafstrook"/>
    <m/>
    <n v="19.28"/>
    <n v="19.285"/>
    <x v="8"/>
    <m/>
    <d v="2021-10-19T00:00:00"/>
    <s v="0/16"/>
    <n v="43611"/>
    <s v="Lelystad"/>
    <n v="2"/>
    <n v="175"/>
    <m/>
  </r>
  <r>
    <s v="Gebr. van der Lee"/>
    <x v="4"/>
    <s v="31118126.0079"/>
    <n v="835"/>
    <s v="0HRM"/>
    <m/>
    <n v="25.3"/>
    <n v="25.4"/>
    <s v="1R-R"/>
    <m/>
    <n v="25.3"/>
    <n v="25.4"/>
    <x v="8"/>
    <m/>
    <d v="2021-10-20T00:00:00"/>
    <s v="0/16"/>
    <n v="43611"/>
    <s v="Lelystad"/>
    <n v="40"/>
    <n v="175"/>
    <m/>
  </r>
  <r>
    <s v="Gebr. van der Lee"/>
    <x v="4"/>
    <s v="31118126.0084"/>
    <n v="835"/>
    <s v="0HRM"/>
    <m/>
    <n v="25.475000000000001"/>
    <n v="25.6"/>
    <s v="1R-L"/>
    <m/>
    <n v="25.475000000000001"/>
    <n v="25.6"/>
    <x v="8"/>
    <m/>
    <d v="2021-10-20T00:00:00"/>
    <s v="0/16"/>
    <n v="43611"/>
    <s v="Lelystad"/>
    <n v="50"/>
    <n v="175"/>
    <m/>
  </r>
  <r>
    <s v="Gebr. van der Lee"/>
    <x v="4"/>
    <s v="31118126.0084"/>
    <n v="835"/>
    <s v="0HRM"/>
    <m/>
    <n v="25.6"/>
    <n v="25.7"/>
    <s v="1R-L"/>
    <m/>
    <n v="25.6"/>
    <n v="25.7"/>
    <x v="8"/>
    <m/>
    <d v="2021-10-20T00:00:00"/>
    <s v="0/16"/>
    <n v="43611"/>
    <s v="Lelystad"/>
    <n v="40"/>
    <n v="175"/>
    <m/>
  </r>
  <r>
    <s v="Gebr. van der Lee"/>
    <x v="4"/>
    <s v="31118126.0079"/>
    <n v="835"/>
    <s v="0HRM"/>
    <m/>
    <s v="t.h.v. 19,300"/>
    <m/>
    <s v="HRR kruising"/>
    <m/>
    <n v="0"/>
    <n v="0"/>
    <x v="4"/>
    <s v="50 mm AC 16 bind"/>
    <d v="2021-11-18T00:00:00"/>
    <s v="0/11 type 2"/>
    <s v="50405 / 28618"/>
    <s v="Lelystad"/>
    <s v="30/30"/>
    <n v="175"/>
    <s v="ook tussenlaag vervangen"/>
  </r>
  <r>
    <s v="Gebr. van der Lee"/>
    <x v="4"/>
    <s v="31118126.0079"/>
    <n v="1"/>
    <s v="1HRL"/>
    <m/>
    <n v="84.54"/>
    <n v="84.444999999999993"/>
    <s v="2R-L"/>
    <m/>
    <n v="84.444999999999993"/>
    <n v="84.54"/>
    <x v="8"/>
    <m/>
    <d v="2021-10-21T00:00:00"/>
    <s v="0/16"/>
    <n v="43611"/>
    <s v="Lelystad"/>
    <n v="50"/>
    <n v="175"/>
    <m/>
  </r>
  <r>
    <s v="Gebr. van der Lee"/>
    <x v="4"/>
    <s v="31118126.0079"/>
    <n v="1"/>
    <s v="1HRR"/>
    <m/>
    <n v="62.984999999999999"/>
    <n v="63.09"/>
    <s v="1R-R"/>
    <m/>
    <n v="62.984999999999999"/>
    <n v="63.09"/>
    <x v="9"/>
    <m/>
    <d v="2021-10-21T00:00:00"/>
    <s v="0/16"/>
    <n v="70611"/>
    <s v="Lelystad"/>
    <n v="60"/>
    <n v="175"/>
    <m/>
  </r>
  <r>
    <s v="Gebr. van der Lee"/>
    <x v="4"/>
    <s v="31118126.0079"/>
    <n v="50"/>
    <s v="1HRL"/>
    <m/>
    <n v="233.85"/>
    <n v="233.8"/>
    <s v="2R-L "/>
    <m/>
    <n v="233.8"/>
    <n v="233.85"/>
    <x v="9"/>
    <m/>
    <d v="2021-10-25T00:00:00"/>
    <s v="0/16"/>
    <n v="70611"/>
    <s v="Lelystad"/>
    <n v="24"/>
    <n v="175"/>
    <m/>
  </r>
  <r>
    <s v="Gebr. van der Lee"/>
    <x v="4"/>
    <s v="31118126.0079"/>
    <n v="50"/>
    <s v="1HRL"/>
    <m/>
    <n v="233.1"/>
    <n v="233.2"/>
    <s v="1R-L"/>
    <m/>
    <n v="233.1"/>
    <n v="233.2"/>
    <x v="9"/>
    <m/>
    <d v="2021-10-25T00:00:00"/>
    <s v="0/16"/>
    <n v="70611"/>
    <s v="Lelystad"/>
    <n v="60"/>
    <n v="175"/>
    <m/>
  </r>
  <r>
    <s v="Gebr. van der Lee"/>
    <x v="4"/>
    <s v="31118126.0079"/>
    <n v="50"/>
    <s v="1HRL"/>
    <m/>
    <n v="232.55"/>
    <n v="232.5"/>
    <s v="2R-L "/>
    <m/>
    <n v="232.5"/>
    <n v="232.55"/>
    <x v="9"/>
    <m/>
    <d v="2021-10-25T00:00:00"/>
    <s v="0/16"/>
    <n v="70611"/>
    <s v="Lelystad"/>
    <n v="24"/>
    <n v="175"/>
    <m/>
  </r>
  <r>
    <s v="Gebr. van der Lee"/>
    <x v="4"/>
    <s v="31118126.0079"/>
    <n v="50"/>
    <s v="1HRL"/>
    <m/>
    <n v="232"/>
    <n v="232.1"/>
    <s v="2R-L "/>
    <m/>
    <n v="232"/>
    <n v="232.1"/>
    <x v="9"/>
    <m/>
    <d v="2021-10-25T00:00:00"/>
    <s v="0/16"/>
    <n v="70611"/>
    <s v="Lelystad"/>
    <n v="48"/>
    <n v="175"/>
    <m/>
  </r>
  <r>
    <s v="Gebr. van der Lee"/>
    <x v="4"/>
    <s v="31118126.0079"/>
    <n v="50"/>
    <s v="1HRL"/>
    <m/>
    <n v="232"/>
    <n v="231.8"/>
    <s v="2R-L "/>
    <m/>
    <n v="231.8"/>
    <n v="232"/>
    <x v="9"/>
    <m/>
    <d v="2021-10-25T00:00:00"/>
    <s v="0/16"/>
    <n v="70611"/>
    <s v="Lelystad"/>
    <n v="96"/>
    <n v="175"/>
    <m/>
  </r>
  <r>
    <s v="Gebr. van der Lee"/>
    <x v="4"/>
    <s v="31118126.0079"/>
    <n v="32"/>
    <s v="0VW"/>
    <s v="w"/>
    <n v="5.3"/>
    <n v="5.4"/>
    <s v="1R-L"/>
    <m/>
    <n v="5.3"/>
    <n v="5.4"/>
    <x v="4"/>
    <m/>
    <d v="2021-10-26T00:00:00"/>
    <s v="0/11 type 2"/>
    <n v="50405"/>
    <s v="Lelystad"/>
    <n v="50"/>
    <n v="175"/>
    <m/>
  </r>
  <r>
    <s v="Gebr. van der Lee"/>
    <x v="4"/>
    <s v="31118126.0079"/>
    <n v="28"/>
    <s v="1HRL"/>
    <m/>
    <n v="115.9"/>
    <n v="116"/>
    <s v="2R-L"/>
    <m/>
    <n v="115.9"/>
    <n v="116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6.1"/>
    <n v="116"/>
    <s v="2R-L"/>
    <m/>
    <n v="116"/>
    <n v="116.1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6"/>
    <n v="115.9"/>
    <s v="2R-L"/>
    <m/>
    <n v="115.9"/>
    <n v="116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5.8"/>
    <n v="115.9"/>
    <s v="2R-L"/>
    <m/>
    <n v="115.8"/>
    <n v="115.9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5.9"/>
    <n v="115.7"/>
    <s v="2R-L"/>
    <m/>
    <n v="115.7"/>
    <n v="115.9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5.5"/>
    <n v="115.6"/>
    <s v="2R-L"/>
    <m/>
    <n v="115.5"/>
    <n v="115.6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5.7"/>
    <n v="115.55"/>
    <s v="2R-L"/>
    <m/>
    <n v="115.55"/>
    <n v="115.7"/>
    <x v="9"/>
    <m/>
    <d v="2021-10-27T00:00:00"/>
    <s v="0/16"/>
    <n v="70611"/>
    <s v="Lelystad"/>
    <n v="48"/>
    <n v="175"/>
    <m/>
  </r>
  <r>
    <s v="Gebr. van der Lee"/>
    <x v="4"/>
    <s v="31118126.0079"/>
    <n v="28"/>
    <s v="1HRL"/>
    <m/>
    <n v="115.45"/>
    <n v="115.4"/>
    <s v="2R-L"/>
    <m/>
    <n v="115.4"/>
    <n v="115.45"/>
    <x v="9"/>
    <m/>
    <d v="2021-10-27T00:00:00"/>
    <s v="0/16"/>
    <n v="70611"/>
    <s v="Lelystad"/>
    <n v="24"/>
    <n v="175"/>
    <m/>
  </r>
  <r>
    <s v="Gebr. van der Lee"/>
    <x v="4"/>
    <s v="31118126.0079"/>
    <n v="28"/>
    <s v="1HRL"/>
    <m/>
    <n v="115.325"/>
    <n v="115.3"/>
    <s v="1V-L"/>
    <m/>
    <n v="115.3"/>
    <n v="115.325"/>
    <x v="9"/>
    <m/>
    <d v="2021-10-28T00:00:00"/>
    <s v="0/16"/>
    <n v="70611"/>
    <s v="Lelystad"/>
    <n v="8"/>
    <n v="175"/>
    <m/>
  </r>
  <r>
    <s v="Gebr. van der Lee"/>
    <x v="4"/>
    <s v="31118126.0079"/>
    <n v="28"/>
    <s v="1HRL"/>
    <m/>
    <n v="115.05"/>
    <n v="115"/>
    <s v="2R-L"/>
    <m/>
    <n v="115"/>
    <n v="115.05"/>
    <x v="9"/>
    <m/>
    <d v="2021-10-28T00:00:00"/>
    <s v="0/16"/>
    <n v="70611"/>
    <s v="Lelystad"/>
    <n v="25"/>
    <n v="175"/>
    <m/>
  </r>
  <r>
    <s v="Gebr. van der Lee"/>
    <x v="4"/>
    <s v="31118126.0079"/>
    <n v="28"/>
    <s v="1HRL"/>
    <m/>
    <n v="117.06"/>
    <n v="116.9"/>
    <s v="2R-L"/>
    <m/>
    <n v="116.9"/>
    <n v="117.06"/>
    <x v="9"/>
    <m/>
    <d v="2021-10-28T00:00:00"/>
    <s v="0/16"/>
    <n v="70611"/>
    <s v="Lelystad"/>
    <n v="77"/>
    <n v="175"/>
    <m/>
  </r>
  <r>
    <s v="Gebr. van der Lee"/>
    <x v="4"/>
    <s v="31118126.0079"/>
    <n v="28"/>
    <s v="1HRL"/>
    <m/>
    <n v="116.9"/>
    <n v="116.74"/>
    <s v="2R-L"/>
    <m/>
    <n v="116.74"/>
    <n v="116.9"/>
    <x v="9"/>
    <m/>
    <d v="2021-10-28T00:00:00"/>
    <s v="0/16"/>
    <n v="70611"/>
    <s v="Lelystad"/>
    <n v="77"/>
    <n v="175"/>
    <m/>
  </r>
  <r>
    <s v="Gebr. van der Lee"/>
    <x v="4"/>
    <s v="31118126.0079"/>
    <n v="28"/>
    <s v="0VW"/>
    <s v="f"/>
    <n v="114.6"/>
    <n v="114.7"/>
    <s v="1R-L"/>
    <m/>
    <n v="114.6"/>
    <n v="114.7"/>
    <x v="3"/>
    <m/>
    <d v="2021-10-28T00:00:00"/>
    <s v="4/8 en 11/16"/>
    <s v="72611 / 70814"/>
    <s v="Lelystad"/>
    <s v="6/9"/>
    <n v="175"/>
    <m/>
  </r>
  <r>
    <s v="Gebr. van der Lee"/>
    <x v="4"/>
    <s v="31118126.0079"/>
    <n v="28"/>
    <s v="1HRR"/>
    <m/>
    <n v="109.25"/>
    <n v="109.47499999999999"/>
    <s v="3R-R"/>
    <m/>
    <n v="109.25"/>
    <n v="109.47499999999999"/>
    <x v="9"/>
    <m/>
    <d v="2021-11-02T00:00:00"/>
    <s v="0/16"/>
    <n v="70611"/>
    <s v="Lelystad"/>
    <n v="60"/>
    <n v="175"/>
    <m/>
  </r>
  <r>
    <s v="Gebr. van der Lee"/>
    <x v="4"/>
    <s v="31118126.0079"/>
    <n v="28"/>
    <s v="1HRR"/>
    <m/>
    <n v="109.3"/>
    <n v="109.4"/>
    <s v="3R-R"/>
    <m/>
    <n v="109.3"/>
    <n v="109.4"/>
    <x v="9"/>
    <m/>
    <d v="2021-11-02T00:00:00"/>
    <s v="0/16"/>
    <n v="70611"/>
    <s v="Lelystad"/>
    <n v="48"/>
    <n v="175"/>
    <m/>
  </r>
  <r>
    <s v="Gebr. van der Lee"/>
    <x v="4"/>
    <s v="31118126.0084"/>
    <n v="28"/>
    <s v="1HRR"/>
    <m/>
    <n v="109.8"/>
    <n v="109.9"/>
    <s v="3R-R"/>
    <m/>
    <n v="109.8"/>
    <n v="109.9"/>
    <x v="9"/>
    <m/>
    <d v="2021-11-02T00:00:00"/>
    <s v="0/16"/>
    <n v="70611"/>
    <s v="Lelystad"/>
    <n v="48"/>
    <n v="175"/>
    <m/>
  </r>
  <r>
    <s v="Gebr. van der Lee"/>
    <x v="4"/>
    <s v="31118126.0079"/>
    <n v="28"/>
    <s v="1HRR"/>
    <m/>
    <n v="110.69"/>
    <n v="110.75"/>
    <s v="3R-R"/>
    <m/>
    <n v="110.69"/>
    <n v="110.75"/>
    <x v="9"/>
    <m/>
    <d v="2021-11-02T00:00:00"/>
    <s v="0/16"/>
    <n v="70611"/>
    <s v="Lelystad"/>
    <n v="52"/>
    <n v="175"/>
    <m/>
  </r>
  <r>
    <s v="Gebr. van der Lee"/>
    <x v="4"/>
    <s v="31118126.0079"/>
    <n v="28"/>
    <s v="1HRR"/>
    <m/>
    <n v="110.69"/>
    <n v="110.75"/>
    <s v="1V-R"/>
    <m/>
    <n v="110.69"/>
    <n v="110.75"/>
    <x v="9"/>
    <m/>
    <d v="2021-11-02T00:00:00"/>
    <s v="0/16"/>
    <n v="70611"/>
    <s v="Lelystad"/>
    <n v="52"/>
    <n v="175"/>
    <m/>
  </r>
  <r>
    <s v="Gebr. van der Lee"/>
    <x v="4"/>
    <s v="31118126.0079"/>
    <n v="28"/>
    <s v="1HRR"/>
    <m/>
    <n v="110.815"/>
    <n v="110.84"/>
    <s v="3R-R"/>
    <m/>
    <n v="110.815"/>
    <n v="110.84"/>
    <x v="9"/>
    <m/>
    <d v="2021-11-02T00:00:00"/>
    <s v="0/16"/>
    <n v="70611"/>
    <s v="Lelystad"/>
    <n v="48"/>
    <n v="175"/>
    <m/>
  </r>
  <r>
    <s v="Gebr. van der Lee"/>
    <x v="4"/>
    <s v="31118126.0079"/>
    <n v="28"/>
    <s v="1HRR"/>
    <m/>
    <n v="110.9"/>
    <n v="111"/>
    <s v="3R-R"/>
    <m/>
    <n v="110.9"/>
    <n v="111"/>
    <x v="9"/>
    <m/>
    <d v="2021-11-02T00:00:00"/>
    <s v="0/16"/>
    <n v="70611"/>
    <s v="Lelystad"/>
    <n v="48"/>
    <n v="175"/>
    <m/>
  </r>
  <r>
    <s v="Gebr. van der Lee"/>
    <x v="4"/>
    <s v="31118126.0079"/>
    <n v="28"/>
    <s v="1HRR"/>
    <m/>
    <n v="110"/>
    <n v="110.27500000000001"/>
    <s v="1I-R"/>
    <m/>
    <n v="110"/>
    <n v="110.27500000000001"/>
    <x v="9"/>
    <m/>
    <d v="2021-11-02T00:00:00"/>
    <s v="0/16"/>
    <n v="70611"/>
    <s v="Lelystad"/>
    <n v="133"/>
    <n v="175"/>
    <m/>
  </r>
  <r>
    <s v="Gebr. van der Lee"/>
    <x v="4"/>
    <s v="31118126.0079"/>
    <n v="28"/>
    <s v="1HRR"/>
    <m/>
    <n v="110.05"/>
    <n v="110.1"/>
    <s v="3R-R"/>
    <m/>
    <n v="110.05"/>
    <n v="110.1"/>
    <x v="9"/>
    <m/>
    <d v="2021-11-02T00:00:00"/>
    <s v="0/16"/>
    <n v="70611"/>
    <s v="Lelystad"/>
    <n v="24"/>
    <n v="175"/>
    <m/>
  </r>
  <r>
    <s v="Gebr. van der Lee"/>
    <x v="4"/>
    <s v="31118126.0079"/>
    <n v="28"/>
    <s v="1HRR"/>
    <m/>
    <n v="110.3"/>
    <n v="110.4"/>
    <s v="3R-R"/>
    <m/>
    <n v="110.3"/>
    <n v="110.4"/>
    <x v="9"/>
    <m/>
    <d v="2021-11-02T00:00:00"/>
    <s v="0/16"/>
    <n v="70611"/>
    <s v="Lelystad"/>
    <n v="48"/>
    <n v="175"/>
    <m/>
  </r>
  <r>
    <s v="Gebr. van der Lee"/>
    <x v="4"/>
    <s v="31118126.0079"/>
    <n v="28"/>
    <s v="1HRL"/>
    <m/>
    <n v="37.15"/>
    <n v="36.549999999999997"/>
    <s v="1R-L"/>
    <m/>
    <n v="36.549999999999997"/>
    <n v="37.15"/>
    <x v="9"/>
    <m/>
    <d v="2021-11-10T00:00:00"/>
    <s v="0/16"/>
    <n v="70611"/>
    <s v="Lelystad"/>
    <n v="355"/>
    <n v="175"/>
    <m/>
  </r>
  <r>
    <s v="Gebr. van der Lee"/>
    <x v="4"/>
    <s v="31118126.0079"/>
    <n v="28"/>
    <s v="1HRL"/>
    <m/>
    <n v="36.924999999999997"/>
    <n v="36.875"/>
    <s v="2R-L"/>
    <m/>
    <n v="36.875"/>
    <n v="36.924999999999997"/>
    <x v="9"/>
    <m/>
    <d v="2021-11-10T00:00:00"/>
    <s v="0/16"/>
    <n v="70611"/>
    <s v="Lelystad"/>
    <n v="24"/>
    <n v="175"/>
    <m/>
  </r>
  <r>
    <s v="Gebr. van der Lee"/>
    <x v="4"/>
    <s v="31118126.0079"/>
    <n v="28"/>
    <s v="1HRL"/>
    <m/>
    <n v="36.225000000000001"/>
    <n v="36.200000000000003"/>
    <s v="1R-L"/>
    <m/>
    <n v="36.200000000000003"/>
    <n v="36.225000000000001"/>
    <x v="9"/>
    <m/>
    <d v="2021-11-10T00:00:00"/>
    <s v="0/16"/>
    <n v="70611"/>
    <s v="Lelystad"/>
    <n v="12"/>
    <n v="175"/>
    <m/>
  </r>
  <r>
    <s v="Gebr. van der Lee"/>
    <x v="4"/>
    <s v="31118126.0079"/>
    <n v="28"/>
    <s v="1HRL"/>
    <m/>
    <n v="39.625"/>
    <n v="40.1"/>
    <s v="2R-L"/>
    <m/>
    <n v="39.625"/>
    <n v="40.1"/>
    <x v="9"/>
    <m/>
    <d v="2021-11-11T00:00:00"/>
    <s v="0/16"/>
    <n v="70611"/>
    <s v="Lelystad"/>
    <n v="193"/>
    <n v="175"/>
    <m/>
  </r>
  <r>
    <s v="Gebr. van der Lee"/>
    <x v="4"/>
    <s v="31118126.0079"/>
    <n v="28"/>
    <s v="1HRL"/>
    <m/>
    <n v="39.6"/>
    <n v="39.700000000000003"/>
    <s v="2R-L"/>
    <m/>
    <n v="39.6"/>
    <n v="39.700000000000003"/>
    <x v="9"/>
    <m/>
    <d v="2021-11-11T00:00:00"/>
    <s v="0/16"/>
    <n v="70611"/>
    <s v="Lelystad"/>
    <n v="48"/>
    <n v="175"/>
    <m/>
  </r>
  <r>
    <s v="Gebr. van der Lee"/>
    <x v="4"/>
    <s v="31118126.0079"/>
    <n v="28"/>
    <s v="1HRL"/>
    <m/>
    <n v="39.299999999999997"/>
    <n v="39.4"/>
    <s v="2R-L"/>
    <m/>
    <n v="39.299999999999997"/>
    <n v="39.4"/>
    <x v="9"/>
    <m/>
    <d v="2021-11-11T00:00:00"/>
    <s v="0/16"/>
    <n v="70611"/>
    <s v="Lelystad"/>
    <n v="48"/>
    <n v="175"/>
    <m/>
  </r>
  <r>
    <s v="Gebr. van der Lee"/>
    <x v="4"/>
    <s v="31118126.0079"/>
    <n v="28"/>
    <s v="1HRL"/>
    <m/>
    <n v="39"/>
    <n v="38.9"/>
    <s v="2R-L"/>
    <m/>
    <n v="38.9"/>
    <n v="39"/>
    <x v="9"/>
    <m/>
    <d v="2021-11-11T00:00:00"/>
    <s v="0/16"/>
    <n v="70611"/>
    <s v="Lelystad"/>
    <n v="48"/>
    <n v="175"/>
    <m/>
  </r>
  <r>
    <s v="Gebr. van der Lee"/>
    <x v="4"/>
    <s v="31118126.0079"/>
    <n v="28"/>
    <s v="1HRL"/>
    <m/>
    <n v="38.799999999999997"/>
    <n v="38.299999999999997"/>
    <s v="2R-L"/>
    <m/>
    <n v="38.299999999999997"/>
    <n v="38.799999999999997"/>
    <x v="9"/>
    <m/>
    <d v="2021-11-11T00:00:00"/>
    <s v="0/16"/>
    <n v="70611"/>
    <s v="Lelystad"/>
    <n v="242"/>
    <n v="175"/>
    <m/>
  </r>
  <r>
    <s v="Gebr. van der Lee"/>
    <x v="4"/>
    <s v="31118126.0079"/>
    <n v="28"/>
    <s v="1HRL"/>
    <m/>
    <n v="37.725000000000001"/>
    <n v="37.524999999999999"/>
    <s v="1U-L"/>
    <m/>
    <n v="37.524999999999999"/>
    <n v="37.725000000000001"/>
    <x v="9"/>
    <m/>
    <d v="2021-11-11T00:00:00"/>
    <s v="0/16"/>
    <n v="70611"/>
    <s v="Lelystad"/>
    <n v="97"/>
    <n v="175"/>
    <m/>
  </r>
  <r>
    <s v="Gebr. van der Lee"/>
    <x v="4"/>
    <s v="31118126.0079"/>
    <n v="28"/>
    <s v="1HRL"/>
    <m/>
    <n v="37.524999999999999"/>
    <n v="37.4"/>
    <m/>
    <s v="ALLE"/>
    <n v="37.4"/>
    <n v="37.524999999999999"/>
    <x v="9"/>
    <m/>
    <d v="2021-11-11T00:00:00"/>
    <s v="0/16"/>
    <n v="70611"/>
    <s v="Lelystad"/>
    <n v="220"/>
    <n v="175"/>
    <m/>
  </r>
  <r>
    <s v="Gebr. van der Lee"/>
    <x v="4"/>
    <s v="31118126.0084"/>
    <n v="28"/>
    <s v="1HRL"/>
    <m/>
    <n v="38.1"/>
    <n v="38"/>
    <s v="1R-L"/>
    <m/>
    <n v="38"/>
    <n v="38.1"/>
    <x v="9"/>
    <m/>
    <d v="2021-11-11T00:00:00"/>
    <s v="0/16"/>
    <n v="70611"/>
    <s v="Lelystad"/>
    <n v="48"/>
    <n v="175"/>
    <m/>
  </r>
  <r>
    <s v="Gebr. van der Lee"/>
    <x v="4"/>
    <s v="31118126.0084"/>
    <n v="28"/>
    <s v="1HRL"/>
    <m/>
    <n v="110.1"/>
    <n v="110.2"/>
    <s v="3R-L"/>
    <m/>
    <n v="110.1"/>
    <n v="110.2"/>
    <x v="9"/>
    <s v="50 mm AC 16 bind"/>
    <d v="2021-11-17T00:00:00"/>
    <s v="0/16"/>
    <n v="70611"/>
    <s v="Lelystad"/>
    <s v="48/56"/>
    <n v="175"/>
    <s v="ook tussenlaag vervangen"/>
  </r>
  <r>
    <s v="Gebr. van der Lee"/>
    <x v="4"/>
    <s v="31118126.0084"/>
    <n v="28"/>
    <s v="0VW"/>
    <s v="h"/>
    <n v="85.1"/>
    <n v="85.2"/>
    <s v="2R-L"/>
    <m/>
    <n v="85.1"/>
    <n v="85.2"/>
    <x v="9"/>
    <m/>
    <d v="2021-11-17T00:00:00"/>
    <s v="0/16"/>
    <n v="70611"/>
    <s v="Lelystad"/>
    <n v="48"/>
    <n v="175"/>
    <m/>
  </r>
  <r>
    <s v="Gebr. van der Lee"/>
    <x v="4"/>
    <s v="31118126.0084"/>
    <n v="28"/>
    <s v="1HRR"/>
    <m/>
    <n v="62.1"/>
    <n v="62.2"/>
    <s v="2R-R "/>
    <m/>
    <n v="62.1"/>
    <n v="62.2"/>
    <x v="9"/>
    <m/>
    <d v="2021-11-29T00:00:00"/>
    <s v="0/16"/>
    <n v="70611"/>
    <s v="Lelystad"/>
    <n v="48"/>
    <n v="175"/>
    <m/>
  </r>
  <r>
    <s v="Gebr. van der Lee"/>
    <x v="4"/>
    <s v="31118126.0084"/>
    <n v="28"/>
    <s v="1HRR"/>
    <m/>
    <n v="63.3"/>
    <n v="63.4"/>
    <s v="2R-R "/>
    <m/>
    <n v="63.3"/>
    <n v="63.4"/>
    <x v="9"/>
    <m/>
    <d v="2021-11-29T00:00:00"/>
    <s v="0/16"/>
    <n v="70611"/>
    <s v="Lelystad"/>
    <n v="48"/>
    <n v="175"/>
    <m/>
  </r>
  <r>
    <s v="Gebr. van der Lee"/>
    <x v="4"/>
    <s v="31118126.0084"/>
    <n v="28"/>
    <s v="1HRR"/>
    <m/>
    <n v="80.400000000000006"/>
    <n v="80.5"/>
    <s v="2R-R "/>
    <m/>
    <n v="80.400000000000006"/>
    <n v="80.5"/>
    <x v="9"/>
    <m/>
    <d v="2021-11-29T00:00:00"/>
    <s v="0/16"/>
    <n v="70611"/>
    <s v="Lelystad"/>
    <n v="48"/>
    <n v="175"/>
    <m/>
  </r>
  <r>
    <s v="Gebr. van der Lee"/>
    <x v="4"/>
    <s v="31118126.0084"/>
    <n v="28"/>
    <s v="1HRR"/>
    <m/>
    <n v="81.2"/>
    <n v="81.3"/>
    <s v="2R-R"/>
    <m/>
    <n v="81.2"/>
    <n v="81.3"/>
    <x v="9"/>
    <m/>
    <d v="2021-11-29T00:00:00"/>
    <s v="0/16"/>
    <n v="70611"/>
    <s v="Lelystad"/>
    <n v="48"/>
    <n v="175"/>
    <m/>
  </r>
  <r>
    <s v="Gebr. van der Lee"/>
    <x v="4"/>
    <s v="31118126.0084"/>
    <n v="28"/>
    <s v="1HRL"/>
    <m/>
    <n v="63.2"/>
    <n v="63.3"/>
    <s v="2R-L "/>
    <m/>
    <n v="63.2"/>
    <n v="63.3"/>
    <x v="9"/>
    <m/>
    <d v="2021-12-01T00:00:00"/>
    <s v="0/16"/>
    <n v="70611"/>
    <s v="Lelystad"/>
    <n v="48"/>
    <n v="175"/>
    <m/>
  </r>
  <r>
    <s v="Gebr. van der Lee"/>
    <x v="4"/>
    <s v="31118126.0084"/>
    <n v="28"/>
    <s v="1HRL"/>
    <m/>
    <n v="63.9"/>
    <n v="64"/>
    <s v="2R-L"/>
    <m/>
    <n v="63.9"/>
    <n v="64"/>
    <x v="9"/>
    <m/>
    <d v="2021-12-01T00:00:00"/>
    <s v="0/16"/>
    <n v="70611"/>
    <s v="Lelystad"/>
    <n v="48"/>
    <n v="175"/>
    <m/>
  </r>
  <r>
    <s v="Gebr. van der Lee"/>
    <x v="4"/>
    <s v="31118126.0084"/>
    <n v="28"/>
    <s v="1HRL"/>
    <m/>
    <n v="73.400000000000006"/>
    <n v="73.5"/>
    <s v="2R-L "/>
    <m/>
    <n v="73.400000000000006"/>
    <n v="73.5"/>
    <x v="9"/>
    <m/>
    <d v="2021-12-01T00:00:00"/>
    <s v="0/16"/>
    <n v="70611"/>
    <s v="Lelystad"/>
    <n v="48"/>
    <n v="175"/>
    <m/>
  </r>
  <r>
    <s v="Gebr. van der Lee"/>
    <x v="4"/>
    <s v="31118126.0084"/>
    <n v="28"/>
    <s v="1HRR"/>
    <m/>
    <n v="82.4"/>
    <n v="82.5"/>
    <s v="2R-R"/>
    <m/>
    <n v="82.4"/>
    <n v="82.5"/>
    <x v="9"/>
    <m/>
    <d v="2021-12-01T00:00:00"/>
    <s v="0/16"/>
    <n v="70611"/>
    <s v="Lelystad"/>
    <n v="48"/>
    <n v="175"/>
    <m/>
  </r>
  <r>
    <s v="Gebr. van der Lee"/>
    <x v="4"/>
    <s v="31118126.0084"/>
    <n v="28"/>
    <s v="1HRR"/>
    <m/>
    <n v="83.6"/>
    <n v="83.7"/>
    <s v="2R-R"/>
    <m/>
    <n v="83.6"/>
    <n v="83.7"/>
    <x v="9"/>
    <m/>
    <d v="2021-12-01T00:00:00"/>
    <s v="0/16"/>
    <n v="70611"/>
    <s v="Lelystad"/>
    <n v="48"/>
    <n v="175"/>
    <m/>
  </r>
  <r>
    <s v="Gebr. van der Lee"/>
    <x v="4"/>
    <s v="31118126.0084"/>
    <n v="28"/>
    <s v="1HRR"/>
    <m/>
    <n v="83.7"/>
    <n v="83.8"/>
    <s v="2R-R"/>
    <m/>
    <n v="83.7"/>
    <n v="83.8"/>
    <x v="9"/>
    <m/>
    <d v="2021-12-01T00:00:00"/>
    <s v="0/16"/>
    <n v="70611"/>
    <s v="Lelystad"/>
    <n v="48"/>
    <n v="175"/>
    <m/>
  </r>
  <r>
    <s v="Gebr. van der Lee"/>
    <x v="4"/>
    <s v="31118126.0085"/>
    <n v="1"/>
    <s v="1HRL"/>
    <m/>
    <n v="51.1"/>
    <n v="50.8"/>
    <s v="2R-L "/>
    <m/>
    <n v="50.8"/>
    <n v="51.1"/>
    <x v="3"/>
    <m/>
    <d v="2021-11-16T00:00:00"/>
    <s v="4/8 en 11/16"/>
    <s v="72611 / 70814"/>
    <s v="Lelystad"/>
    <s v="88/142"/>
    <n v="175"/>
    <m/>
  </r>
  <r>
    <s v="Gebr. van der Lee"/>
    <x v="4"/>
    <s v="31118126.0102"/>
    <n v="1"/>
    <s v="1HRR"/>
    <m/>
    <n v="53.07"/>
    <n v="53.16"/>
    <s v="2R-R"/>
    <m/>
    <n v="53.07"/>
    <n v="53.16"/>
    <x v="9"/>
    <m/>
    <d v="2021-12-13T00:00:00"/>
    <s v="0/16"/>
    <n v="70611"/>
    <s v="Lelystad"/>
    <n v="44"/>
    <n v="175"/>
    <s v="SpoedLVO, oorspronkelijke deklaag ZOABTW"/>
  </r>
  <r>
    <s v="Gebr. van der Lee"/>
    <x v="4"/>
    <s v="31118126.0102"/>
    <n v="1"/>
    <s v="1HRR"/>
    <m/>
    <n v="53.8"/>
    <n v="53.9"/>
    <s v="2R-R"/>
    <m/>
    <n v="53.8"/>
    <n v="53.9"/>
    <x v="9"/>
    <m/>
    <d v="2021-12-13T00:00:00"/>
    <s v="0/16"/>
    <n v="70611"/>
    <s v="Lelystad"/>
    <n v="48"/>
    <n v="175"/>
    <s v="SpoedLVO, oorspronkelijke deklaag ZOABTW"/>
  </r>
  <r>
    <s v="Gebr. van der Lee"/>
    <x v="4"/>
    <s v="31118126.0102"/>
    <n v="1"/>
    <s v="1HRR"/>
    <m/>
    <n v="53.875"/>
    <n v="53.9"/>
    <s v="1U-R "/>
    <m/>
    <n v="53.875"/>
    <n v="53.9"/>
    <x v="9"/>
    <m/>
    <d v="2021-12-13T00:00:00"/>
    <s v="0/16"/>
    <n v="70611"/>
    <s v="Lelystad"/>
    <n v="12"/>
    <n v="175"/>
    <s v="SpoedLVO, oorspronkelijke deklaag ZOABTW"/>
  </r>
  <r>
    <s v="Gebr. van der Lee"/>
    <x v="4"/>
    <s v="31118126.0102"/>
    <n v="1"/>
    <s v="1HRR"/>
    <m/>
    <n v="54.46"/>
    <n v="54.6"/>
    <s v="1R-R"/>
    <m/>
    <n v="54.46"/>
    <n v="54.6"/>
    <x v="9"/>
    <m/>
    <d v="2021-12-13T00:00:00"/>
    <s v="0/16"/>
    <n v="70611"/>
    <s v="Lelystad"/>
    <n v="60"/>
    <n v="175"/>
    <s v="SpoedLVO"/>
  </r>
  <r>
    <s v="Gebr. van der Lee"/>
    <x v="4"/>
    <s v="31118126.0102"/>
    <n v="1"/>
    <s v="1HRR"/>
    <m/>
    <n v="50.274999999999999"/>
    <n v="50.4"/>
    <s v="2R-R"/>
    <m/>
    <n v="50.274999999999999"/>
    <n v="50.4"/>
    <x v="9"/>
    <m/>
    <d v="2021-12-13T00:00:00"/>
    <s v="0/16"/>
    <n v="70611"/>
    <s v="Lelystad"/>
    <n v="60"/>
    <n v="175"/>
    <s v="SpoedLVO, oorspronkelijke deklaag ZOABTW"/>
  </r>
  <r>
    <s v="Gebr. van der Lee"/>
    <x v="4"/>
    <s v="31118126.0102"/>
    <n v="1"/>
    <s v="1HRR"/>
    <m/>
    <n v="51.1"/>
    <n v="51.25"/>
    <s v="1Q-R"/>
    <m/>
    <n v="51.1"/>
    <n v="51.25"/>
    <x v="9"/>
    <m/>
    <d v="2021-12-13T00:00:00"/>
    <s v="0/16"/>
    <n v="70611"/>
    <s v="Lelystad"/>
    <n v="65"/>
    <n v="175"/>
    <s v="SpoedLVO, oorspronkelijke deklaag ZOABTW"/>
  </r>
  <r>
    <s v="Gebr. van der Lee"/>
    <x v="4"/>
    <s v="31118126.0102"/>
    <n v="1"/>
    <s v="1HRR"/>
    <m/>
    <n v="51.4"/>
    <n v="51.53"/>
    <s v="1Q-R"/>
    <m/>
    <n v="51.4"/>
    <n v="51.53"/>
    <x v="9"/>
    <m/>
    <d v="2021-12-13T00:00:00"/>
    <s v="0/16"/>
    <n v="70611"/>
    <s v="Lelystad"/>
    <n v="56"/>
    <n v="175"/>
    <s v="SpoedLVO, oorspronkelijke deklaag ZOABTW"/>
  </r>
  <r>
    <s v="Gebr. van der Lee"/>
    <x v="4"/>
    <s v="31118126.0102"/>
    <n v="1"/>
    <s v="1HRR"/>
    <m/>
    <n v="51.6"/>
    <n v="51.7"/>
    <s v="2R-R"/>
    <m/>
    <n v="51.6"/>
    <n v="51.7"/>
    <x v="9"/>
    <m/>
    <d v="2021-12-13T00:00:00"/>
    <s v="0/16"/>
    <n v="70611"/>
    <s v="Lelystad"/>
    <n v="48"/>
    <n v="175"/>
    <s v="SpoedLVO, oorspronkelijke deklaag ZOABTW"/>
  </r>
  <r>
    <s v="Gebr. van der Lee"/>
    <x v="4"/>
    <s v="31118126.0102"/>
    <n v="1"/>
    <s v="1HRR"/>
    <m/>
    <n v="51.75"/>
    <n v="51.8"/>
    <s v="1U-R"/>
    <m/>
    <n v="51.75"/>
    <n v="51.8"/>
    <x v="9"/>
    <m/>
    <d v="2021-12-13T00:00:00"/>
    <s v="0/16"/>
    <n v="70611"/>
    <s v="Lelystad"/>
    <n v="43"/>
    <n v="175"/>
    <s v="SpoedLVO, oorspronkelijke deklaag ZOABTW"/>
  </r>
  <r>
    <s v="Gebr. van der Lee"/>
    <x v="4"/>
    <s v="31118126.0102"/>
    <n v="1"/>
    <s v="1HRR"/>
    <m/>
    <n v="51.75"/>
    <n v="51.8"/>
    <s v="1Q-R"/>
    <m/>
    <n v="51.75"/>
    <n v="51.8"/>
    <x v="9"/>
    <m/>
    <d v="2021-12-13T00:00:00"/>
    <s v="0/16"/>
    <n v="70611"/>
    <s v="Lelystad"/>
    <n v="43"/>
    <n v="175"/>
    <s v="SpoedLVO, oorspronkelijke deklaag ZOABTW"/>
  </r>
  <r>
    <s v="Gebr. van der Lee"/>
    <x v="4"/>
    <s v="31118126.0102"/>
    <n v="1"/>
    <s v="1HRR"/>
    <m/>
    <n v="53.1"/>
    <n v="53.16"/>
    <s v="1U-R"/>
    <m/>
    <n v="53.1"/>
    <n v="53.16"/>
    <x v="9"/>
    <m/>
    <d v="2021-12-13T00:00:00"/>
    <s v="0/16"/>
    <n v="70611"/>
    <s v="Lelystad"/>
    <n v="22"/>
    <n v="175"/>
    <s v="SpoedLVO, oorspronkelijke deklaag ZOABTW"/>
  </r>
  <r>
    <s v="Gebr. van der Lee"/>
    <x v="4"/>
    <s v="31118126.0102"/>
    <n v="1"/>
    <s v="1HRR"/>
    <m/>
    <n v="70.2"/>
    <n v="70.400000000000006"/>
    <s v="1R-R"/>
    <m/>
    <n v="70.2"/>
    <n v="70.400000000000006"/>
    <x v="9"/>
    <m/>
    <d v="2021-12-10T00:00:00"/>
    <s v="0/16"/>
    <n v="70611"/>
    <s v="Lelystad"/>
    <n v="96"/>
    <n v="175"/>
    <s v="SpoedLVO"/>
  </r>
  <r>
    <s v="Gebr. van der Lee"/>
    <x v="4"/>
    <s v="31118126.0102"/>
    <n v="1"/>
    <s v="1HRR"/>
    <m/>
    <n v="55.1"/>
    <n v="55.23"/>
    <s v="2R-R"/>
    <m/>
    <n v="55.1"/>
    <n v="55.23"/>
    <x v="9"/>
    <m/>
    <d v="2021-12-10T00:00:00"/>
    <s v="0/16"/>
    <n v="70611"/>
    <s v="Lelystad"/>
    <n v="63"/>
    <n v="175"/>
    <s v="SpoedLVO"/>
  </r>
  <r>
    <s v="Gebr. van der Lee"/>
    <x v="4"/>
    <s v="31118126.0102"/>
    <n v="1"/>
    <s v="1HRR"/>
    <m/>
    <n v="55.215000000000003"/>
    <n v="55.24"/>
    <s v="1R-R"/>
    <m/>
    <n v="55.215000000000003"/>
    <n v="55.24"/>
    <x v="9"/>
    <m/>
    <d v="2021-12-10T00:00:00"/>
    <s v="0/16"/>
    <n v="70611"/>
    <s v="Lelystad"/>
    <n v="13"/>
    <n v="175"/>
    <s v="SpoedLVO"/>
  </r>
  <r>
    <s v="Gebr. van der Lee"/>
    <x v="4"/>
    <s v="31118126.0102"/>
    <n v="1"/>
    <s v="1HRR"/>
    <m/>
    <n v="55.23"/>
    <n v="55.39"/>
    <s v="2R-R"/>
    <m/>
    <n v="55.23"/>
    <n v="55.39"/>
    <x v="9"/>
    <m/>
    <d v="2021-12-10T00:00:00"/>
    <s v="0/16"/>
    <n v="70611"/>
    <s v="Lelystad"/>
    <n v="77"/>
    <n v="175"/>
    <s v="SpoedLVO"/>
  </r>
  <r>
    <s v="Gebr. van der Lee"/>
    <x v="4"/>
    <s v="31118126.0102"/>
    <n v="1"/>
    <s v="1HRR"/>
    <m/>
    <n v="55.875"/>
    <n v="56.15"/>
    <s v="1U-R"/>
    <m/>
    <n v="55.875"/>
    <n v="56.15"/>
    <x v="9"/>
    <m/>
    <d v="2021-12-10T00:00:00"/>
    <s v="0/16"/>
    <n v="70611"/>
    <s v="Lelystad"/>
    <n v="118"/>
    <n v="175"/>
    <s v="SpoedLVO"/>
  </r>
  <r>
    <s v="Gebr. van der Lee"/>
    <x v="4"/>
    <s v="31118126.0102"/>
    <n v="1"/>
    <s v="1HRR"/>
    <m/>
    <n v="56.325000000000003"/>
    <n v="56.35"/>
    <s v="2R-R"/>
    <m/>
    <n v="56.325000000000003"/>
    <n v="56.35"/>
    <x v="9"/>
    <m/>
    <d v="2021-12-10T00:00:00"/>
    <s v="0/16"/>
    <n v="70611"/>
    <s v="Lelystad"/>
    <n v="12"/>
    <n v="175"/>
    <s v="SpoedLVO"/>
  </r>
  <r>
    <s v="Gebr. van der Lee"/>
    <x v="4"/>
    <s v="31118126.0102"/>
    <n v="1"/>
    <s v="1HRR"/>
    <m/>
    <n v="56.6"/>
    <n v="56.774999999999999"/>
    <s v="1R-R"/>
    <m/>
    <n v="56.6"/>
    <n v="56.774999999999999"/>
    <x v="9"/>
    <m/>
    <d v="2021-12-10T00:00:00"/>
    <s v="0/16"/>
    <n v="70611"/>
    <s v="Lelystad"/>
    <n v="85"/>
    <n v="175"/>
    <s v="SpoedLVO"/>
  </r>
  <r>
    <s v="Gebr. van der Lee"/>
    <x v="4"/>
    <s v="31118126.0102"/>
    <n v="1"/>
    <s v="1HRR"/>
    <m/>
    <n v="56.774999999999999"/>
    <n v="56.85"/>
    <s v="2R-R"/>
    <m/>
    <n v="56.774999999999999"/>
    <n v="56.85"/>
    <x v="9"/>
    <m/>
    <d v="2021-12-10T00:00:00"/>
    <s v="0/16"/>
    <n v="70611"/>
    <s v="Lelystad"/>
    <n v="68"/>
    <n v="175"/>
    <s v="SpoedLVO"/>
  </r>
  <r>
    <s v="Gebr. van der Lee"/>
    <x v="4"/>
    <s v="31118126.0102"/>
    <n v="1"/>
    <s v="1HRR"/>
    <m/>
    <n v="56.774999999999999"/>
    <n v="56.85"/>
    <s v="1I-R"/>
    <m/>
    <n v="56.774999999999999"/>
    <n v="56.85"/>
    <x v="9"/>
    <m/>
    <d v="2021-12-10T00:00:00"/>
    <s v="0/16"/>
    <n v="70611"/>
    <s v="Lelystad"/>
    <n v="68"/>
    <n v="175"/>
    <s v="SpoedLVO"/>
  </r>
  <r>
    <s v="Gebr. van der Lee"/>
    <x v="4"/>
    <s v="31118126.0102"/>
    <n v="1"/>
    <s v="1HRR"/>
    <m/>
    <n v="57"/>
    <n v="57.05"/>
    <s v="2R-R"/>
    <m/>
    <n v="57"/>
    <n v="57.05"/>
    <x v="9"/>
    <m/>
    <d v="2021-12-10T00:00:00"/>
    <s v="0/16"/>
    <n v="70611"/>
    <s v="Lelystad"/>
    <n v="24"/>
    <n v="175"/>
    <s v="SpoedLVO"/>
  </r>
  <r>
    <s v="Gebr. van der Lee"/>
    <x v="4"/>
    <s v="31118126.0102"/>
    <n v="1"/>
    <s v="1HRR"/>
    <m/>
    <n v="57.274999999999999"/>
    <n v="57.3"/>
    <s v="2R-R"/>
    <m/>
    <n v="57.274999999999999"/>
    <n v="57.3"/>
    <x v="9"/>
    <m/>
    <d v="2021-12-10T00:00:00"/>
    <s v="0/16"/>
    <n v="70611"/>
    <s v="Lelystad"/>
    <n v="12"/>
    <n v="175"/>
    <s v="SpoedLVO"/>
  </r>
  <r>
    <s v="Gebr. van der Lee"/>
    <x v="4"/>
    <s v="31118126.0102"/>
    <n v="1"/>
    <s v="1HRR"/>
    <m/>
    <n v="57.414999999999999"/>
    <n v="57.45"/>
    <s v="2R-R"/>
    <m/>
    <n v="57.414999999999999"/>
    <n v="57.45"/>
    <x v="9"/>
    <m/>
    <d v="2021-12-10T00:00:00"/>
    <s v="0/16"/>
    <n v="70611"/>
    <s v="Lelystad"/>
    <n v="17"/>
    <n v="175"/>
    <s v="SpoedLVO"/>
  </r>
  <r>
    <s v="Gebr. van der Lee"/>
    <x v="4"/>
    <s v="31118126.0102"/>
    <n v="1"/>
    <s v="1HRR"/>
    <m/>
    <n v="57.45"/>
    <n v="57.475000000000001"/>
    <s v="1R-R"/>
    <m/>
    <n v="57.45"/>
    <n v="57.475000000000001"/>
    <x v="9"/>
    <m/>
    <d v="2021-12-10T00:00:00"/>
    <s v="0/16"/>
    <n v="70611"/>
    <s v="Lelystad"/>
    <n v="13"/>
    <n v="175"/>
    <s v="SpoedLVO"/>
  </r>
  <r>
    <s v="Gebr. van der Lee"/>
    <x v="4"/>
    <s v="31118126.0102"/>
    <n v="1"/>
    <s v="1HRR"/>
    <m/>
    <n v="61.75"/>
    <n v="61.8"/>
    <s v="2R-R"/>
    <m/>
    <n v="61.75"/>
    <n v="61.8"/>
    <x v="9"/>
    <m/>
    <d v="2021-12-10T00:00:00"/>
    <s v="0/16"/>
    <n v="70611"/>
    <s v="Lelystad"/>
    <n v="32"/>
    <n v="175"/>
    <s v="SpoedLVO"/>
  </r>
  <r>
    <s v="Gebr. van der Lee"/>
    <x v="4"/>
    <s v="31118126.0102"/>
    <n v="1"/>
    <s v="1HRR"/>
    <m/>
    <n v="61.75"/>
    <n v="61.8"/>
    <s v="1U-R"/>
    <m/>
    <n v="61.75"/>
    <n v="61.8"/>
    <x v="9"/>
    <m/>
    <d v="2021-12-10T00:00:00"/>
    <s v="0/16"/>
    <n v="70611"/>
    <s v="Lelystad"/>
    <n v="32"/>
    <n v="175"/>
    <s v="SpoedLVO"/>
  </r>
  <r>
    <s v="Gebr. van der Lee"/>
    <x v="4"/>
    <s v="31118126.0102"/>
    <n v="1"/>
    <s v="1HRR"/>
    <m/>
    <n v="62.25"/>
    <n v="62.3"/>
    <s v="2R-R"/>
    <m/>
    <n v="62.25"/>
    <n v="62.3"/>
    <x v="9"/>
    <m/>
    <d v="2021-12-10T00:00:00"/>
    <s v="0/16"/>
    <n v="70611"/>
    <s v="Lelystad"/>
    <n v="24"/>
    <n v="175"/>
    <s v="SpoedLVO"/>
  </r>
  <r>
    <s v="Gebr. van der Lee"/>
    <x v="4"/>
    <s v="31118126.0102"/>
    <n v="1"/>
    <s v="1HRR"/>
    <m/>
    <n v="63.8"/>
    <n v="63.924999999999997"/>
    <s v="2R-R"/>
    <m/>
    <n v="63.8"/>
    <n v="63.924999999999997"/>
    <x v="9"/>
    <m/>
    <d v="2021-12-10T00:00:00"/>
    <s v="0/16"/>
    <n v="70611"/>
    <s v="Lelystad"/>
    <n v="60"/>
    <n v="175"/>
    <s v="SpoedLVO"/>
  </r>
  <r>
    <s v="Gebr. van der Lee"/>
    <x v="4"/>
    <s v="31118126.0102"/>
    <n v="1"/>
    <s v="0VW"/>
    <s v="a"/>
    <n v="63.975000000000001"/>
    <n v="64.3"/>
    <s v="1R-R"/>
    <m/>
    <n v="63.975000000000001"/>
    <n v="64.3"/>
    <x v="4"/>
    <m/>
    <d v="2021-12-10T00:00:00"/>
    <s v="0/11 type 2"/>
    <n v="50405"/>
    <s v="Lelystad"/>
    <n v="194"/>
    <n v="175"/>
    <s v="SpoedLVO"/>
  </r>
  <r>
    <s v="Gebr. van der Lee"/>
    <x v="4"/>
    <s v="31118126.0102"/>
    <n v="1"/>
    <s v="1HRR"/>
    <m/>
    <n v="64.256"/>
    <n v="64.296999999999997"/>
    <s v="2R-R"/>
    <m/>
    <n v="64.256"/>
    <n v="64.296999999999997"/>
    <x v="9"/>
    <m/>
    <d v="2021-12-10T00:00:00"/>
    <s v="0/16"/>
    <n v="70611"/>
    <s v="Lelystad"/>
    <n v="37"/>
    <n v="175"/>
    <s v="SpoedLVO"/>
  </r>
  <r>
    <s v="Gebr. van der Lee"/>
    <x v="4"/>
    <s v="31118126.0102"/>
    <n v="1"/>
    <s v="1HRR"/>
    <m/>
    <n v="64.256"/>
    <n v="64.296999999999997"/>
    <s v="1I-R"/>
    <m/>
    <n v="64.256"/>
    <n v="64.296999999999997"/>
    <x v="9"/>
    <m/>
    <d v="2021-12-10T00:00:00"/>
    <s v="0/16"/>
    <n v="70611"/>
    <s v="Lelystad"/>
    <n v="37"/>
    <n v="175"/>
    <s v="SpoedLVO"/>
  </r>
  <r>
    <s v="Gebr. van der Lee"/>
    <x v="4"/>
    <s v="31118126.0102"/>
    <n v="1"/>
    <s v="1HRR"/>
    <m/>
    <n v="64.724999999999994"/>
    <n v="64.849999999999994"/>
    <s v="2R-R"/>
    <m/>
    <n v="64.724999999999994"/>
    <n v="64.849999999999994"/>
    <x v="9"/>
    <m/>
    <d v="2021-12-10T00:00:00"/>
    <s v="0/16"/>
    <n v="70611"/>
    <s v="Lelystad"/>
    <n v="60"/>
    <n v="175"/>
    <s v="SpoedLVO"/>
  </r>
  <r>
    <s v="Gebr. van der Lee"/>
    <x v="4"/>
    <s v="31118126.0102"/>
    <n v="1"/>
    <s v="1HRR"/>
    <m/>
    <n v="65.349999999999994"/>
    <n v="66"/>
    <s v="2R-R"/>
    <m/>
    <n v="65.349999999999994"/>
    <n v="66"/>
    <x v="9"/>
    <m/>
    <d v="2021-12-10T00:00:00"/>
    <s v="0/16"/>
    <n v="70611"/>
    <s v="Lelystad"/>
    <n v="315"/>
    <n v="175"/>
    <s v="SpoedLVO"/>
  </r>
  <r>
    <s v="Gebr. van der Lee"/>
    <x v="4"/>
    <s v="31118126.0102"/>
    <n v="1"/>
    <s v="1HRR"/>
    <m/>
    <n v="66.25"/>
    <n v="66.400000000000006"/>
    <s v="2R-R"/>
    <m/>
    <n v="66.25"/>
    <n v="66.400000000000006"/>
    <x v="9"/>
    <m/>
    <d v="2021-12-10T00:00:00"/>
    <s v="0/16"/>
    <n v="70611"/>
    <s v="Lelystad"/>
    <n v="73"/>
    <n v="175"/>
    <s v="SpoedLVO"/>
  </r>
  <r>
    <s v="Gebr. van der Lee"/>
    <x v="4"/>
    <s v="31118126.0102"/>
    <n v="1"/>
    <s v="1HRR"/>
    <m/>
    <n v="67.05"/>
    <n v="67.209999999999994"/>
    <s v="2R-R"/>
    <m/>
    <n v="67.05"/>
    <n v="67.209999999999994"/>
    <x v="9"/>
    <m/>
    <d v="2021-12-10T00:00:00"/>
    <s v="0/16"/>
    <n v="70611"/>
    <s v="Lelystad"/>
    <n v="77"/>
    <n v="175"/>
    <s v="SpoedLVO"/>
  </r>
  <r>
    <s v="Gebr. van der Lee"/>
    <x v="4"/>
    <s v="31118126.0102"/>
    <n v="1"/>
    <s v="1HRR"/>
    <m/>
    <n v="68"/>
    <n v="68.61"/>
    <s v="2R-R"/>
    <m/>
    <n v="68"/>
    <n v="68.61"/>
    <x v="9"/>
    <m/>
    <d v="2021-12-10T00:00:00"/>
    <s v="0/16"/>
    <n v="70611"/>
    <s v="Lelystad"/>
    <n v="295"/>
    <n v="175"/>
    <s v="SpoedLVO"/>
  </r>
  <r>
    <s v="Gebr. van der Lee"/>
    <x v="4"/>
    <s v="31118126.0102"/>
    <n v="1"/>
    <s v="1HRR"/>
    <m/>
    <n v="68.61"/>
    <n v="68.959999999999994"/>
    <s v="2R-R"/>
    <m/>
    <n v="68.61"/>
    <n v="68.959999999999994"/>
    <x v="9"/>
    <m/>
    <d v="2021-12-10T00:00:00"/>
    <s v="0/16"/>
    <n v="70611"/>
    <s v="Lelystad"/>
    <n v="170"/>
    <n v="175"/>
    <s v="SpoedLVO"/>
  </r>
  <r>
    <s v="Gebr. van der Lee"/>
    <x v="4"/>
    <s v="31118126.0102"/>
    <n v="1"/>
    <s v="1HRR"/>
    <m/>
    <n v="69.185000000000002"/>
    <n v="69.25"/>
    <s v="2R-R"/>
    <m/>
    <n v="69.185000000000002"/>
    <n v="69.25"/>
    <x v="9"/>
    <m/>
    <d v="2021-12-10T00:00:00"/>
    <s v="0/16"/>
    <n v="70611"/>
    <s v="Lelystad"/>
    <n v="32"/>
    <n v="175"/>
    <s v="SpoedLVO"/>
  </r>
  <r>
    <s v="Gebr. van der Lee"/>
    <x v="4"/>
    <s v="31118126.0102"/>
    <n v="1"/>
    <s v="1HRR"/>
    <m/>
    <n v="69.364999999999995"/>
    <n v="69.489999999999995"/>
    <s v="2R-R"/>
    <m/>
    <n v="69.364999999999995"/>
    <n v="69.489999999999995"/>
    <x v="9"/>
    <m/>
    <d v="2021-12-10T00:00:00"/>
    <s v="0/16"/>
    <n v="70611"/>
    <s v="Lelystad"/>
    <n v="78"/>
    <n v="175"/>
    <s v="SpoedLVO"/>
  </r>
  <r>
    <s v="Gebr. van der Lee"/>
    <x v="4"/>
    <s v="31118126.0102"/>
    <n v="1"/>
    <s v="1HRR"/>
    <m/>
    <n v="69.364999999999995"/>
    <n v="69.489999999999995"/>
    <s v="1U-R"/>
    <m/>
    <n v="69.364999999999995"/>
    <n v="69.489999999999995"/>
    <x v="9"/>
    <m/>
    <d v="2021-12-10T00:00:00"/>
    <s v="0/16"/>
    <n v="70611"/>
    <s v="Lelystad"/>
    <n v="78"/>
    <n v="175"/>
    <s v="SpoedLVO"/>
  </r>
  <r>
    <s v="Gebr. van der Lee"/>
    <x v="4"/>
    <s v="31118126.0102"/>
    <n v="1"/>
    <s v="1HRR"/>
    <m/>
    <n v="69.575000000000003"/>
    <n v="69.739999999999995"/>
    <s v="2R-R"/>
    <m/>
    <n v="69.575000000000003"/>
    <n v="69.739999999999995"/>
    <x v="9"/>
    <m/>
    <d v="2021-12-10T00:00:00"/>
    <s v="0/16"/>
    <n v="70611"/>
    <s v="Lelystad"/>
    <n v="80"/>
    <n v="175"/>
    <s v="SpoedLVO"/>
  </r>
  <r>
    <s v="Gebr. van der Lee"/>
    <x v="4"/>
    <s v="31118126.0102"/>
    <n v="1"/>
    <s v="1HRR"/>
    <m/>
    <n v="69.575000000000003"/>
    <n v="69.599999999999994"/>
    <s v="1R-R"/>
    <m/>
    <n v="69.575000000000003"/>
    <n v="69.599999999999994"/>
    <x v="9"/>
    <m/>
    <d v="2021-12-10T00:00:00"/>
    <s v="0/16"/>
    <n v="70611"/>
    <s v="Lelystad"/>
    <n v="12"/>
    <n v="175"/>
    <s v="SpoedLVO"/>
  </r>
  <r>
    <s v="Gebr. van der Lee"/>
    <x v="4"/>
    <s v="31118126.0102"/>
    <n v="1"/>
    <s v="1HRR"/>
    <m/>
    <n v="69.864999999999995"/>
    <n v="69.900000000000006"/>
    <s v="1R-R"/>
    <m/>
    <n v="69.864999999999995"/>
    <n v="69.900000000000006"/>
    <x v="9"/>
    <m/>
    <d v="2021-12-10T00:00:00"/>
    <s v="0/16"/>
    <n v="70611"/>
    <s v="Lelystad"/>
    <n v="30"/>
    <n v="175"/>
    <s v="SpoedLVO"/>
  </r>
  <r>
    <s v="Gebr. van der Lee"/>
    <x v="4"/>
    <s v="31118126.0102"/>
    <n v="1"/>
    <s v="1HRR"/>
    <m/>
    <n v="69.864999999999995"/>
    <n v="69.900000000000006"/>
    <s v="2R-R"/>
    <m/>
    <n v="69.864999999999995"/>
    <n v="69.900000000000006"/>
    <x v="9"/>
    <m/>
    <d v="2021-12-10T00:00:00"/>
    <s v="0/16"/>
    <n v="70611"/>
    <s v="Lelystad"/>
    <n v="30"/>
    <n v="175"/>
    <s v="SpoedLVO"/>
  </r>
  <r>
    <s v="Gebr. van der Lee"/>
    <x v="4"/>
    <s v="31118126.0102"/>
    <n v="1"/>
    <s v="1HRR"/>
    <m/>
    <n v="76.125"/>
    <n v="76.174999999999997"/>
    <s v="1R-R"/>
    <m/>
    <n v="76.125"/>
    <n v="76.174999999999997"/>
    <x v="9"/>
    <m/>
    <d v="2021-12-20T00:00:00"/>
    <s v="0/16"/>
    <n v="70611"/>
    <s v="Lelystad"/>
    <n v="24"/>
    <n v="175"/>
    <s v="SpoedLVO"/>
  </r>
  <r>
    <s v="Gebr. van der Lee"/>
    <x v="4"/>
    <s v="31118126.0102"/>
    <n v="1"/>
    <s v="1HRR"/>
    <m/>
    <n v="76.17"/>
    <n v="76.2"/>
    <s v="2R-R"/>
    <m/>
    <n v="76.17"/>
    <n v="76.2"/>
    <x v="9"/>
    <m/>
    <d v="2021-12-20T00:00:00"/>
    <s v="0/16"/>
    <n v="70611"/>
    <s v="Lelystad"/>
    <n v="12"/>
    <n v="175"/>
    <s v="SpoedLVO"/>
  </r>
  <r>
    <s v="Gebr. van der Lee"/>
    <x v="4"/>
    <s v="31118126.0102"/>
    <n v="1"/>
    <s v="1HRR"/>
    <m/>
    <n v="76.349999999999994"/>
    <n v="76.45"/>
    <s v="1V-R"/>
    <m/>
    <n v="76.349999999999994"/>
    <n v="76.45"/>
    <x v="9"/>
    <m/>
    <d v="2021-12-20T00:00:00"/>
    <s v="0/16"/>
    <n v="70611"/>
    <s v="Lelystad"/>
    <n v="38"/>
    <n v="175"/>
    <s v="SpoedLVO"/>
  </r>
  <r>
    <s v="Gebr. van der Lee"/>
    <x v="4"/>
    <s v="31118126.0102"/>
    <n v="1"/>
    <s v="1HRR"/>
    <m/>
    <n v="76.599999999999994"/>
    <n v="76.650000000000006"/>
    <s v="1V-R"/>
    <m/>
    <n v="76.599999999999994"/>
    <n v="76.650000000000006"/>
    <x v="9"/>
    <m/>
    <d v="2021-12-20T00:00:00"/>
    <s v="0/16"/>
    <n v="70611"/>
    <s v="Lelystad"/>
    <n v="19"/>
    <n v="175"/>
    <s v="SpoedLVO"/>
  </r>
  <r>
    <s v="Gebr. van der Lee"/>
    <x v="4"/>
    <s v="31118126.0102"/>
    <n v="1"/>
    <s v="1HRR"/>
    <m/>
    <n v="76.739999999999995"/>
    <n v="76.775000000000006"/>
    <s v="2R-R"/>
    <m/>
    <n v="76.739999999999995"/>
    <n v="76.775000000000006"/>
    <x v="9"/>
    <m/>
    <d v="2021-12-20T00:00:00"/>
    <s v="0/16"/>
    <n v="70611"/>
    <s v="Lelystad"/>
    <n v="13"/>
    <n v="175"/>
    <s v="SpoedLVO"/>
  </r>
  <r>
    <s v="Gebr. van der Lee"/>
    <x v="4"/>
    <s v="31118126.0102"/>
    <n v="1"/>
    <s v="1HRR"/>
    <m/>
    <n v="76.834999999999994"/>
    <n v="76.88"/>
    <s v="1R-R"/>
    <m/>
    <n v="76.834999999999994"/>
    <n v="76.88"/>
    <x v="9"/>
    <m/>
    <d v="2021-12-20T00:00:00"/>
    <s v="0/16"/>
    <n v="70611"/>
    <s v="Lelystad"/>
    <n v="22"/>
    <n v="175"/>
    <s v="SpoedLVO"/>
  </r>
  <r>
    <s v="Gebr. van der Lee"/>
    <x v="4"/>
    <s v="31118126.0102"/>
    <n v="1"/>
    <s v="1HRR"/>
    <m/>
    <n v="77.05"/>
    <n v="77.3"/>
    <s v="2R-R"/>
    <m/>
    <n v="77.05"/>
    <n v="77.3"/>
    <x v="9"/>
    <m/>
    <d v="2021-12-20T00:00:00"/>
    <s v="0/16"/>
    <n v="70611"/>
    <s v="Lelystad"/>
    <n v="94"/>
    <n v="175"/>
    <s v="SpoedLVO"/>
  </r>
  <r>
    <s v="Gebr. van der Lee"/>
    <x v="4"/>
    <s v="31118126.0102"/>
    <n v="1"/>
    <s v="1HRR"/>
    <m/>
    <n v="77.599999999999994"/>
    <n v="77.7"/>
    <s v="2R-R"/>
    <m/>
    <n v="77.599999999999994"/>
    <n v="77.7"/>
    <x v="9"/>
    <m/>
    <d v="2021-12-20T00:00:00"/>
    <s v="0/16"/>
    <n v="70611"/>
    <s v="Lelystad"/>
    <n v="38"/>
    <n v="175"/>
    <s v="SpoedLVO"/>
  </r>
  <r>
    <s v="Gebr. van der Lee"/>
    <x v="4"/>
    <s v="31118126.0102"/>
    <n v="1"/>
    <s v="1HRR"/>
    <m/>
    <n v="77.75"/>
    <n v="77.95"/>
    <s v="2R-R"/>
    <m/>
    <n v="77.75"/>
    <n v="77.95"/>
    <x v="9"/>
    <m/>
    <d v="2021-12-20T00:00:00"/>
    <s v="0/16"/>
    <n v="70611"/>
    <s v="Lelystad"/>
    <n v="75"/>
    <n v="175"/>
    <s v="SpoedLVO"/>
  </r>
  <r>
    <s v="Gebr. van der Lee"/>
    <x v="4"/>
    <s v="31118126.0102"/>
    <n v="1"/>
    <s v="1HRR"/>
    <m/>
    <n v="78.375"/>
    <n v="78.599999999999994"/>
    <s v="1R-R"/>
    <m/>
    <n v="78.375"/>
    <n v="78.599999999999994"/>
    <x v="9"/>
    <m/>
    <d v="2021-12-20T00:00:00"/>
    <s v="0/16"/>
    <n v="70611"/>
    <s v="Lelystad"/>
    <n v="109"/>
    <n v="175"/>
    <s v="SpoedLVO"/>
  </r>
  <r>
    <s v="Gebr. van der Lee"/>
    <x v="4"/>
    <s v="31118126.0102"/>
    <n v="1"/>
    <s v="1HRR"/>
    <m/>
    <n v="79.25"/>
    <n v="79.349999999999994"/>
    <s v="1R-R"/>
    <m/>
    <n v="79.25"/>
    <n v="79.349999999999994"/>
    <x v="9"/>
    <m/>
    <d v="2021-12-20T00:00:00"/>
    <s v="0/16"/>
    <n v="70611"/>
    <s v="Lelystad"/>
    <n v="86"/>
    <n v="175"/>
    <s v="SpoedLVO"/>
  </r>
  <r>
    <s v="Gebr. van der Lee"/>
    <x v="4"/>
    <s v="31118126.0102"/>
    <n v="1"/>
    <s v="1HRR"/>
    <m/>
    <n v="79.25"/>
    <n v="79.349999999999994"/>
    <s v="2R-R"/>
    <m/>
    <n v="79.25"/>
    <n v="79.349999999999994"/>
    <x v="9"/>
    <m/>
    <d v="2021-12-20T00:00:00"/>
    <s v="0/16"/>
    <n v="70611"/>
    <s v="Lelystad"/>
    <n v="86"/>
    <n v="175"/>
    <s v="SpoedLVO"/>
  </r>
  <r>
    <s v="Gebr. van der Lee"/>
    <x v="4"/>
    <s v="31118126.0102"/>
    <n v="1"/>
    <s v="1HRR"/>
    <m/>
    <n v="79.405000000000001"/>
    <n v="79.564999999999998"/>
    <s v="1R-R"/>
    <m/>
    <n v="79.405000000000001"/>
    <n v="79.564999999999998"/>
    <x v="9"/>
    <m/>
    <d v="2021-12-20T00:00:00"/>
    <s v="0/16"/>
    <n v="70611"/>
    <s v="Lelystad"/>
    <n v="77"/>
    <n v="175"/>
    <s v="SpoedLVO"/>
  </r>
  <r>
    <s v="Gebr. van der Lee"/>
    <x v="4"/>
    <s v="31118126.0102"/>
    <n v="1"/>
    <s v="1HRR"/>
    <m/>
    <n v="79.900000000000006"/>
    <n v="80"/>
    <s v="1R-R"/>
    <m/>
    <n v="79.900000000000006"/>
    <n v="80"/>
    <x v="9"/>
    <m/>
    <d v="2021-12-20T00:00:00"/>
    <s v="0/16"/>
    <n v="70611"/>
    <s v="Lelystad"/>
    <n v="48"/>
    <n v="175"/>
    <s v="SpoedLVO"/>
  </r>
  <r>
    <s v="Gebr. van der Lee"/>
    <x v="4"/>
    <s v="31118126.0102"/>
    <n v="1"/>
    <s v="1HRR"/>
    <m/>
    <n v="79.864999999999995"/>
    <n v="79.89"/>
    <s v="2R-R"/>
    <m/>
    <n v="79.864999999999995"/>
    <n v="79.89"/>
    <x v="9"/>
    <m/>
    <d v="2021-12-20T00:00:00"/>
    <s v="0/16"/>
    <n v="70611"/>
    <s v="Lelystad"/>
    <n v="12"/>
    <n v="175"/>
    <s v="SpoedLVO"/>
  </r>
  <r>
    <s v="Gebr. van der Lee"/>
    <x v="4"/>
    <s v="31118126.0102"/>
    <n v="1"/>
    <s v="1HRR"/>
    <m/>
    <n v="80.474999999999994"/>
    <n v="80.599999999999994"/>
    <s v="1R-R"/>
    <m/>
    <n v="80.474999999999994"/>
    <n v="80.599999999999994"/>
    <x v="9"/>
    <m/>
    <d v="2021-12-20T00:00:00"/>
    <s v="0/16"/>
    <n v="70611"/>
    <s v="Lelystad"/>
    <n v="53"/>
    <n v="175"/>
    <s v="SpoedLVO"/>
  </r>
  <r>
    <s v="Gebr. van der Lee"/>
    <x v="4"/>
    <s v="31118126.0102"/>
    <n v="1"/>
    <s v="1HRR"/>
    <m/>
    <n v="89"/>
    <n v="89.534999999999997"/>
    <s v="3R-R"/>
    <m/>
    <n v="89"/>
    <n v="89.534999999999997"/>
    <x v="9"/>
    <m/>
    <d v="2021-12-16T00:00:00"/>
    <s v="0/16"/>
    <n v="70611"/>
    <s v="Lelystad"/>
    <n v="259"/>
    <n v="175"/>
    <s v="SpoedLVO, oorspronkelijke deklaag ZOABTW"/>
  </r>
  <r>
    <s v="Gebr. van der Lee"/>
    <x v="4"/>
    <s v="31118126.0102"/>
    <n v="1"/>
    <s v="1HRR"/>
    <m/>
    <n v="89"/>
    <n v="89.15"/>
    <s v="1U-R"/>
    <m/>
    <n v="89"/>
    <n v="89.15"/>
    <x v="9"/>
    <m/>
    <d v="2021-12-16T00:00:00"/>
    <s v="0/16"/>
    <n v="70611"/>
    <s v="Lelystad"/>
    <n v="64"/>
    <n v="175"/>
    <s v="SpoedLVO, oorspronkelijke deklaag ZOABTW"/>
  </r>
  <r>
    <s v="Gebr. van der Lee"/>
    <x v="4"/>
    <s v="31118126.0102"/>
    <n v="1"/>
    <s v="1HRR"/>
    <m/>
    <n v="89.24"/>
    <n v="89.26"/>
    <s v="2R-R"/>
    <m/>
    <n v="89.24"/>
    <n v="89.26"/>
    <x v="9"/>
    <m/>
    <d v="2021-12-16T00:00:00"/>
    <s v="0/16"/>
    <n v="70611"/>
    <s v="Lelystad"/>
    <n v="8"/>
    <n v="175"/>
    <s v="SpoedLVO, oorspronkelijke deklaag ZOABTW"/>
  </r>
  <r>
    <s v="Gebr. van der Lee"/>
    <x v="4"/>
    <s v="31118126.0102"/>
    <n v="1"/>
    <s v="1HRR"/>
    <m/>
    <n v="89.63"/>
    <n v="89.64"/>
    <s v="4R-R"/>
    <m/>
    <n v="89.63"/>
    <n v="89.64"/>
    <x v="9"/>
    <m/>
    <d v="2021-12-16T00:00:00"/>
    <s v="0/16"/>
    <n v="70611"/>
    <s v="Lelystad"/>
    <n v="5"/>
    <n v="175"/>
    <s v="SpoedLVO, oorspronkelijke deklaag ZOABTW"/>
  </r>
  <r>
    <s v="Gebr. van der Lee"/>
    <x v="4"/>
    <s v="31118126.0102"/>
    <n v="1"/>
    <s v="1HRR"/>
    <m/>
    <n v="89.63"/>
    <n v="89.95"/>
    <s v="3R-R"/>
    <m/>
    <n v="89.63"/>
    <n v="89.95"/>
    <x v="9"/>
    <m/>
    <d v="2021-12-16T00:00:00"/>
    <s v="0/16"/>
    <n v="70611"/>
    <s v="Lelystad"/>
    <n v="106"/>
    <n v="175"/>
    <s v="SpoedLVO, oorspronkelijke deklaag ZOABTW"/>
  </r>
  <r>
    <s v="Gebr. van der Lee"/>
    <x v="4"/>
    <s v="31118126.0102"/>
    <n v="1"/>
    <s v="1HRR"/>
    <m/>
    <n v="89.78"/>
    <n v="89.82"/>
    <s v="1R-R"/>
    <m/>
    <n v="89.78"/>
    <n v="89.82"/>
    <x v="9"/>
    <m/>
    <d v="2021-12-16T00:00:00"/>
    <s v="0/16"/>
    <n v="70611"/>
    <s v="Lelystad"/>
    <n v="15"/>
    <n v="175"/>
    <s v="SpoedLVO, oorspronkelijke deklaag ZOABTW"/>
  </r>
  <r>
    <s v="Gebr. van der Lee"/>
    <x v="4"/>
    <s v="31118126.0102"/>
    <n v="1"/>
    <s v="1HRR"/>
    <m/>
    <n v="89.974999999999994"/>
    <n v="90.01"/>
    <s v="2R-R"/>
    <m/>
    <n v="89.974999999999994"/>
    <n v="90.01"/>
    <x v="9"/>
    <m/>
    <d v="2021-12-16T00:00:00"/>
    <s v="0/16"/>
    <n v="70611"/>
    <s v="Lelystad"/>
    <n v="34"/>
    <n v="175"/>
    <s v="SpoedLVO, oorspronkelijke deklaag ZOABTW"/>
  </r>
  <r>
    <s v="Gebr. van der Lee"/>
    <x v="4"/>
    <s v="31118126.0102"/>
    <n v="1"/>
    <s v="1HRR"/>
    <m/>
    <n v="90.025000000000006"/>
    <n v="90.064999999999998"/>
    <s v="3R-R"/>
    <m/>
    <n v="90.025000000000006"/>
    <n v="90.064999999999998"/>
    <x v="9"/>
    <m/>
    <d v="2021-12-16T00:00:00"/>
    <s v="0/16"/>
    <n v="70611"/>
    <s v="Lelystad"/>
    <n v="20"/>
    <n v="175"/>
    <s v="SpoedLVO, oorspronkelijke deklaag ZOABTW"/>
  </r>
  <r>
    <s v="Gebr. van der Lee"/>
    <x v="4"/>
    <s v="31118126.0102"/>
    <n v="1"/>
    <s v="1HRR"/>
    <m/>
    <n v="90.7"/>
    <n v="91.45"/>
    <s v="3R-R"/>
    <m/>
    <n v="90.7"/>
    <n v="91.45"/>
    <x v="9"/>
    <m/>
    <d v="2021-12-16T00:00:00"/>
    <s v="0/16"/>
    <n v="70611"/>
    <s v="Lelystad"/>
    <n v="363"/>
    <n v="175"/>
    <s v="SpoedLVO, oorspronkelijke deklaag ZOABTW"/>
  </r>
  <r>
    <s v="Gebr. van der Lee"/>
    <x v="4"/>
    <s v="31118126.0102"/>
    <n v="1"/>
    <s v="1HRR"/>
    <m/>
    <n v="91.58"/>
    <n v="92.2"/>
    <s v="3R-R"/>
    <m/>
    <n v="91.58"/>
    <n v="92.2"/>
    <x v="9"/>
    <m/>
    <d v="2021-12-16T00:00:00"/>
    <s v="0/16"/>
    <n v="70611"/>
    <s v="Lelystad"/>
    <n v="203"/>
    <n v="175"/>
    <s v="SpoedLVO, oorspronkelijke deklaag ZOABTW"/>
  </r>
  <r>
    <s v="Gebr. van der Lee"/>
    <x v="4"/>
    <s v="31118126.0102"/>
    <n v="1"/>
    <s v="1HRR"/>
    <m/>
    <n v="91.95"/>
    <n v="92"/>
    <s v="2R-R"/>
    <m/>
    <n v="91.95"/>
    <n v="92"/>
    <x v="9"/>
    <m/>
    <d v="2021-12-21T00:00:00"/>
    <s v="0/16"/>
    <n v="70611"/>
    <s v="Lelystad"/>
    <n v="19"/>
    <n v="175"/>
    <s v="SpoedLVO, oorspronkelijke deklaag ZOABTW"/>
  </r>
  <r>
    <s v="Gebr. van der Lee"/>
    <x v="4"/>
    <s v="31118126.0102"/>
    <n v="1"/>
    <s v="1HRR"/>
    <m/>
    <n v="92.38"/>
    <n v="93"/>
    <s v="3R-R"/>
    <m/>
    <n v="92.38"/>
    <n v="93"/>
    <x v="9"/>
    <m/>
    <d v="2021-12-21T00:00:00"/>
    <s v="0/16"/>
    <n v="70611"/>
    <s v="Lelystad"/>
    <n v="333"/>
    <n v="175"/>
    <s v="SpoedLVO, oorspronkelijke deklaag ZOABTW"/>
  </r>
  <r>
    <s v="Gebr. van der Lee"/>
    <x v="4"/>
    <s v="31118126.0102"/>
    <n v="1"/>
    <s v="1HRR"/>
    <m/>
    <n v="92.75"/>
    <n v="92.894999999999996"/>
    <s v="2R-R"/>
    <m/>
    <n v="92.75"/>
    <n v="92.894999999999996"/>
    <x v="9"/>
    <m/>
    <d v="2021-12-21T00:00:00"/>
    <s v="0/16"/>
    <n v="70611"/>
    <s v="Lelystad"/>
    <n v="55"/>
    <n v="175"/>
    <s v="SpoedLVO, oorspronkelijke deklaag ZOABTW"/>
  </r>
  <r>
    <s v="Gebr. van der Lee"/>
    <x v="4"/>
    <s v="31118126.0102"/>
    <n v="1"/>
    <s v="1HRR"/>
    <m/>
    <n v="92.8"/>
    <n v="92.93"/>
    <s v="1U-R"/>
    <m/>
    <n v="92.8"/>
    <n v="92.93"/>
    <x v="9"/>
    <m/>
    <d v="2021-12-21T00:00:00"/>
    <s v="0/16"/>
    <n v="70611"/>
    <s v="Lelystad"/>
    <n v="56"/>
    <n v="175"/>
    <s v="SpoedLVO, oorspronkelijke deklaag ZOABTW"/>
  </r>
  <r>
    <s v="Gebr. van der Lee"/>
    <x v="4"/>
    <s v="31118126.0102"/>
    <n v="1"/>
    <s v="1HRR"/>
    <m/>
    <n v="93"/>
    <n v="93.51"/>
    <s v="3R-R"/>
    <m/>
    <n v="93"/>
    <n v="93.51"/>
    <x v="9"/>
    <m/>
    <d v="2021-12-21T00:00:00"/>
    <s v="0/16"/>
    <n v="70611"/>
    <s v="Lelystad"/>
    <n v="247"/>
    <n v="175"/>
    <s v="SpoedLVO, oorspronkelijke deklaag ZOABTW"/>
  </r>
  <r>
    <s v="Gebr. van der Lee"/>
    <x v="4"/>
    <s v="31118126.0102"/>
    <n v="1"/>
    <s v="1HRR"/>
    <m/>
    <n v="93.424999999999997"/>
    <n v="93.495000000000005"/>
    <s v="1I-R"/>
    <m/>
    <n v="93.424999999999997"/>
    <n v="93.495000000000005"/>
    <x v="9"/>
    <m/>
    <d v="2021-12-23T00:00:00"/>
    <s v="0/16"/>
    <n v="70611"/>
    <s v="Lelystad"/>
    <n v="34"/>
    <n v="175"/>
    <s v="SpoedLVO"/>
  </r>
  <r>
    <s v="Gebr. van der Lee"/>
    <x v="4"/>
    <s v="31118126.0102"/>
    <n v="1"/>
    <s v="1HRR"/>
    <m/>
    <n v="93.49"/>
    <n v="93.51"/>
    <s v="2R-R"/>
    <m/>
    <n v="93.49"/>
    <n v="93.51"/>
    <x v="9"/>
    <m/>
    <d v="2021-12-21T00:00:00"/>
    <s v="0/16"/>
    <n v="70611"/>
    <s v="Lelystad"/>
    <n v="8"/>
    <n v="175"/>
    <s v="SpoedLVO, oorspronkelijke deklaag ZOABTW"/>
  </r>
  <r>
    <s v="Gebr. van der Lee"/>
    <x v="4"/>
    <s v="31118126.0102"/>
    <n v="1"/>
    <s v="1HRR"/>
    <m/>
    <n v="93.6"/>
    <n v="93.7"/>
    <s v="2R-R"/>
    <m/>
    <n v="93.6"/>
    <n v="93.7"/>
    <x v="9"/>
    <m/>
    <d v="2021-12-21T00:00:00"/>
    <s v="0/16"/>
    <n v="70611"/>
    <s v="Lelystad"/>
    <n v="43"/>
    <n v="175"/>
    <s v="SpoedLVO, oorspronkelijke deklaag ZOABTW"/>
  </r>
  <r>
    <s v="Gebr. van der Lee"/>
    <x v="4"/>
    <s v="31118126.0102"/>
    <n v="1"/>
    <s v="1HRR"/>
    <m/>
    <n v="93.6"/>
    <n v="93.7"/>
    <s v="3R-R"/>
    <m/>
    <n v="93.6"/>
    <n v="93.7"/>
    <x v="9"/>
    <m/>
    <d v="2021-12-21T00:00:00"/>
    <s v="0/16"/>
    <n v="70611"/>
    <s v="Lelystad"/>
    <n v="43"/>
    <n v="175"/>
    <s v="SpoedLVO, oorspronkelijke deklaag ZOABTW"/>
  </r>
  <r>
    <s v="Gebr. van der Lee"/>
    <x v="4"/>
    <s v="31118126.0102"/>
    <n v="1"/>
    <s v="1HRR"/>
    <m/>
    <n v="93.6"/>
    <n v="93.7"/>
    <s v="1U-R"/>
    <m/>
    <n v="93.6"/>
    <n v="93.7"/>
    <x v="9"/>
    <m/>
    <d v="2021-12-21T00:00:00"/>
    <s v="0/16"/>
    <n v="70611"/>
    <s v="Lelystad"/>
    <n v="43"/>
    <n v="175"/>
    <s v="SpoedLVO, oorspronkelijke deklaag ZOABTW"/>
  </r>
  <r>
    <s v="Gebr. van der Lee"/>
    <x v="4"/>
    <s v="31118126.0102"/>
    <n v="1"/>
    <s v="1HRR"/>
    <m/>
    <n v="93.95"/>
    <n v="94.25"/>
    <s v="1W-R"/>
    <m/>
    <n v="93.95"/>
    <n v="94.25"/>
    <x v="9"/>
    <m/>
    <d v="2021-12-23T00:00:00"/>
    <s v="0/16"/>
    <n v="70611"/>
    <s v="Lelystad"/>
    <n v="129"/>
    <n v="175"/>
    <s v="SpoedLVO, oorspronkelijke deklaag ZOABTW"/>
  </r>
  <r>
    <s v="Gebr. van der Lee"/>
    <x v="4"/>
    <s v="31118126.0102"/>
    <n v="1"/>
    <s v="1HRR"/>
    <m/>
    <n v="93.7"/>
    <n v="94.8"/>
    <s v="3R-R"/>
    <m/>
    <n v="93.7"/>
    <n v="94.8"/>
    <x v="9"/>
    <m/>
    <d v="2021-12-21T00:00:00"/>
    <s v="0/16"/>
    <n v="70611"/>
    <s v="Lelystad"/>
    <n v="532"/>
    <n v="175"/>
    <s v="SpoedLVO, oorspronkelijke deklaag ZOABTW"/>
  </r>
  <r>
    <s v="Gebr. van der Lee"/>
    <x v="4"/>
    <s v="31118126.0102"/>
    <n v="1"/>
    <s v="1HRR"/>
    <m/>
    <n v="81.575000000000003"/>
    <n v="81.64"/>
    <s v="1R-R"/>
    <m/>
    <n v="81.575000000000003"/>
    <n v="81.64"/>
    <x v="9"/>
    <m/>
    <d v="2021-12-20T00:00:00"/>
    <s v="0/16"/>
    <n v="70611"/>
    <s v="Lelystad"/>
    <n v="32"/>
    <n v="175"/>
    <s v="SpoedLVO"/>
  </r>
  <r>
    <s v="Gebr. van der Lee"/>
    <x v="4"/>
    <s v="31118126.0102"/>
    <n v="1"/>
    <s v="1HRR"/>
    <m/>
    <n v="81.7"/>
    <n v="81.8"/>
    <s v="1R-R"/>
    <m/>
    <n v="81.7"/>
    <n v="81.8"/>
    <x v="9"/>
    <m/>
    <d v="2021-12-20T00:00:00"/>
    <s v="0/16"/>
    <n v="70611"/>
    <s v="Lelystad"/>
    <n v="86"/>
    <n v="175"/>
    <s v="SpoedLVO"/>
  </r>
  <r>
    <s v="Gebr. van der Lee"/>
    <x v="4"/>
    <s v="31118126.0102"/>
    <n v="1"/>
    <s v="1HRR"/>
    <m/>
    <n v="81.7"/>
    <n v="81.8"/>
    <s v="2R-R"/>
    <m/>
    <n v="81.7"/>
    <n v="81.8"/>
    <x v="9"/>
    <m/>
    <d v="2021-12-20T00:00:00"/>
    <s v="0/16"/>
    <n v="70611"/>
    <s v="Lelystad"/>
    <n v="86"/>
    <n v="175"/>
    <s v="SpoedLVO"/>
  </r>
  <r>
    <s v="Gebr. van der Lee"/>
    <x v="4"/>
    <s v="31118126.0102"/>
    <n v="1"/>
    <s v="1HRR"/>
    <m/>
    <n v="81.8"/>
    <n v="81.84"/>
    <s v="2R-R"/>
    <m/>
    <n v="81.8"/>
    <n v="81.84"/>
    <x v="9"/>
    <m/>
    <d v="2021-12-20T00:00:00"/>
    <s v="0/16"/>
    <n v="70611"/>
    <s v="Lelystad"/>
    <n v="22"/>
    <n v="175"/>
    <s v="SpoedLVO"/>
  </r>
  <r>
    <s v="Gebr. van der Lee"/>
    <x v="4"/>
    <s v="31118126.0102"/>
    <n v="1"/>
    <s v="1HRR"/>
    <m/>
    <n v="81.84"/>
    <n v="81.96"/>
    <s v="2R-R"/>
    <m/>
    <n v="81.84"/>
    <n v="81.96"/>
    <x v="9"/>
    <m/>
    <d v="2021-12-20T00:00:00"/>
    <s v="0/16"/>
    <n v="70611"/>
    <s v="Lelystad"/>
    <n v="45"/>
    <n v="175"/>
    <s v="SpoedLVO"/>
  </r>
  <r>
    <s v="Gebr. van der Lee"/>
    <x v="4"/>
    <s v="31118126.0102"/>
    <n v="1"/>
    <s v="1HRR"/>
    <m/>
    <n v="82.075000000000003"/>
    <n v="82.2"/>
    <s v="2R-R"/>
    <m/>
    <n v="82.075000000000003"/>
    <n v="82.2"/>
    <x v="9"/>
    <m/>
    <d v="2021-12-22T00:00:00"/>
    <s v="0/16"/>
    <n v="70611"/>
    <s v="Lelystad"/>
    <n v="48"/>
    <n v="175"/>
    <s v="SpoedLVO"/>
  </r>
  <r>
    <s v="Gebr. van der Lee"/>
    <x v="4"/>
    <s v="31118126.0102"/>
    <n v="1"/>
    <s v="1HRR"/>
    <m/>
    <n v="82.174999999999997"/>
    <n v="82.25"/>
    <s v="1R-R"/>
    <m/>
    <n v="82.174999999999997"/>
    <n v="82.25"/>
    <x v="9"/>
    <m/>
    <d v="2021-12-22T00:00:00"/>
    <s v="0/16"/>
    <n v="70611"/>
    <s v="Lelystad"/>
    <n v="36"/>
    <n v="175"/>
    <s v="SpoedLVO"/>
  </r>
  <r>
    <s v="Gebr. van der Lee"/>
    <x v="4"/>
    <s v="31118126.0102"/>
    <n v="1"/>
    <s v="1HRR"/>
    <m/>
    <n v="82.5"/>
    <n v="82.525000000000006"/>
    <s v="2R-R"/>
    <m/>
    <n v="82.5"/>
    <n v="82.525000000000006"/>
    <x v="9"/>
    <m/>
    <d v="2021-12-22T00:00:00"/>
    <s v="0/16"/>
    <n v="70611"/>
    <s v="Lelystad"/>
    <n v="12"/>
    <n v="175"/>
    <s v="SpoedLVO"/>
  </r>
  <r>
    <s v="Gebr. van der Lee"/>
    <x v="4"/>
    <s v="31118126.0102"/>
    <n v="1"/>
    <s v="1HRR"/>
    <m/>
    <n v="82.75"/>
    <n v="82.78"/>
    <s v="2R-R"/>
    <m/>
    <n v="82.75"/>
    <n v="82.78"/>
    <x v="9"/>
    <m/>
    <d v="2021-12-22T00:00:00"/>
    <s v="0/16"/>
    <n v="70611"/>
    <s v="Lelystad"/>
    <n v="14"/>
    <n v="175"/>
    <s v="SpoedLVO"/>
  </r>
  <r>
    <s v="Gebr. van der Lee"/>
    <x v="4"/>
    <s v="31118126.0102"/>
    <n v="1"/>
    <s v="1HRR"/>
    <m/>
    <n v="82.95"/>
    <n v="83.03"/>
    <s v="2R-R"/>
    <m/>
    <n v="82.95"/>
    <n v="83.03"/>
    <x v="9"/>
    <m/>
    <d v="2021-12-22T00:00:00"/>
    <s v="0/16"/>
    <n v="70611"/>
    <s v="Lelystad"/>
    <n v="30"/>
    <n v="175"/>
    <s v="SpoedLVO"/>
  </r>
  <r>
    <s v="Gebr. van der Lee"/>
    <x v="4"/>
    <s v="31118126.0102"/>
    <n v="1"/>
    <s v="1HRR"/>
    <m/>
    <n v="83.03"/>
    <n v="83.055000000000007"/>
    <s v="2R-R"/>
    <m/>
    <n v="83.03"/>
    <n v="83.055000000000007"/>
    <x v="9"/>
    <m/>
    <d v="2021-12-22T00:00:00"/>
    <s v="0/16"/>
    <n v="70611"/>
    <s v="Lelystad"/>
    <n v="10"/>
    <n v="175"/>
    <s v="SpoedLVO"/>
  </r>
  <r>
    <s v="Gebr. van der Lee"/>
    <x v="4"/>
    <s v="31118126.0102"/>
    <n v="1"/>
    <s v="1HRR"/>
    <m/>
    <n v="83.14"/>
    <n v="83.16"/>
    <s v="2R-R"/>
    <m/>
    <n v="83.14"/>
    <n v="83.16"/>
    <x v="9"/>
    <m/>
    <d v="2021-12-22T00:00:00"/>
    <s v="0/16"/>
    <n v="70611"/>
    <s v="Lelystad"/>
    <n v="10"/>
    <n v="175"/>
    <s v="SpoedLVO"/>
  </r>
  <r>
    <s v="Gebr. van der Lee"/>
    <x v="4"/>
    <s v="31118126.0102"/>
    <n v="1"/>
    <s v="1HRR"/>
    <m/>
    <n v="83.375"/>
    <n v="83.4"/>
    <s v="2R-R"/>
    <m/>
    <n v="83.375"/>
    <n v="83.4"/>
    <x v="9"/>
    <m/>
    <d v="2021-12-22T00:00:00"/>
    <s v="0/16"/>
    <n v="70611"/>
    <s v="Lelystad"/>
    <n v="10"/>
    <n v="175"/>
    <s v="SpoedLVO"/>
  </r>
  <r>
    <s v="Gebr. van der Lee"/>
    <x v="4"/>
    <s v="31118126.0102"/>
    <n v="1"/>
    <s v="1HRR"/>
    <m/>
    <n v="83.474999999999994"/>
    <n v="83.54"/>
    <s v="1R-R"/>
    <m/>
    <n v="83.474999999999994"/>
    <n v="83.54"/>
    <x v="9"/>
    <m/>
    <d v="2021-12-22T00:00:00"/>
    <s v="0/16"/>
    <n v="70611"/>
    <s v="Lelystad"/>
    <n v="32"/>
    <n v="175"/>
    <s v="SpoedLVO"/>
  </r>
  <r>
    <s v="Gebr. van der Lee"/>
    <x v="4"/>
    <s v="31118126.0102"/>
    <n v="1"/>
    <s v="1HRR"/>
    <m/>
    <n v="83.54"/>
    <n v="83.575000000000003"/>
    <s v="1R-R"/>
    <m/>
    <n v="83.54"/>
    <n v="83.575000000000003"/>
    <x v="9"/>
    <m/>
    <d v="2021-12-22T00:00:00"/>
    <s v="0/16"/>
    <n v="70611"/>
    <s v="Lelystad"/>
    <n v="30"/>
    <n v="175"/>
    <s v="SpoedLVO"/>
  </r>
  <r>
    <s v="Gebr. van der Lee"/>
    <x v="4"/>
    <s v="31118126.0102"/>
    <n v="1"/>
    <s v="1HRR"/>
    <m/>
    <n v="83.54"/>
    <n v="83.575000000000003"/>
    <s v="2R-R"/>
    <m/>
    <n v="83.54"/>
    <n v="83.575000000000003"/>
    <x v="9"/>
    <m/>
    <d v="2021-12-22T00:00:00"/>
    <s v="0/16"/>
    <n v="70611"/>
    <s v="Lelystad"/>
    <n v="30"/>
    <n v="175"/>
    <s v="SpoedLVO"/>
  </r>
  <r>
    <s v="Gebr. van der Lee"/>
    <x v="4"/>
    <s v="31118126.0102"/>
    <n v="1"/>
    <s v="1HRR"/>
    <m/>
    <n v="83.575000000000003"/>
    <n v="83.625"/>
    <s v="1R-R"/>
    <m/>
    <n v="83.575000000000003"/>
    <n v="83.625"/>
    <x v="9"/>
    <m/>
    <d v="2021-12-22T00:00:00"/>
    <s v="0/16"/>
    <n v="70611"/>
    <s v="Lelystad"/>
    <n v="70"/>
    <n v="175"/>
    <s v="SpoedLVO"/>
  </r>
  <r>
    <s v="Gebr. van der Lee"/>
    <x v="4"/>
    <s v="31118126.0102"/>
    <n v="1"/>
    <s v="1HRR"/>
    <m/>
    <n v="83.575000000000003"/>
    <n v="83.625"/>
    <s v="2R-R"/>
    <m/>
    <n v="83.575000000000003"/>
    <n v="83.625"/>
    <x v="9"/>
    <m/>
    <d v="2021-12-22T00:00:00"/>
    <s v="0/16"/>
    <n v="70611"/>
    <s v="Lelystad"/>
    <n v="70"/>
    <n v="175"/>
    <s v="SpoedLVO"/>
  </r>
  <r>
    <s v="Gebr. van der Lee"/>
    <x v="4"/>
    <s v="31118126.0102"/>
    <n v="1"/>
    <s v="1HRR"/>
    <m/>
    <n v="83.575000000000003"/>
    <n v="83.625"/>
    <s v="1U-R"/>
    <m/>
    <n v="83.575000000000003"/>
    <n v="83.625"/>
    <x v="9"/>
    <m/>
    <d v="2021-12-22T00:00:00"/>
    <s v="0/16"/>
    <n v="70611"/>
    <s v="Lelystad"/>
    <n v="70"/>
    <n v="175"/>
    <s v="SpoedLVO"/>
  </r>
  <r>
    <s v="Gebr. van der Lee"/>
    <x v="4"/>
    <s v="31118126.0102"/>
    <n v="1"/>
    <s v="1HRR"/>
    <m/>
    <n v="83.7"/>
    <n v="83.85"/>
    <s v="2R-R"/>
    <m/>
    <n v="83.7"/>
    <n v="83.85"/>
    <x v="9"/>
    <m/>
    <d v="2021-12-22T00:00:00"/>
    <s v="0/16"/>
    <n v="70611"/>
    <s v="Lelystad"/>
    <n v="113"/>
    <n v="175"/>
    <s v="SpoedLVO"/>
  </r>
  <r>
    <s v="Gebr. van der Lee"/>
    <x v="4"/>
    <s v="31118126.0102"/>
    <n v="1"/>
    <s v="1HRR"/>
    <m/>
    <n v="83.7"/>
    <n v="83.85"/>
    <s v="1U-R"/>
    <m/>
    <n v="83.7"/>
    <n v="83.85"/>
    <x v="9"/>
    <m/>
    <d v="2021-12-22T00:00:00"/>
    <s v="0/16"/>
    <n v="70611"/>
    <s v="Lelystad"/>
    <n v="113"/>
    <n v="175"/>
    <s v="SpoedLVO"/>
  </r>
  <r>
    <s v="Gebr. van der Lee"/>
    <x v="4"/>
    <s v="31118126.0102"/>
    <n v="1"/>
    <s v="1HRR"/>
    <m/>
    <n v="83.85"/>
    <n v="83.99"/>
    <s v="2R-R"/>
    <m/>
    <n v="83.85"/>
    <n v="83.99"/>
    <x v="9"/>
    <m/>
    <d v="2021-12-22T00:00:00"/>
    <s v="0/16"/>
    <n v="70611"/>
    <s v="Lelystad"/>
    <n v="60"/>
    <n v="175"/>
    <s v="SpoedLVO"/>
  </r>
  <r>
    <s v="Gebr. van der Lee"/>
    <x v="4"/>
    <s v="31118126.0102"/>
    <n v="1"/>
    <s v="1HRR"/>
    <m/>
    <n v="84.2"/>
    <n v="84.43"/>
    <s v="2R-R"/>
    <m/>
    <n v="84.2"/>
    <n v="84.43"/>
    <x v="9"/>
    <m/>
    <d v="2021-12-22T00:00:00"/>
    <s v="0/16"/>
    <n v="70611"/>
    <s v="Lelystad"/>
    <n v="86"/>
    <n v="175"/>
    <s v="SpoedLVO"/>
  </r>
  <r>
    <s v="Gebr. van der Lee"/>
    <x v="4"/>
    <s v="31118126.0102"/>
    <n v="1"/>
    <s v="1HRR"/>
    <m/>
    <n v="84.534999999999997"/>
    <n v="84.7"/>
    <s v="2R-R"/>
    <m/>
    <n v="84.534999999999997"/>
    <n v="84.7"/>
    <x v="9"/>
    <m/>
    <d v="2021-12-22T00:00:00"/>
    <s v="0/16"/>
    <n v="70611"/>
    <s v="Lelystad"/>
    <n v="62"/>
    <n v="175"/>
    <s v="SpoedLVO"/>
  </r>
  <r>
    <s v="Gebr. van der Lee"/>
    <x v="4"/>
    <s v="31118126.0102"/>
    <n v="1"/>
    <s v="1HRR"/>
    <m/>
    <n v="86"/>
    <n v="86.025000000000006"/>
    <s v="2R-R"/>
    <m/>
    <n v="86"/>
    <n v="86.025000000000006"/>
    <x v="9"/>
    <m/>
    <d v="2021-12-22T00:00:00"/>
    <s v="0/16"/>
    <n v="70611"/>
    <s v="Lelystad"/>
    <n v="10"/>
    <n v="175"/>
    <s v="SpoedLVO"/>
  </r>
  <r>
    <s v="Gebr. van der Lee"/>
    <x v="4"/>
    <s v="31118126.0102"/>
    <n v="1"/>
    <s v="1HRR"/>
    <m/>
    <n v="86.6"/>
    <n v="86.65"/>
    <s v="2U-R"/>
    <m/>
    <n v="86.6"/>
    <n v="86.65"/>
    <x v="9"/>
    <m/>
    <d v="2021-12-22T00:00:00"/>
    <s v="0/16"/>
    <n v="70611"/>
    <s v="Lelystad"/>
    <n v="10"/>
    <n v="175"/>
    <s v="SpoedLVO"/>
  </r>
  <r>
    <s v="Gebr. van der Lee"/>
    <x v="4"/>
    <s v="31118126.0102"/>
    <n v="1"/>
    <s v="1HRR"/>
    <m/>
    <n v="88.2"/>
    <n v="88.275000000000006"/>
    <s v="2R-R"/>
    <m/>
    <n v="88.2"/>
    <n v="88.275000000000006"/>
    <x v="9"/>
    <m/>
    <d v="2021-12-22T00:00:00"/>
    <s v="0/16"/>
    <n v="70611"/>
    <s v="Lelystad"/>
    <n v="28"/>
    <n v="175"/>
    <s v="SpoedLVO, oorspronkelijke deklaag ZOABTW"/>
  </r>
  <r>
    <s v="Gebr. van der Lee"/>
    <x v="4"/>
    <s v="31118126.0102"/>
    <n v="1"/>
    <s v="1HRR"/>
    <m/>
    <n v="88.54"/>
    <n v="88.575000000000003"/>
    <s v="3R-R"/>
    <m/>
    <n v="88.54"/>
    <n v="88.575000000000003"/>
    <x v="9"/>
    <m/>
    <d v="2021-12-22T00:00:00"/>
    <s v="0/16"/>
    <n v="70611"/>
    <s v="Lelystad"/>
    <n v="26"/>
    <n v="175"/>
    <s v="SpoedLVO, oorspronkelijke deklaag ZOABTW"/>
  </r>
  <r>
    <s v="Gebr. van der Lee"/>
    <x v="4"/>
    <s v="31118126.0102"/>
    <n v="1"/>
    <s v="1HRR"/>
    <m/>
    <n v="88.54"/>
    <n v="88.575000000000003"/>
    <s v="4R-R"/>
    <m/>
    <n v="88.54"/>
    <n v="88.575000000000003"/>
    <x v="9"/>
    <m/>
    <d v="2021-12-22T00:00:00"/>
    <s v="0/16"/>
    <n v="70611"/>
    <s v="Lelystad"/>
    <n v="26"/>
    <n v="175"/>
    <s v="SpoedLVO, oorspronkelijke deklaag ZOABTW"/>
  </r>
  <r>
    <s v="Gebr. van der Lee"/>
    <x v="4"/>
    <s v="31118126.0102"/>
    <n v="1"/>
    <s v="0VW"/>
    <s v="m"/>
    <n v="86.65"/>
    <n v="87"/>
    <s v="2R-R"/>
    <m/>
    <n v="86.65"/>
    <n v="87"/>
    <x v="9"/>
    <m/>
    <d v="2021-12-22T00:00:00"/>
    <s v="0/16"/>
    <n v="70611"/>
    <s v="Lelystad"/>
    <n v="132"/>
    <n v="175"/>
    <s v="SpoedLVO"/>
  </r>
  <r>
    <s v="Gebr. van der Lee"/>
    <x v="4"/>
    <s v="31118126.0102"/>
    <n v="1"/>
    <s v="1HRL"/>
    <m/>
    <n v="92.4"/>
    <n v="92.26"/>
    <s v="3R-L"/>
    <m/>
    <n v="92.26"/>
    <n v="92.4"/>
    <x v="9"/>
    <m/>
    <d v="2021-12-15T00:00:00"/>
    <s v="0/16"/>
    <n v="70611"/>
    <s v="Lelystad"/>
    <n v="68"/>
    <n v="175"/>
    <s v="SpoedLVO, oorspronkelijke deklaag ZOABTW"/>
  </r>
  <r>
    <s v="Gebr. van der Lee"/>
    <x v="4"/>
    <s v="31118126.0102"/>
    <n v="1"/>
    <s v="1HRL"/>
    <m/>
    <n v="92.15"/>
    <n v="92"/>
    <s v="3R-L"/>
    <m/>
    <n v="92"/>
    <n v="92.15"/>
    <x v="9"/>
    <m/>
    <d v="2021-12-15T00:00:00"/>
    <s v="0/16"/>
    <n v="70611"/>
    <s v="Lelystad"/>
    <n v="72"/>
    <n v="175"/>
    <s v="SpoedLVO, oorspronkelijke deklaag ZOABTW"/>
  </r>
  <r>
    <s v="Gebr. van der Lee"/>
    <x v="4"/>
    <s v="31118126.0102"/>
    <n v="1"/>
    <s v="1HRL"/>
    <m/>
    <n v="91.4"/>
    <n v="91.375"/>
    <s v="2R-L"/>
    <m/>
    <n v="91.375"/>
    <n v="91.4"/>
    <x v="9"/>
    <m/>
    <d v="2021-12-15T00:00:00"/>
    <s v="0/16"/>
    <n v="70611"/>
    <s v="Lelystad"/>
    <n v="10"/>
    <n v="175"/>
    <s v="SpoedLVO, oorspronkelijke deklaag ZOABTW"/>
  </r>
  <r>
    <s v="Gebr. van der Lee"/>
    <x v="4"/>
    <s v="31118126.0102"/>
    <n v="1"/>
    <s v="1HRL"/>
    <m/>
    <n v="90.4"/>
    <n v="90.3"/>
    <s v="3R-L"/>
    <m/>
    <n v="90.3"/>
    <n v="90.4"/>
    <x v="9"/>
    <m/>
    <d v="2021-12-15T00:00:00"/>
    <s v="0/16"/>
    <n v="70611"/>
    <s v="Lelystad"/>
    <n v="48"/>
    <n v="175"/>
    <s v="SpoedLVO, oorspronkelijke deklaag ZOABTW"/>
  </r>
  <r>
    <s v="Gebr. van der Lee"/>
    <x v="4"/>
    <s v="31118126.0102"/>
    <n v="1"/>
    <s v="1HRL"/>
    <m/>
    <n v="90.3"/>
    <n v="90.09"/>
    <s v="3R-L"/>
    <m/>
    <n v="90.09"/>
    <n v="90.3"/>
    <x v="9"/>
    <m/>
    <d v="2021-12-15T00:00:00"/>
    <s v="0/16"/>
    <n v="70611"/>
    <s v="Lelystad"/>
    <n v="102"/>
    <n v="175"/>
    <s v="SpoedLVO, oorspronkelijke deklaag ZOABTW"/>
  </r>
  <r>
    <s v="Gebr. van der Lee"/>
    <x v="4"/>
    <s v="31118126.0102"/>
    <n v="1"/>
    <s v="1HRL"/>
    <m/>
    <n v="90.064999999999998"/>
    <n v="90.04"/>
    <s v="2R-L"/>
    <m/>
    <n v="90.04"/>
    <n v="90.064999999999998"/>
    <x v="9"/>
    <m/>
    <d v="2021-12-15T00:00:00"/>
    <s v="0/16"/>
    <n v="70611"/>
    <s v="Lelystad"/>
    <n v="12"/>
    <n v="175"/>
    <s v="SpoedLVO, oorspronkelijke deklaag ZOABTW"/>
  </r>
  <r>
    <s v="Gebr. van der Lee"/>
    <x v="4"/>
    <s v="31118126.0102"/>
    <n v="1"/>
    <s v="1HRL"/>
    <m/>
    <n v="90.064999999999998"/>
    <n v="90.04"/>
    <s v="3R-L"/>
    <m/>
    <n v="90.04"/>
    <n v="90.064999999999998"/>
    <x v="9"/>
    <m/>
    <d v="2021-12-15T00:00:00"/>
    <s v="0/16"/>
    <n v="70611"/>
    <s v="Lelystad"/>
    <n v="12"/>
    <n v="175"/>
    <s v="SpoedLVO, oorspronkelijke deklaag ZOABTW"/>
  </r>
  <r>
    <s v="Gebr. van der Lee"/>
    <x v="4"/>
    <s v="31118126.0102"/>
    <n v="1"/>
    <s v="1HRL"/>
    <m/>
    <n v="90.064999999999998"/>
    <n v="90.04"/>
    <s v="1U-L"/>
    <m/>
    <n v="90.04"/>
    <n v="90.064999999999998"/>
    <x v="9"/>
    <m/>
    <d v="2021-12-15T00:00:00"/>
    <s v="0/16"/>
    <n v="70611"/>
    <s v="Lelystad"/>
    <n v="12"/>
    <n v="175"/>
    <s v="SpoedLVO, oorspronkelijke deklaag ZOABTW"/>
  </r>
  <r>
    <s v="Gebr. van der Lee"/>
    <x v="4"/>
    <s v="31118126.0102"/>
    <n v="1"/>
    <s v="1HRL"/>
    <m/>
    <n v="90"/>
    <n v="89.72"/>
    <s v="3R-L"/>
    <m/>
    <n v="89.72"/>
    <n v="90"/>
    <x v="9"/>
    <m/>
    <d v="2021-12-15T00:00:00"/>
    <s v="0/16"/>
    <n v="70611"/>
    <s v="Lelystad"/>
    <n v="136"/>
    <n v="175"/>
    <s v="SpoedLVO, oorspronkelijke deklaag ZOABTW"/>
  </r>
  <r>
    <s v="Gebr. van der Lee"/>
    <x v="4"/>
    <s v="31118126.0102"/>
    <n v="1"/>
    <s v="1HRL"/>
    <m/>
    <n v="89.515000000000001"/>
    <n v="89.45"/>
    <s v="2R-L"/>
    <m/>
    <n v="89.45"/>
    <n v="89.515000000000001"/>
    <x v="9"/>
    <m/>
    <d v="2021-12-15T00:00:00"/>
    <s v="0/16"/>
    <n v="70611"/>
    <s v="Lelystad"/>
    <n v="77"/>
    <n v="175"/>
    <s v="SpoedLVO, oorspronkelijke deklaag ZOABTW"/>
  </r>
  <r>
    <s v="Gebr. van der Lee"/>
    <x v="4"/>
    <s v="31118126.0102"/>
    <n v="1"/>
    <s v="1HRL"/>
    <m/>
    <n v="89.515000000000001"/>
    <n v="89.45"/>
    <s v="3R-L"/>
    <m/>
    <n v="89.45"/>
    <n v="89.515000000000001"/>
    <x v="9"/>
    <m/>
    <d v="2021-12-15T00:00:00"/>
    <s v="0/16"/>
    <n v="70611"/>
    <s v="Lelystad"/>
    <n v="77"/>
    <n v="175"/>
    <s v="SpoedLVO, oorspronkelijke deklaag ZOABTW"/>
  </r>
  <r>
    <s v="Gebr. van der Lee"/>
    <x v="4"/>
    <s v="31118126.0102"/>
    <n v="1"/>
    <s v="1HRL"/>
    <m/>
    <n v="89.515000000000001"/>
    <n v="89.45"/>
    <s v="4R-L"/>
    <m/>
    <n v="89.45"/>
    <n v="89.515000000000001"/>
    <x v="9"/>
    <m/>
    <d v="2021-12-15T00:00:00"/>
    <s v="0/16"/>
    <n v="70611"/>
    <s v="Lelystad"/>
    <n v="77"/>
    <n v="175"/>
    <s v="SpoedLVO, oorspronkelijke deklaag ZOABTW"/>
  </r>
  <r>
    <s v="Gebr. van der Lee"/>
    <x v="4"/>
    <s v="31118126.0102"/>
    <n v="1"/>
    <s v="1HRL"/>
    <m/>
    <n v="89.45"/>
    <n v="89.314999999999998"/>
    <s v="1U-L"/>
    <m/>
    <n v="89.314999999999998"/>
    <n v="89.45"/>
    <x v="9"/>
    <m/>
    <d v="2021-12-15T00:00:00"/>
    <s v="0/16"/>
    <n v="70611"/>
    <s v="Lelystad"/>
    <n v="131"/>
    <n v="175"/>
    <s v="SpoedLVO, oorspronkelijke deklaag ZOABTW"/>
  </r>
  <r>
    <s v="Gebr. van der Lee"/>
    <x v="4"/>
    <s v="31118126.0102"/>
    <n v="1"/>
    <s v="1HRL"/>
    <m/>
    <n v="89.45"/>
    <n v="89.314999999999998"/>
    <s v="2U-L"/>
    <m/>
    <n v="89.314999999999998"/>
    <n v="89.45"/>
    <x v="9"/>
    <m/>
    <d v="2021-12-15T00:00:00"/>
    <s v="0/16"/>
    <n v="70611"/>
    <s v="Lelystad"/>
    <n v="131"/>
    <n v="175"/>
    <s v="SpoedLVO, oorspronkelijke deklaag ZOABTW"/>
  </r>
  <r>
    <s v="Gebr. van der Lee"/>
    <x v="4"/>
    <s v="31118126.0102"/>
    <n v="1"/>
    <s v="1HRL"/>
    <m/>
    <n v="89.21"/>
    <n v="89.194999999999993"/>
    <s v="2U-L"/>
    <m/>
    <n v="89.194999999999993"/>
    <n v="89.21"/>
    <x v="9"/>
    <m/>
    <d v="2021-12-15T00:00:00"/>
    <s v="0/16"/>
    <n v="70611"/>
    <s v="Lelystad"/>
    <n v="8"/>
    <n v="175"/>
    <s v="SpoedLVO, oorspronkelijke deklaag ZOABTW"/>
  </r>
  <r>
    <s v="Gebr. van der Lee"/>
    <x v="4"/>
    <s v="31118126.0102"/>
    <n v="1"/>
    <s v="1HRL"/>
    <m/>
    <n v="89.1"/>
    <n v="89.075000000000003"/>
    <s v="2U-L"/>
    <m/>
    <n v="89.075000000000003"/>
    <n v="89.1"/>
    <x v="9"/>
    <m/>
    <d v="2021-12-15T00:00:00"/>
    <s v="0/16"/>
    <n v="70611"/>
    <s v="Lelystad"/>
    <n v="12"/>
    <n v="175"/>
    <s v="SpoedLVO, oorspronkelijke deklaag ZOABTW"/>
  </r>
  <r>
    <s v="Gebr. van der Lee"/>
    <x v="4"/>
    <s v="31118126.0102"/>
    <n v="1"/>
    <s v="1HRL"/>
    <m/>
    <n v="89.05"/>
    <n v="89.025000000000006"/>
    <s v="1U-L"/>
    <m/>
    <n v="89.025000000000006"/>
    <n v="89.05"/>
    <x v="9"/>
    <m/>
    <d v="2021-12-15T00:00:00"/>
    <s v="0/16"/>
    <n v="70611"/>
    <s v="Lelystad"/>
    <n v="10"/>
    <n v="175"/>
    <s v="SpoedLVO, oorspronkelijke deklaag ZOABTW"/>
  </r>
  <r>
    <s v="Gebr. van der Lee"/>
    <x v="4"/>
    <s v="31118126.0102"/>
    <n v="1"/>
    <s v="1HRL"/>
    <m/>
    <n v="89.075000000000003"/>
    <n v="88.55"/>
    <s v="2U-L"/>
    <m/>
    <n v="88.55"/>
    <n v="89.075000000000003"/>
    <x v="9"/>
    <m/>
    <d v="2021-12-15T00:00:00"/>
    <s v="0/16"/>
    <n v="70611"/>
    <s v="Lelystad"/>
    <n v="254"/>
    <n v="175"/>
    <s v="SpoedLVO, oorspronkelijke deklaag ZOABTW"/>
  </r>
  <r>
    <s v="Gebr. van der Lee"/>
    <x v="4"/>
    <s v="31118126.0102"/>
    <n v="1"/>
    <s v="1HRL"/>
    <m/>
    <n v="88.74"/>
    <n v="88.69"/>
    <s v="1R-L"/>
    <m/>
    <n v="88.69"/>
    <n v="88.74"/>
    <x v="9"/>
    <m/>
    <d v="2021-12-15T00:00:00"/>
    <s v="0/16"/>
    <n v="70611"/>
    <s v="Lelystad"/>
    <n v="46"/>
    <n v="175"/>
    <s v="SpoedLVO, oorspronkelijke deklaag ZOABTW"/>
  </r>
  <r>
    <s v="Gebr. van der Lee"/>
    <x v="4"/>
    <s v="31118126.0102"/>
    <n v="1"/>
    <s v="1HRL"/>
    <m/>
    <n v="88.74"/>
    <n v="88.69"/>
    <s v="2R-L"/>
    <m/>
    <n v="88.69"/>
    <n v="88.74"/>
    <x v="9"/>
    <m/>
    <d v="2021-12-15T00:00:00"/>
    <s v="0/16"/>
    <n v="70611"/>
    <s v="Lelystad"/>
    <n v="46"/>
    <n v="175"/>
    <s v="SpoedLVO, oorspronkelijke deklaag ZOABTW"/>
  </r>
  <r>
    <s v="Gebr. van der Lee"/>
    <x v="4"/>
    <s v="31118126.0102"/>
    <n v="1"/>
    <s v="1HRL"/>
    <m/>
    <n v="88.49"/>
    <n v="88.37"/>
    <s v="1R-L"/>
    <m/>
    <n v="88.37"/>
    <n v="88.49"/>
    <x v="9"/>
    <m/>
    <d v="2021-12-15T00:00:00"/>
    <s v="0/16"/>
    <n v="70611"/>
    <s v="Lelystad"/>
    <n v="52"/>
    <n v="175"/>
    <s v="SpoedLVO, oorspronkelijke deklaag ZOABTW"/>
  </r>
  <r>
    <s v="Gebr. van der Lee"/>
    <x v="4"/>
    <s v="31118126.0102"/>
    <n v="1"/>
    <s v="1HRL"/>
    <m/>
    <n v="88.43"/>
    <n v="88.36"/>
    <s v="2U-L"/>
    <m/>
    <n v="88.36"/>
    <n v="88.43"/>
    <x v="9"/>
    <m/>
    <d v="2021-12-15T00:00:00"/>
    <s v="0/16"/>
    <n v="70611"/>
    <s v="Lelystad"/>
    <n v="34"/>
    <n v="175"/>
    <s v="SpoedLVO, oorspronkelijke deklaag ZOABTW"/>
  </r>
  <r>
    <s v="Gebr. van der Lee"/>
    <x v="4"/>
    <s v="31118126.0102"/>
    <n v="1"/>
    <s v="1HRL"/>
    <m/>
    <n v="88.26"/>
    <n v="88.18"/>
    <s v="2R-L"/>
    <m/>
    <n v="88.18"/>
    <n v="88.26"/>
    <x v="9"/>
    <m/>
    <d v="2021-12-15T00:00:00"/>
    <s v="0/16"/>
    <n v="70611"/>
    <s v="Lelystad"/>
    <n v="39"/>
    <n v="175"/>
    <s v="SpoedLVO"/>
  </r>
  <r>
    <s v="Gebr. van der Lee"/>
    <x v="4"/>
    <s v="31118126.0102"/>
    <n v="1"/>
    <s v="1HRL"/>
    <m/>
    <n v="85.66"/>
    <n v="85.635000000000005"/>
    <s v="2R-L"/>
    <m/>
    <n v="85.635000000000005"/>
    <n v="85.66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0VW"/>
    <s v="d"/>
    <n v="84.42"/>
    <n v="84.025000000000006"/>
    <s v="1R-L"/>
    <m/>
    <n v="84.025000000000006"/>
    <n v="84.42"/>
    <x v="4"/>
    <m/>
    <d v="2021-12-14T00:00:00"/>
    <s v="0/11 type 2"/>
    <n v="50405"/>
    <s v="Lelystad"/>
    <n v="173"/>
    <n v="175"/>
    <s v="SpoedLVO"/>
  </r>
  <r>
    <s v="Gebr. van der Lee"/>
    <x v="4"/>
    <s v="31118126.0102"/>
    <n v="1"/>
    <s v="1HRL"/>
    <m/>
    <n v="83.12"/>
    <n v="82.93"/>
    <s v="2R-L"/>
    <m/>
    <n v="82.93"/>
    <n v="83.12"/>
    <x v="9"/>
    <m/>
    <d v="2021-12-14T00:00:00"/>
    <s v="0/16"/>
    <n v="70611"/>
    <s v="Lelystad"/>
    <n v="92"/>
    <n v="175"/>
    <s v="SpoedLVO"/>
  </r>
  <r>
    <s v="Gebr. van der Lee"/>
    <x v="4"/>
    <s v="31118126.0102"/>
    <n v="1"/>
    <s v="1HRL"/>
    <m/>
    <n v="82.9"/>
    <n v="82.85"/>
    <s v="2R-L"/>
    <m/>
    <n v="82.85"/>
    <n v="82.9"/>
    <x v="9"/>
    <m/>
    <d v="2021-12-14T00:00:00"/>
    <s v="0/16"/>
    <n v="70611"/>
    <s v="Lelystad"/>
    <n v="24"/>
    <n v="175"/>
    <s v="SpoedLVO"/>
  </r>
  <r>
    <s v="Gebr. van der Lee"/>
    <x v="4"/>
    <s v="31118126.0102"/>
    <n v="1"/>
    <s v="1HRL"/>
    <m/>
    <n v="82.3"/>
    <n v="82.275000000000006"/>
    <s v="2R-L"/>
    <m/>
    <n v="82.275000000000006"/>
    <n v="82.3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1HRL"/>
    <m/>
    <n v="82.125"/>
    <n v="82.075000000000003"/>
    <s v="2R-L"/>
    <m/>
    <n v="82.075000000000003"/>
    <n v="82.125"/>
    <x v="9"/>
    <m/>
    <d v="2021-12-14T00:00:00"/>
    <s v="0/16"/>
    <n v="70611"/>
    <s v="Lelystad"/>
    <n v="24"/>
    <n v="175"/>
    <s v="SpoedLVO"/>
  </r>
  <r>
    <s v="Gebr. van der Lee"/>
    <x v="4"/>
    <s v="31118126.0102"/>
    <n v="1"/>
    <s v="1HRL"/>
    <m/>
    <n v="81.95"/>
    <n v="81.924999999999997"/>
    <s v="2R-L"/>
    <m/>
    <n v="81.924999999999997"/>
    <n v="81.95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1HRL"/>
    <m/>
    <n v="81.849999999999994"/>
    <n v="81.8"/>
    <s v="2R-L"/>
    <m/>
    <n v="81.8"/>
    <n v="81.849999999999994"/>
    <x v="9"/>
    <m/>
    <d v="2021-12-14T00:00:00"/>
    <s v="0/16"/>
    <n v="70611"/>
    <s v="Lelystad"/>
    <n v="24"/>
    <n v="175"/>
    <s v="SpoedLVO"/>
  </r>
  <r>
    <s v="Gebr. van der Lee"/>
    <x v="4"/>
    <s v="31118126.0102"/>
    <n v="1"/>
    <s v="1HRL"/>
    <m/>
    <n v="80.7"/>
    <n v="80.599999999999994"/>
    <s v="2R-L"/>
    <m/>
    <n v="80.599999999999994"/>
    <n v="80.7"/>
    <x v="9"/>
    <m/>
    <d v="2021-12-14T00:00:00"/>
    <s v="0/16"/>
    <n v="70611"/>
    <s v="Lelystad"/>
    <n v="48"/>
    <n v="175"/>
    <s v="SpoedLVO"/>
  </r>
  <r>
    <s v="Gebr. van der Lee"/>
    <x v="4"/>
    <s v="31118126.0102"/>
    <n v="1"/>
    <s v="1HRL"/>
    <m/>
    <n v="80.5"/>
    <n v="80.400000000000006"/>
    <s v="2R-L"/>
    <m/>
    <n v="80.400000000000006"/>
    <n v="80.5"/>
    <x v="9"/>
    <m/>
    <d v="2021-12-14T00:00:00"/>
    <s v="0/16"/>
    <n v="70611"/>
    <s v="Lelystad"/>
    <n v="48"/>
    <n v="175"/>
    <s v="SpoedLVO"/>
  </r>
  <r>
    <s v="Gebr. van der Lee"/>
    <x v="4"/>
    <s v="31118126.0102"/>
    <n v="1"/>
    <s v="1HRL"/>
    <m/>
    <n v="79.474999999999994"/>
    <n v="79.45"/>
    <s v="2R-L"/>
    <m/>
    <n v="79.45"/>
    <n v="79.474999999999994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1HRL"/>
    <m/>
    <n v="79.474999999999994"/>
    <n v="79.45"/>
    <s v="1U-L"/>
    <m/>
    <n v="79.45"/>
    <n v="79.474999999999994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0VW"/>
    <s v="d"/>
    <n v="77.75"/>
    <n v="77.724999999999994"/>
    <s v="1R-L"/>
    <m/>
    <n v="77.724999999999994"/>
    <n v="77.75"/>
    <x v="8"/>
    <m/>
    <d v="2021-12-14T00:00:00"/>
    <s v="0/16"/>
    <n v="70611"/>
    <s v="Lelystad"/>
    <n v="13"/>
    <n v="175"/>
    <s v="SpoedLVO"/>
  </r>
  <r>
    <s v="Gebr. van der Lee"/>
    <x v="4"/>
    <s v="31118126.0102"/>
    <n v="1"/>
    <s v="1HRL"/>
    <m/>
    <n v="77.765000000000001"/>
    <n v="77.739999999999995"/>
    <s v="2R-L"/>
    <m/>
    <n v="77.739999999999995"/>
    <n v="77.765000000000001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1HRL"/>
    <m/>
    <n v="77.53"/>
    <n v="77.5"/>
    <s v="2R-L"/>
    <m/>
    <n v="77.5"/>
    <n v="77.53"/>
    <x v="9"/>
    <m/>
    <d v="2021-12-14T00:00:00"/>
    <s v="0/16"/>
    <n v="70611"/>
    <s v="Lelystad"/>
    <n v="15"/>
    <n v="175"/>
    <s v="SpoedLVO"/>
  </r>
  <r>
    <s v="Gebr. van der Lee"/>
    <x v="4"/>
    <s v="31118126.0102"/>
    <n v="1"/>
    <s v="1HRL"/>
    <m/>
    <n v="77.400000000000006"/>
    <n v="77.290000000000006"/>
    <s v="2R-L"/>
    <m/>
    <n v="77.290000000000006"/>
    <n v="77.400000000000006"/>
    <x v="9"/>
    <m/>
    <d v="2021-12-14T00:00:00"/>
    <s v="0/16"/>
    <n v="70611"/>
    <s v="Lelystad"/>
    <n v="53"/>
    <n v="175"/>
    <s v="SpoedLVO"/>
  </r>
  <r>
    <s v="Gebr. van der Lee"/>
    <x v="4"/>
    <s v="31118126.0102"/>
    <n v="1"/>
    <s v="1HRL"/>
    <m/>
    <n v="77.099999999999994"/>
    <n v="76.95"/>
    <s v="2R-L"/>
    <m/>
    <n v="76.95"/>
    <n v="77.099999999999994"/>
    <x v="9"/>
    <m/>
    <d v="2021-12-14T00:00:00"/>
    <s v="0/16"/>
    <n v="70611"/>
    <s v="Lelystad"/>
    <n v="68"/>
    <n v="175"/>
    <s v="SpoedLVO"/>
  </r>
  <r>
    <s v="Gebr. van der Lee"/>
    <x v="4"/>
    <s v="31118126.0102"/>
    <n v="1"/>
    <s v="1HRL"/>
    <m/>
    <n v="76.56"/>
    <n v="76.5"/>
    <s v="2R-L"/>
    <m/>
    <n v="76.5"/>
    <n v="76.56"/>
    <x v="9"/>
    <m/>
    <d v="2021-12-14T00:00:00"/>
    <s v="0/16"/>
    <n v="70611"/>
    <s v="Lelystad"/>
    <n v="29"/>
    <n v="175"/>
    <s v="SpoedLVO"/>
  </r>
  <r>
    <s v="Gebr. van der Lee"/>
    <x v="4"/>
    <s v="31118126.0102"/>
    <n v="1"/>
    <s v="1HRL"/>
    <m/>
    <n v="76.375"/>
    <n v="76.325000000000003"/>
    <s v="2R-L"/>
    <m/>
    <n v="76.325000000000003"/>
    <n v="76.375"/>
    <x v="9"/>
    <m/>
    <d v="2021-12-14T00:00:00"/>
    <s v="0/16"/>
    <n v="70611"/>
    <s v="Lelystad"/>
    <n v="24"/>
    <n v="175"/>
    <s v="SpoedLVO"/>
  </r>
  <r>
    <s v="Gebr. van der Lee"/>
    <x v="4"/>
    <s v="31118126.0102"/>
    <n v="1"/>
    <s v="1HRL"/>
    <m/>
    <n v="71.814999999999998"/>
    <n v="71.790000000000006"/>
    <s v="1R-L"/>
    <m/>
    <n v="71.790000000000006"/>
    <n v="71.814999999999998"/>
    <x v="9"/>
    <m/>
    <d v="2021-12-14T00:00:00"/>
    <s v="0/16"/>
    <n v="70611"/>
    <s v="Lelystad"/>
    <n v="10"/>
    <n v="175"/>
    <s v="SpoedLVO"/>
  </r>
  <r>
    <s v="Gebr. van der Lee"/>
    <x v="4"/>
    <s v="31118126.0102"/>
    <n v="1"/>
    <s v="1HRL"/>
    <m/>
    <n v="71.55"/>
    <n v="71.5"/>
    <s v="2R-L"/>
    <m/>
    <n v="71.5"/>
    <n v="71.55"/>
    <x v="9"/>
    <m/>
    <d v="2021-12-14T00:00:00"/>
    <s v="0/16"/>
    <n v="70611"/>
    <s v="Lelystad"/>
    <n v="24"/>
    <n v="175"/>
    <s v="SpoedLVO"/>
  </r>
  <r>
    <s v="Gebr. van der Lee"/>
    <x v="4"/>
    <s v="31118126.0102"/>
    <n v="1"/>
    <s v="1HRL"/>
    <m/>
    <n v="71.474999999999994"/>
    <n v="71.45"/>
    <s v="2R-L"/>
    <m/>
    <n v="71.45"/>
    <n v="71.474999999999994"/>
    <x v="9"/>
    <m/>
    <d v="2021-12-14T00:00:00"/>
    <s v="0/16"/>
    <n v="70611"/>
    <s v="Lelystad"/>
    <n v="12"/>
    <n v="175"/>
    <s v="SpoedLVO"/>
  </r>
  <r>
    <s v="Gebr. van der Lee"/>
    <x v="4"/>
    <s v="31118126.0102"/>
    <n v="1"/>
    <s v="0VW"/>
    <s v="d"/>
    <n v="69.474999999999994"/>
    <n v="69.2"/>
    <m/>
    <s v="ALLE"/>
    <n v="69.2"/>
    <n v="69.474999999999994"/>
    <x v="4"/>
    <m/>
    <d v="2021-12-17T00:00:00"/>
    <s v="0/11 type 2"/>
    <n v="50405"/>
    <s v="Lelystad"/>
    <n v="180"/>
    <n v="175"/>
    <s v="SpoedLVO"/>
  </r>
  <r>
    <s v="Gebr. van der Lee"/>
    <x v="4"/>
    <s v="31118126.0102"/>
    <n v="1"/>
    <s v="0VW"/>
    <s v="q"/>
    <n v="68.599999999999994"/>
    <n v="68.540000000000006"/>
    <m/>
    <s v="ALLE"/>
    <n v="68.540000000000006"/>
    <n v="68.599999999999994"/>
    <x v="8"/>
    <m/>
    <d v="2021-12-17T00:00:00"/>
    <s v="0/16"/>
    <n v="43611"/>
    <s v="Lelystad"/>
    <n v="27"/>
    <n v="175"/>
    <s v="SpoedLVO"/>
  </r>
  <r>
    <s v="Gebr. van der Lee"/>
    <x v="4"/>
    <s v="31118126.0102"/>
    <n v="1"/>
    <s v="1HRL"/>
    <m/>
    <n v="68.415000000000006"/>
    <n v="68.275000000000006"/>
    <s v="2R-L"/>
    <m/>
    <n v="68.275000000000006"/>
    <n v="68.415000000000006"/>
    <x v="9"/>
    <m/>
    <d v="2021-12-17T00:00:00"/>
    <s v="0/16"/>
    <n v="70611"/>
    <s v="Lelystad"/>
    <n v="68"/>
    <n v="175"/>
    <s v="SpoedLVO"/>
  </r>
  <r>
    <s v="Gebr. van der Lee"/>
    <x v="4"/>
    <s v="31118126.0102"/>
    <n v="1"/>
    <s v="0VW"/>
    <s v="d"/>
    <n v="68.185000000000002"/>
    <n v="68.16"/>
    <s v="1R-L"/>
    <m/>
    <n v="68.16"/>
    <n v="68.185000000000002"/>
    <x v="8"/>
    <m/>
    <d v="2021-12-17T00:00:00"/>
    <s v="0/16"/>
    <n v="43611"/>
    <s v="Lelystad"/>
    <n v="14"/>
    <n v="175"/>
    <s v="SpoedLVO"/>
  </r>
  <r>
    <s v="Gebr. van der Lee"/>
    <x v="4"/>
    <s v="31118126.0102"/>
    <n v="1"/>
    <s v="1HRL"/>
    <m/>
    <n v="68.025000000000006"/>
    <n v="68"/>
    <s v="2R-L"/>
    <m/>
    <n v="68"/>
    <n v="68.025000000000006"/>
    <x v="9"/>
    <m/>
    <d v="2021-12-17T00:00:00"/>
    <s v="0/16"/>
    <n v="70611"/>
    <s v="Lelystad"/>
    <n v="12"/>
    <n v="175"/>
    <s v="SpoedLVO"/>
  </r>
  <r>
    <s v="Gebr. van der Lee"/>
    <x v="4"/>
    <s v="31118126.0102"/>
    <n v="1"/>
    <s v="1HRL"/>
    <m/>
    <n v="67.724999999999994"/>
    <n v="67.7"/>
    <s v="2R-L"/>
    <m/>
    <n v="67.7"/>
    <n v="67.724999999999994"/>
    <x v="9"/>
    <m/>
    <d v="2021-12-17T00:00:00"/>
    <s v="0/16"/>
    <n v="70611"/>
    <s v="Lelystad"/>
    <n v="12"/>
    <n v="175"/>
    <s v="SpoedLVO"/>
  </r>
  <r>
    <s v="Gebr. van der Lee"/>
    <x v="4"/>
    <s v="31118126.0102"/>
    <n v="1"/>
    <s v="1HRL"/>
    <m/>
    <n v="67.655000000000001"/>
    <n v="67.614999999999995"/>
    <s v="2R-L"/>
    <m/>
    <n v="67.614999999999995"/>
    <n v="67.655000000000001"/>
    <x v="9"/>
    <m/>
    <d v="2021-12-17T00:00:00"/>
    <s v="0/16"/>
    <n v="70611"/>
    <s v="Lelystad"/>
    <n v="20"/>
    <n v="175"/>
    <s v="SpoedLVO"/>
  </r>
  <r>
    <s v="Gebr. van der Lee"/>
    <x v="4"/>
    <s v="31118126.0102"/>
    <n v="1"/>
    <s v="1HRL"/>
    <m/>
    <n v="67.564999999999998"/>
    <n v="67.504999999999995"/>
    <s v="2R-L"/>
    <m/>
    <n v="67.504999999999995"/>
    <n v="67.564999999999998"/>
    <x v="9"/>
    <m/>
    <d v="2021-12-17T00:00:00"/>
    <s v="0/16"/>
    <n v="70611"/>
    <s v="Lelystad"/>
    <n v="29"/>
    <n v="175"/>
    <s v="SpoedLVO"/>
  </r>
  <r>
    <s v="Gebr. van der Lee"/>
    <x v="4"/>
    <s v="31118126.0102"/>
    <n v="1"/>
    <s v="1HRL"/>
    <m/>
    <n v="66.334999999999994"/>
    <n v="66.284999999999997"/>
    <s v="2R-L"/>
    <m/>
    <n v="66.284999999999997"/>
    <n v="66.334999999999994"/>
    <x v="9"/>
    <m/>
    <d v="2021-12-17T00:00:00"/>
    <s v="0/16"/>
    <n v="70611"/>
    <s v="Lelystad"/>
    <n v="24"/>
    <n v="175"/>
    <s v="SpoedLVO"/>
  </r>
  <r>
    <s v="Gebr. van der Lee"/>
    <x v="4"/>
    <s v="31118126.0102"/>
    <n v="1"/>
    <s v="1HRL"/>
    <m/>
    <n v="66.224999999999994"/>
    <n v="66.099999999999994"/>
    <s v="2R-L"/>
    <m/>
    <n v="66.099999999999994"/>
    <n v="66.224999999999994"/>
    <x v="9"/>
    <m/>
    <d v="2021-12-17T00:00:00"/>
    <s v="0/16"/>
    <n v="70611"/>
    <s v="Lelystad"/>
    <n v="60"/>
    <n v="175"/>
    <s v="SpoedLVO"/>
  </r>
  <r>
    <s v="Gebr. van der Lee"/>
    <x v="4"/>
    <s v="31118126.0102"/>
    <n v="1"/>
    <s v="1HRL"/>
    <m/>
    <n v="65.7"/>
    <n v="65.36"/>
    <s v="2R-L"/>
    <m/>
    <n v="65.36"/>
    <n v="65.7"/>
    <x v="9"/>
    <m/>
    <d v="2021-12-17T00:00:00"/>
    <s v="0/16"/>
    <n v="70611"/>
    <s v="Lelystad"/>
    <n v="165"/>
    <n v="175"/>
    <s v="SpoedLVO"/>
  </r>
  <r>
    <s v="Gebr. van der Lee"/>
    <x v="4"/>
    <s v="31118126.0102"/>
    <n v="1"/>
    <s v="1HRL"/>
    <m/>
    <n v="64.474999999999994"/>
    <n v="64.45"/>
    <s v="2R-L"/>
    <m/>
    <n v="64.45"/>
    <n v="64.474999999999994"/>
    <x v="9"/>
    <m/>
    <d v="2021-12-17T00:00:00"/>
    <s v="0/16"/>
    <n v="70611"/>
    <s v="Lelystad"/>
    <n v="12"/>
    <n v="175"/>
    <s v="SpoedLVO"/>
  </r>
  <r>
    <s v="Gebr. van der Lee"/>
    <x v="4"/>
    <s v="31118126.0102"/>
    <n v="1"/>
    <s v="1HRL"/>
    <m/>
    <n v="64.275000000000006"/>
    <n v="64.224999999999994"/>
    <s v="2R-L"/>
    <m/>
    <n v="64.224999999999994"/>
    <n v="64.275000000000006"/>
    <x v="9"/>
    <m/>
    <d v="2021-12-17T00:00:00"/>
    <s v="0/16"/>
    <n v="70611"/>
    <s v="Lelystad"/>
    <n v="24"/>
    <n v="175"/>
    <s v="SpoedLVO"/>
  </r>
  <r>
    <s v="Gebr. van der Lee"/>
    <x v="4"/>
    <s v="31118126.0102"/>
    <n v="1"/>
    <s v="1HRL"/>
    <m/>
    <n v="64.275000000000006"/>
    <n v="64.239999999999995"/>
    <s v="1I-L"/>
    <m/>
    <n v="64.239999999999995"/>
    <n v="64.275000000000006"/>
    <x v="9"/>
    <m/>
    <d v="2021-12-17T00:00:00"/>
    <s v="0/16"/>
    <n v="70611"/>
    <s v="Lelystad"/>
    <n v="17"/>
    <n v="175"/>
    <s v="SpoedLVO"/>
  </r>
  <r>
    <s v="Gebr. van der Lee"/>
    <x v="4"/>
    <s v="31118126.0102"/>
    <n v="1"/>
    <s v="1HRL"/>
    <m/>
    <n v="64.224999999999994"/>
    <n v="63.784999999999997"/>
    <s v="2R-L"/>
    <m/>
    <n v="63.784999999999997"/>
    <n v="64.224999999999994"/>
    <x v="9"/>
    <m/>
    <d v="2021-12-17T00:00:00"/>
    <s v="0/16"/>
    <n v="70611"/>
    <s v="Lelystad"/>
    <n v="213"/>
    <n v="175"/>
    <s v="SpoedLVO"/>
  </r>
  <r>
    <s v="Gebr. van der Lee"/>
    <x v="4"/>
    <s v="31118126.0102"/>
    <n v="1"/>
    <s v="1HRL"/>
    <m/>
    <n v="63.015000000000001"/>
    <n v="62.4"/>
    <s v="2R-L"/>
    <m/>
    <n v="62.4"/>
    <n v="63.015000000000001"/>
    <x v="9"/>
    <m/>
    <d v="2021-12-17T00:00:00"/>
    <s v="0/16"/>
    <n v="70611"/>
    <s v="Lelystad"/>
    <n v="298"/>
    <n v="175"/>
    <s v="SpoedLVO"/>
  </r>
  <r>
    <s v="Gebr. van der Lee"/>
    <x v="4"/>
    <s v="31118126.0102"/>
    <n v="1"/>
    <s v="1HRL"/>
    <m/>
    <n v="62.25"/>
    <n v="62.2"/>
    <s v="2R-L"/>
    <m/>
    <n v="62.2"/>
    <n v="62.25"/>
    <x v="9"/>
    <m/>
    <d v="2021-12-17T00:00:00"/>
    <s v="0/16"/>
    <n v="70611"/>
    <s v="Lelystad"/>
    <n v="24"/>
    <n v="175"/>
    <s v="SpoedLVO"/>
  </r>
  <r>
    <s v="Gebr. van der Lee"/>
    <x v="4"/>
    <s v="31118126.0102"/>
    <n v="1"/>
    <s v="0VW"/>
    <s v="n"/>
    <n v="62.24"/>
    <n v="62.005000000000003"/>
    <s v="1R-L"/>
    <m/>
    <n v="62.005000000000003"/>
    <n v="62.24"/>
    <x v="8"/>
    <m/>
    <d v="2021-12-17T00:00:00"/>
    <s v="0/16"/>
    <n v="43611"/>
    <s v="Lelystad"/>
    <n v="118"/>
    <n v="175"/>
    <s v="SpoedLVO"/>
  </r>
  <r>
    <s v="Gebr. van der Lee"/>
    <x v="4"/>
    <s v="31118126.0102"/>
    <n v="1"/>
    <s v="1HRL"/>
    <m/>
    <n v="60.35"/>
    <n v="59.9"/>
    <s v="1R-L"/>
    <m/>
    <n v="59.9"/>
    <n v="60.35"/>
    <x v="9"/>
    <m/>
    <d v="2021-12-17T00:00:00"/>
    <s v="0/16"/>
    <n v="70611"/>
    <s v="Lelystad"/>
    <n v="242"/>
    <n v="175"/>
    <s v="SpoedLVO"/>
  </r>
  <r>
    <s v="Gebr. van der Lee"/>
    <x v="4"/>
    <s v="31118126.0102"/>
    <n v="1"/>
    <s v="1HRL"/>
    <m/>
    <n v="59.9"/>
    <n v="59.8"/>
    <s v="1R-L"/>
    <m/>
    <n v="59.8"/>
    <n v="59.9"/>
    <x v="9"/>
    <m/>
    <d v="2021-12-17T00:00:00"/>
    <s v="0/16"/>
    <n v="70611"/>
    <s v="Lelystad"/>
    <n v="54"/>
    <n v="175"/>
    <s v="SpoedLVO"/>
  </r>
  <r>
    <s v="Gebr. van der Lee"/>
    <x v="4"/>
    <s v="31118126.0102"/>
    <n v="1"/>
    <s v="1HRL"/>
    <m/>
    <n v="59.8"/>
    <n v="59.7"/>
    <s v="1R-L"/>
    <m/>
    <n v="59.7"/>
    <n v="59.8"/>
    <x v="9"/>
    <m/>
    <d v="2021-12-17T00:00:00"/>
    <s v="0/16"/>
    <n v="70611"/>
    <s v="Lelystad"/>
    <n v="54"/>
    <n v="175"/>
    <s v="SpoedLVO"/>
  </r>
  <r>
    <s v="Gebr. van der Lee"/>
    <x v="4"/>
    <s v="31118126.0102"/>
    <n v="1"/>
    <s v="0VW"/>
    <s v="y"/>
    <n v="59.674999999999997"/>
    <n v="59.64"/>
    <s v="1R-L"/>
    <m/>
    <n v="59.64"/>
    <n v="59.674999999999997"/>
    <x v="8"/>
    <m/>
    <d v="2021-12-17T00:00:00"/>
    <s v="0/16"/>
    <n v="43611"/>
    <s v="Lelystad"/>
    <n v="18"/>
    <n v="175"/>
    <s v="SpoedLVO"/>
  </r>
  <r>
    <s v="Gebr. van der Lee"/>
    <x v="4"/>
    <s v="31118126.0102"/>
    <n v="1"/>
    <s v="1HRL"/>
    <m/>
    <n v="59.435000000000002"/>
    <n v="59.365000000000002"/>
    <s v="2R-L"/>
    <m/>
    <n v="59.365000000000002"/>
    <n v="59.435000000000002"/>
    <x v="9"/>
    <m/>
    <d v="2021-12-17T00:00:00"/>
    <s v="0/16"/>
    <n v="70611"/>
    <s v="Lelystad"/>
    <n v="34"/>
    <n v="175"/>
    <s v="SpoedLVO"/>
  </r>
  <r>
    <s v="Gebr. van der Lee"/>
    <x v="4"/>
    <s v="31118126.0102"/>
    <n v="1"/>
    <s v="1HRL"/>
    <m/>
    <n v="58.765000000000001"/>
    <n v="58.25"/>
    <s v="2R-L"/>
    <m/>
    <n v="58.25"/>
    <n v="58.765000000000001"/>
    <x v="9"/>
    <m/>
    <d v="2021-12-17T00:00:00"/>
    <s v="0/16"/>
    <n v="70611"/>
    <s v="Lelystad"/>
    <n v="250"/>
    <n v="175"/>
    <s v="SpoedLVO"/>
  </r>
  <r>
    <s v="Gebr. van der Lee"/>
    <x v="4"/>
    <s v="31118126.0102"/>
    <n v="1"/>
    <s v="1HRL"/>
    <m/>
    <n v="56.844999999999999"/>
    <n v="56.82"/>
    <s v="2R-L"/>
    <m/>
    <n v="56.82"/>
    <n v="56.844999999999999"/>
    <x v="9"/>
    <m/>
    <d v="2021-12-17T00:00:00"/>
    <s v="0/16"/>
    <n v="70611"/>
    <s v="Lelystad"/>
    <n v="12"/>
    <n v="175"/>
    <s v="SpoedLVO"/>
  </r>
  <r>
    <s v="Gebr. van der Lee"/>
    <x v="4"/>
    <s v="31118126.0102"/>
    <n v="1"/>
    <s v="1HRL"/>
    <m/>
    <n v="56.72"/>
    <n v="56.695"/>
    <s v="1R-L"/>
    <m/>
    <n v="56.695"/>
    <n v="56.72"/>
    <x v="9"/>
    <m/>
    <d v="2021-12-17T00:00:00"/>
    <s v="0/16"/>
    <n v="70611"/>
    <s v="Lelystad"/>
    <n v="14"/>
    <n v="175"/>
    <s v="SpoedLVO"/>
  </r>
  <r>
    <s v="Gebr. van der Lee"/>
    <x v="4"/>
    <s v="31118126.0102"/>
    <n v="1"/>
    <s v="1HRL"/>
    <m/>
    <n v="56.7"/>
    <n v="56.664999999999999"/>
    <s v="1U-L"/>
    <m/>
    <n v="56.664999999999999"/>
    <n v="56.7"/>
    <x v="9"/>
    <m/>
    <d v="2021-12-17T00:00:00"/>
    <s v="0/16"/>
    <n v="70611"/>
    <s v="Lelystad"/>
    <n v="13"/>
    <n v="175"/>
    <s v="SpoedLVO"/>
  </r>
  <r>
    <s v="Gebr. van der Lee"/>
    <x v="4"/>
    <s v="31118126.0105"/>
    <n v="1"/>
    <s v="0VW"/>
    <s v="d"/>
    <n v="56.36"/>
    <n v="56.174999999999997"/>
    <s v="1R-L"/>
    <m/>
    <n v="56.174999999999997"/>
    <n v="56.36"/>
    <x v="9"/>
    <m/>
    <d v="2021-12-23T00:00:00"/>
    <s v="0/16"/>
    <n v="70611"/>
    <s v="Lelystad"/>
    <n v="158"/>
    <n v="175"/>
    <s v="SpoedLVO"/>
  </r>
  <r>
    <s v="Gebr. van der Lee"/>
    <x v="4"/>
    <s v="31118126.0102"/>
    <n v="1"/>
    <s v="1HRL"/>
    <m/>
    <n v="54.85"/>
    <n v="54.774999999999999"/>
    <s v="1U-L"/>
    <m/>
    <n v="54.774999999999999"/>
    <n v="54.85"/>
    <x v="9"/>
    <m/>
    <d v="2021-12-17T00:00:00"/>
    <s v="0/16"/>
    <n v="70611"/>
    <s v="Lelystad"/>
    <n v="36"/>
    <n v="175"/>
    <s v="SpoedLVO"/>
  </r>
  <r>
    <s v="Gebr. van der Lee"/>
    <x v="4"/>
    <s v="31118126.0102"/>
    <n v="1"/>
    <s v="0VW"/>
    <s v="c"/>
    <n v="54.6"/>
    <n v="54.4"/>
    <m/>
    <s v="ALLE"/>
    <n v="54.4"/>
    <n v="54.6"/>
    <x v="9"/>
    <m/>
    <d v="2021-12-17T00:00:00"/>
    <s v="0/16"/>
    <n v="70611"/>
    <s v="Lelystad"/>
    <n v="227"/>
    <n v="175"/>
    <s v="SpoedLVO"/>
  </r>
  <r>
    <s v="Gebr. van der Lee"/>
    <x v="4"/>
    <s v="31118126.0102"/>
    <n v="1"/>
    <s v="1HRL"/>
    <m/>
    <n v="54.531999999999996"/>
    <n v="54.497"/>
    <s v="1I-L"/>
    <m/>
    <n v="54.497"/>
    <n v="54.531999999999996"/>
    <x v="9"/>
    <m/>
    <d v="2021-12-23T00:00:00"/>
    <s v="0/16"/>
    <n v="70611"/>
    <s v="Lelystad"/>
    <n v="21"/>
    <n v="175"/>
    <s v="SpoedLVO"/>
  </r>
  <r>
    <s v="Gebr. van der Lee"/>
    <x v="4"/>
    <s v="31118126.0102"/>
    <n v="1"/>
    <s v="1HRL"/>
    <m/>
    <n v="53.95"/>
    <n v="53.5"/>
    <s v="2R-L"/>
    <m/>
    <n v="53.5"/>
    <n v="53.95"/>
    <x v="9"/>
    <m/>
    <d v="2021-12-23T00:00:00"/>
    <s v="0/16"/>
    <n v="70611"/>
    <s v="Lelystad"/>
    <n v="218"/>
    <n v="175"/>
    <s v="SpoedLVO, oorspronkelijke deklaag ZOABTW"/>
  </r>
  <r>
    <s v="Gebr. van der Lee"/>
    <x v="4"/>
    <s v="31118126.0102"/>
    <n v="1"/>
    <s v="1HRL"/>
    <m/>
    <n v="52.79"/>
    <n v="52.7"/>
    <s v="1I-L"/>
    <m/>
    <n v="52.7"/>
    <n v="52.79"/>
    <x v="9"/>
    <m/>
    <d v="2021-12-23T00:00:00"/>
    <s v="0/16"/>
    <n v="70611"/>
    <s v="Lelystad"/>
    <n v="39"/>
    <n v="175"/>
    <s v="SpoedLVO, oorspronkelijke deklaag ZOABTW"/>
  </r>
  <r>
    <s v="Gebr. van der Lee"/>
    <x v="4"/>
    <s v="31118126.0105"/>
    <n v="1"/>
    <s v="1HRL"/>
    <m/>
    <n v="50.81"/>
    <n v="50.695"/>
    <s v="2R-L"/>
    <m/>
    <n v="50.695"/>
    <n v="50.81"/>
    <x v="9"/>
    <m/>
    <d v="2021-12-23T00:00:00"/>
    <s v="0/16"/>
    <n v="70611"/>
    <s v="Lelystad"/>
    <n v="56"/>
    <n v="175"/>
    <s v="SpoedLVO, oorspronkelijke deklaag ZOABTW"/>
  </r>
  <r>
    <s v="Gebr. van der Lee"/>
    <x v="4"/>
    <s v="31118126.0102"/>
    <n v="28"/>
    <s v="1HRR"/>
    <m/>
    <n v="86.1"/>
    <n v="86.3"/>
    <s v="2R-R"/>
    <m/>
    <n v="86.1"/>
    <n v="86.3"/>
    <x v="9"/>
    <m/>
    <d v="2021-12-08T00:00:00"/>
    <s v="0/16"/>
    <n v="70611"/>
    <s v="Lelystad"/>
    <n v="76"/>
    <n v="175"/>
    <s v="SpoedLVO"/>
  </r>
  <r>
    <s v="Gebr. van der Lee"/>
    <x v="4"/>
    <s v="31118126.0102"/>
    <n v="28"/>
    <s v="1HRR"/>
    <m/>
    <n v="86.1"/>
    <n v="86.35"/>
    <s v="1I-R"/>
    <m/>
    <n v="86.1"/>
    <n v="86.35"/>
    <x v="9"/>
    <m/>
    <d v="2021-12-15T00:00:00"/>
    <s v="0/16"/>
    <n v="70611"/>
    <s v="Lelystad"/>
    <n v="202"/>
    <n v="175"/>
    <s v="SpoedLVO"/>
  </r>
  <r>
    <s v="Gebr. van der Lee"/>
    <x v="4"/>
    <s v="31118126.0102"/>
    <n v="28"/>
    <s v="1HRR"/>
    <m/>
    <n v="86.1"/>
    <n v="86.35"/>
    <s v="2I-R"/>
    <m/>
    <n v="86.1"/>
    <n v="86.35"/>
    <x v="9"/>
    <m/>
    <d v="2021-12-15T00:00:00"/>
    <s v="0/16"/>
    <n v="70611"/>
    <s v="Lelystad"/>
    <n v="202"/>
    <n v="175"/>
    <s v="SpoedLVO"/>
  </r>
  <r>
    <s v="Gebr. van der Lee"/>
    <x v="4"/>
    <s v="31118126.0102"/>
    <n v="28"/>
    <s v="1HRR"/>
    <m/>
    <n v="86.48"/>
    <n v="86.65"/>
    <s v="3R-R "/>
    <m/>
    <n v="86.48"/>
    <n v="86.65"/>
    <x v="9"/>
    <m/>
    <d v="2021-12-15T00:00:00"/>
    <s v="0/16"/>
    <n v="70611"/>
    <s v="Lelystad"/>
    <n v="64"/>
    <n v="175"/>
    <s v="SpoedLVO"/>
  </r>
  <r>
    <s v="Gebr. van der Lee"/>
    <x v="4"/>
    <s v="31118126.0102"/>
    <n v="28"/>
    <s v="1HRR"/>
    <m/>
    <n v="86.55"/>
    <n v="86.575000000000003"/>
    <s v="1V-R"/>
    <m/>
    <n v="86.55"/>
    <n v="86.575000000000003"/>
    <x v="9"/>
    <m/>
    <d v="2021-12-15T00:00:00"/>
    <s v="0/16"/>
    <n v="70611"/>
    <s v="Lelystad"/>
    <n v="11"/>
    <n v="175"/>
    <s v="SpoedLVO"/>
  </r>
  <r>
    <s v="Gebr. van der Lee"/>
    <x v="4"/>
    <s v="31118126.0102"/>
    <n v="28"/>
    <s v="1HRR"/>
    <m/>
    <n v="86.55"/>
    <n v="86.7"/>
    <s v="4R-R "/>
    <m/>
    <n v="86.55"/>
    <n v="86.7"/>
    <x v="9"/>
    <m/>
    <d v="2021-12-15T00:00:00"/>
    <s v="0/16"/>
    <n v="70611"/>
    <s v="Lelystad"/>
    <n v="56"/>
    <n v="175"/>
    <s v="SpoedLVO"/>
  </r>
  <r>
    <s v="Gebr. van der Lee"/>
    <x v="4"/>
    <s v="31118126.0102"/>
    <n v="28"/>
    <s v="1HRR"/>
    <m/>
    <n v="86.7"/>
    <n v="86.9"/>
    <s v="3R-R "/>
    <m/>
    <n v="86.7"/>
    <n v="86.9"/>
    <x v="9"/>
    <m/>
    <d v="2021-12-17T00:00:00"/>
    <s v="0/16"/>
    <n v="70611"/>
    <s v="Lelystad"/>
    <n v="75"/>
    <n v="175"/>
    <s v="SpoedLVO"/>
  </r>
  <r>
    <s v="Gebr. van der Lee"/>
    <x v="4"/>
    <s v="31118126.0102"/>
    <n v="28"/>
    <s v="1HRR"/>
    <m/>
    <n v="86.875"/>
    <n v="87.15"/>
    <s v="4R-R "/>
    <m/>
    <n v="86.875"/>
    <n v="87.15"/>
    <x v="9"/>
    <m/>
    <d v="2021-12-17T00:00:00"/>
    <s v="0/16"/>
    <n v="70611"/>
    <s v="Lelystad"/>
    <n v="104"/>
    <n v="175"/>
    <s v="SpoedLVO"/>
  </r>
  <r>
    <s v="Gebr. van der Lee"/>
    <x v="4"/>
    <s v="31118126.0102"/>
    <n v="28"/>
    <s v="1HRR"/>
    <m/>
    <n v="86.875"/>
    <n v="87.09"/>
    <s v="2R-R"/>
    <m/>
    <n v="86.875"/>
    <n v="87.09"/>
    <x v="9"/>
    <m/>
    <d v="2021-12-08T00:00:00"/>
    <s v="0/16"/>
    <n v="70611"/>
    <s v="Lelystad"/>
    <n v="81"/>
    <n v="175"/>
    <s v="SpoedLVO"/>
  </r>
  <r>
    <s v="Gebr. van der Lee"/>
    <x v="4"/>
    <s v="31118126.0102"/>
    <n v="28"/>
    <s v="1HRR"/>
    <m/>
    <n v="87"/>
    <n v="87.2"/>
    <s v="3R-R "/>
    <m/>
    <n v="87"/>
    <n v="87.2"/>
    <x v="9"/>
    <m/>
    <d v="2021-12-17T00:00:00"/>
    <s v="0/16"/>
    <n v="70611"/>
    <s v="Lelystad"/>
    <n v="75"/>
    <n v="175"/>
    <s v="SpoedLVO"/>
  </r>
  <r>
    <s v="Gebr. van der Lee"/>
    <x v="4"/>
    <s v="31118126.0102"/>
    <n v="28"/>
    <s v="1HRR"/>
    <m/>
    <n v="87.25"/>
    <n v="87.3"/>
    <s v="1R-R"/>
    <m/>
    <n v="87.25"/>
    <n v="87.3"/>
    <x v="9"/>
    <m/>
    <d v="2021-12-08T00:00:00"/>
    <s v="0/16"/>
    <n v="70611"/>
    <s v="Lelystad"/>
    <n v="24"/>
    <n v="175"/>
    <s v="SpoedLVO"/>
  </r>
  <r>
    <s v="Gebr. van der Lee"/>
    <x v="4"/>
    <s v="31118126.0102"/>
    <n v="28"/>
    <s v="1HRR"/>
    <m/>
    <n v="87.375"/>
    <n v="87.45"/>
    <s v="2R-R"/>
    <m/>
    <n v="87.375"/>
    <n v="87.45"/>
    <x v="9"/>
    <m/>
    <d v="2021-12-08T00:00:00"/>
    <s v="0/16"/>
    <n v="70611"/>
    <s v="Lelystad"/>
    <n v="28"/>
    <n v="175"/>
    <s v="SpoedLVO"/>
  </r>
  <r>
    <s v="Gebr. van der Lee"/>
    <x v="4"/>
    <s v="31118126.0102"/>
    <n v="28"/>
    <s v="1HRR"/>
    <m/>
    <n v="87.25"/>
    <n v="87.424999999999997"/>
    <s v="1U-R "/>
    <m/>
    <n v="87.25"/>
    <n v="87.424999999999997"/>
    <x v="9"/>
    <m/>
    <d v="2021-12-17T00:00:00"/>
    <s v="0/16"/>
    <n v="70611"/>
    <s v="Lelystad"/>
    <n v="66"/>
    <n v="175"/>
    <s v="SpoedLVO"/>
  </r>
  <r>
    <s v="Gebr. van der Lee"/>
    <x v="4"/>
    <s v="31118126.0102"/>
    <n v="28"/>
    <s v="1HRR"/>
    <m/>
    <n v="90.5"/>
    <n v="91"/>
    <s v="3R-R"/>
    <m/>
    <n v="90.5"/>
    <n v="91"/>
    <x v="9"/>
    <m/>
    <d v="2021-12-07T00:00:00"/>
    <s v="0/16"/>
    <n v="70611"/>
    <s v="Lelystad"/>
    <n v="377"/>
    <n v="175"/>
    <s v="SpoedLVO, oorspronkelijke deklaag ZOABTW"/>
  </r>
  <r>
    <s v="Gebr. van der Lee"/>
    <x v="4"/>
    <s v="31118126.0102"/>
    <n v="28"/>
    <s v="1HRR"/>
    <m/>
    <n v="90.5"/>
    <n v="91"/>
    <s v="1U-R "/>
    <m/>
    <n v="90.5"/>
    <n v="91"/>
    <x v="9"/>
    <m/>
    <d v="2021-12-07T00:00:00"/>
    <s v="0/16"/>
    <n v="70611"/>
    <s v="Lelystad"/>
    <n v="377"/>
    <n v="175"/>
    <s v="SpoedLVO, oorspronkelijke deklaag ZOABTW"/>
  </r>
  <r>
    <s v="Gebr. van der Lee"/>
    <x v="4"/>
    <s v="31118126.0102"/>
    <n v="28"/>
    <s v="1HRR"/>
    <m/>
    <n v="90.55"/>
    <n v="90.575000000000003"/>
    <s v="1R-R"/>
    <m/>
    <n v="90.55"/>
    <n v="90.575000000000003"/>
    <x v="9"/>
    <m/>
    <d v="2021-12-08T00:00:00"/>
    <s v="0/16"/>
    <n v="70611"/>
    <s v="Lelystad"/>
    <n v="22"/>
    <n v="175"/>
    <s v="SpoedLVO, oorspronkelijke deklaag ZOABTW"/>
  </r>
  <r>
    <s v="Gebr. van der Lee"/>
    <x v="4"/>
    <s v="31118126.0102"/>
    <n v="28"/>
    <s v="1HRR"/>
    <m/>
    <n v="90.55"/>
    <n v="90.575000000000003"/>
    <s v="2R-R"/>
    <m/>
    <n v="90.55"/>
    <n v="90.575000000000003"/>
    <x v="9"/>
    <m/>
    <d v="2021-12-08T00:00:00"/>
    <s v="0/16"/>
    <n v="70611"/>
    <s v="Lelystad"/>
    <n v="22"/>
    <n v="175"/>
    <s v="SpoedLVO, oorspronkelijke deklaag ZOABTW"/>
  </r>
  <r>
    <s v="Gebr. van der Lee"/>
    <x v="4"/>
    <s v="31118126.0102"/>
    <n v="28"/>
    <s v="1HRR"/>
    <m/>
    <n v="90.75"/>
    <n v="90.775000000000006"/>
    <s v="2R-R"/>
    <m/>
    <n v="90.75"/>
    <n v="90.775000000000006"/>
    <x v="9"/>
    <m/>
    <d v="2021-12-08T00:00:00"/>
    <s v="0/16"/>
    <n v="70611"/>
    <s v="Lelystad"/>
    <n v="10"/>
    <n v="175"/>
    <s v="SpoedLVO, oorspronkelijke deklaag ZOABTW"/>
  </r>
  <r>
    <s v="Gebr. van der Lee"/>
    <x v="4"/>
    <s v="31118126.0102"/>
    <n v="28"/>
    <s v="1HRR"/>
    <m/>
    <n v="91"/>
    <n v="92.7"/>
    <s v="3R-R"/>
    <m/>
    <n v="91"/>
    <n v="92.7"/>
    <x v="9"/>
    <m/>
    <d v="2021-12-07T00:00:00"/>
    <s v="0/16"/>
    <n v="70611"/>
    <s v="Lelystad"/>
    <n v="640"/>
    <n v="175"/>
    <s v="SpoedLVO, oorspronkelijke deklaag ZOABTW"/>
  </r>
  <r>
    <s v="Gebr. van der Lee"/>
    <x v="4"/>
    <s v="31118126.0102"/>
    <n v="28"/>
    <s v="1HRR"/>
    <m/>
    <n v="91.1"/>
    <n v="91.125"/>
    <s v="1U-R"/>
    <m/>
    <n v="91.1"/>
    <n v="91.125"/>
    <x v="9"/>
    <m/>
    <d v="2021-12-07T00:00:00"/>
    <s v="0/16"/>
    <n v="70611"/>
    <s v="Lelystad"/>
    <n v="10"/>
    <n v="175"/>
    <s v="SpoedLVO, oorspronkelijke deklaag ZOABTW"/>
  </r>
  <r>
    <s v="Gebr. van der Lee"/>
    <x v="4"/>
    <s v="31118126.0102"/>
    <n v="28"/>
    <s v="1HRR"/>
    <m/>
    <n v="91.484999999999999"/>
    <n v="91.6"/>
    <s v="2R-R"/>
    <m/>
    <n v="91.484999999999999"/>
    <n v="91.6"/>
    <x v="9"/>
    <m/>
    <d v="2021-12-08T00:00:00"/>
    <s v="0/16"/>
    <n v="70611"/>
    <s v="Lelystad"/>
    <n v="44"/>
    <n v="175"/>
    <s v="SpoedLVO, oorspronkelijke deklaag ZOABTW"/>
  </r>
  <r>
    <s v="Gebr. van der Lee"/>
    <x v="4"/>
    <s v="31118126.0102"/>
    <n v="28"/>
    <s v="1HRR"/>
    <m/>
    <n v="91.674999999999997"/>
    <n v="91.724999999999994"/>
    <s v="1R-R"/>
    <m/>
    <n v="91.674999999999997"/>
    <n v="91.724999999999994"/>
    <x v="9"/>
    <m/>
    <d v="2021-12-08T00:00:00"/>
    <s v="0/16"/>
    <n v="70611"/>
    <s v="Lelystad"/>
    <n v="43"/>
    <n v="175"/>
    <s v="SpoedLVO, oorspronkelijke deklaag ZOABTW"/>
  </r>
  <r>
    <s v="Gebr. van der Lee"/>
    <x v="4"/>
    <s v="31118126.0102"/>
    <n v="28"/>
    <s v="1HRR"/>
    <m/>
    <n v="91.674999999999997"/>
    <n v="91.724999999999994"/>
    <s v="2R-R"/>
    <m/>
    <n v="91.674999999999997"/>
    <n v="91.724999999999994"/>
    <x v="9"/>
    <m/>
    <d v="2021-12-08T00:00:00"/>
    <s v="0/16"/>
    <n v="70611"/>
    <s v="Lelystad"/>
    <n v="43"/>
    <n v="175"/>
    <s v="SpoedLVO, oorspronkelijke deklaag ZOABTW"/>
  </r>
  <r>
    <s v="Gebr. van der Lee"/>
    <x v="4"/>
    <s v="31118126.0102"/>
    <n v="28"/>
    <s v="1HRR"/>
    <m/>
    <n v="92.25"/>
    <n v="92.35"/>
    <s v="2R-R"/>
    <m/>
    <n v="92.25"/>
    <n v="92.35"/>
    <x v="9"/>
    <m/>
    <d v="2021-12-08T00:00:00"/>
    <s v="0/16"/>
    <n v="70611"/>
    <s v="Lelystad"/>
    <n v="28"/>
    <n v="175"/>
    <s v="SpoedLVO, oorspronkelijke deklaag ZOABTW"/>
  </r>
  <r>
    <s v="Gebr. van der Lee"/>
    <x v="4"/>
    <s v="31118126.0102"/>
    <n v="28"/>
    <s v="1HRR"/>
    <m/>
    <n v="92.3"/>
    <n v="92.35"/>
    <s v="1U-R"/>
    <m/>
    <n v="92.3"/>
    <n v="92.35"/>
    <x v="9"/>
    <m/>
    <d v="2021-12-08T00:00:00"/>
    <s v="0/16"/>
    <n v="70611"/>
    <s v="Lelystad"/>
    <n v="19"/>
    <n v="175"/>
    <s v="SpoedLVO, oorspronkelijke deklaag ZOABTW"/>
  </r>
  <r>
    <s v="Gebr. van der Lee"/>
    <x v="4"/>
    <s v="31118126.0102"/>
    <n v="28"/>
    <s v="1HRR"/>
    <m/>
    <n v="92.39"/>
    <n v="92.424999999999997"/>
    <s v="1R-R"/>
    <m/>
    <n v="92.39"/>
    <n v="92.424999999999997"/>
    <x v="9"/>
    <m/>
    <d v="2021-12-08T00:00:00"/>
    <s v="0/16"/>
    <n v="70611"/>
    <s v="Lelystad"/>
    <n v="15"/>
    <n v="175"/>
    <s v="SpoedLVO, oorspronkelijke deklaag ZOABTW"/>
  </r>
  <r>
    <s v="Gebr. van der Lee"/>
    <x v="4"/>
    <s v="31118126.0102"/>
    <n v="28"/>
    <s v="1HRR"/>
    <m/>
    <n v="92.39"/>
    <n v="92.45"/>
    <s v="2R-R"/>
    <m/>
    <n v="92.39"/>
    <n v="92.45"/>
    <x v="9"/>
    <m/>
    <d v="2021-12-08T00:00:00"/>
    <s v="0/16"/>
    <n v="70611"/>
    <s v="Lelystad"/>
    <n v="23"/>
    <n v="175"/>
    <s v="SpoedLVO, oorspronkelijke deklaag ZOABTW"/>
  </r>
  <r>
    <s v="Gebr. van der Lee"/>
    <x v="4"/>
    <s v="31118126.0102"/>
    <n v="28"/>
    <s v="0VW"/>
    <s v="b"/>
    <n v="92.325000000000003"/>
    <n v="92.375"/>
    <s v="1R-R "/>
    <m/>
    <n v="92.325000000000003"/>
    <n v="92.375"/>
    <x v="8"/>
    <m/>
    <d v="2021-12-14T00:00:00"/>
    <s v="0/16"/>
    <n v="43611"/>
    <s v="Lelystad"/>
    <n v="22"/>
    <n v="175"/>
    <s v="SpoedLVO "/>
  </r>
  <r>
    <s v="Gebr. van der Lee"/>
    <x v="4"/>
    <s v="31118126.0102"/>
    <n v="28"/>
    <s v="1HRR"/>
    <m/>
    <n v="99.15"/>
    <n v="99.29"/>
    <s v="3R-R"/>
    <m/>
    <n v="99.15"/>
    <n v="99.29"/>
    <x v="9"/>
    <m/>
    <d v="2021-12-13T00:00:00"/>
    <s v="0/16"/>
    <n v="70611"/>
    <s v="Lelystad"/>
    <n v="68"/>
    <n v="175"/>
    <s v="SpoedLVO "/>
  </r>
  <r>
    <s v="Gebr. van der Lee"/>
    <x v="4"/>
    <s v="31118126.0102"/>
    <n v="28"/>
    <s v="1HRR"/>
    <m/>
    <n v="99.29"/>
    <n v="99.325000000000003"/>
    <s v="3R-R"/>
    <m/>
    <n v="99.29"/>
    <n v="99.325000000000003"/>
    <x v="9"/>
    <m/>
    <d v="2021-12-13T00:00:00"/>
    <s v="0/16"/>
    <n v="70611"/>
    <s v="Lelystad"/>
    <n v="17"/>
    <n v="175"/>
    <s v="SpoedLVO "/>
  </r>
  <r>
    <s v="Gebr. van der Lee"/>
    <x v="4"/>
    <s v="31118126.0102"/>
    <n v="28"/>
    <s v="1HRR"/>
    <m/>
    <n v="99.424999999999997"/>
    <n v="99.575000000000003"/>
    <s v="1V-R"/>
    <m/>
    <n v="99.424999999999997"/>
    <n v="99.575000000000003"/>
    <x v="9"/>
    <m/>
    <d v="2021-12-13T00:00:00"/>
    <s v="0/16"/>
    <n v="70611"/>
    <s v="Lelystad"/>
    <n v="56"/>
    <n v="175"/>
    <s v="SpoedLVO "/>
  </r>
  <r>
    <s v="Gebr. van der Lee"/>
    <x v="4"/>
    <s v="31118126.0102"/>
    <n v="28"/>
    <s v="1HRR"/>
    <m/>
    <n v="99.8"/>
    <n v="99.82"/>
    <s v="3R-R"/>
    <m/>
    <n v="99.8"/>
    <n v="99.82"/>
    <x v="9"/>
    <m/>
    <d v="2021-12-13T00:00:00"/>
    <s v="0/16"/>
    <n v="70611"/>
    <s v="Lelystad"/>
    <n v="16"/>
    <n v="175"/>
    <s v="SpoedLVO "/>
  </r>
  <r>
    <s v="Gebr. van der Lee"/>
    <x v="4"/>
    <s v="31118126.0102"/>
    <n v="28"/>
    <s v="1HRR"/>
    <m/>
    <n v="100.86499999999999"/>
    <n v="100.89"/>
    <s v="1U-R"/>
    <m/>
    <n v="100.86499999999999"/>
    <n v="100.89"/>
    <x v="9"/>
    <m/>
    <d v="2021-12-13T00:00:00"/>
    <s v="0/16"/>
    <n v="70611"/>
    <s v="Lelystad"/>
    <n v="12"/>
    <n v="175"/>
    <s v="SpoedLVO, oorspronkelijke deklaag ZOABTW"/>
  </r>
  <r>
    <s v="Gebr. van der Lee"/>
    <x v="4"/>
    <s v="31118126.0102"/>
    <n v="28"/>
    <s v="1HRR"/>
    <m/>
    <n v="102.14"/>
    <n v="102.16500000000001"/>
    <s v="3R-R"/>
    <m/>
    <n v="102.14"/>
    <n v="102.16500000000001"/>
    <x v="9"/>
    <m/>
    <d v="2021-12-13T00:00:00"/>
    <s v="0/16"/>
    <n v="70611"/>
    <s v="Lelystad"/>
    <n v="12"/>
    <n v="175"/>
    <s v="SpoedLVO, oorspronkelijke deklaag ZOABTW"/>
  </r>
  <r>
    <s v="Gebr. van der Lee"/>
    <x v="4"/>
    <s v="31118126.0102"/>
    <n v="28"/>
    <s v="1HRR"/>
    <m/>
    <n v="102.66"/>
    <n v="102.69"/>
    <s v="3R-R"/>
    <m/>
    <n v="102.66"/>
    <n v="102.69"/>
    <x v="9"/>
    <m/>
    <d v="2021-12-13T00:00:00"/>
    <s v="0/16"/>
    <n v="70611"/>
    <s v="Lelystad"/>
    <n v="18"/>
    <n v="175"/>
    <s v="SpoedLVO, oorspronkelijke deklaag ZOABTW"/>
  </r>
  <r>
    <s v="Gebr. van der Lee"/>
    <x v="4"/>
    <s v="31118126.0102"/>
    <n v="28"/>
    <s v="1HRR"/>
    <m/>
    <n v="103.185"/>
    <n v="103.235"/>
    <s v="3R-R"/>
    <m/>
    <n v="103.185"/>
    <n v="103.235"/>
    <x v="9"/>
    <m/>
    <d v="2021-12-13T00:00:00"/>
    <s v="0/16"/>
    <n v="70611"/>
    <s v="Lelystad"/>
    <n v="24"/>
    <n v="175"/>
    <s v="SpoedLVO, oorspronkelijke deklaag ZOABTW"/>
  </r>
  <r>
    <s v="Gebr. van der Lee"/>
    <x v="4"/>
    <s v="31118126.0102"/>
    <n v="28"/>
    <s v="1HRR"/>
    <m/>
    <n v="103.175"/>
    <n v="103.265"/>
    <s v="2R-R"/>
    <m/>
    <n v="103.175"/>
    <n v="103.265"/>
    <x v="9"/>
    <m/>
    <d v="2021-12-14T00:00:00"/>
    <s v="0/16"/>
    <n v="70611"/>
    <s v="Lelystad"/>
    <n v="44"/>
    <n v="175"/>
    <s v="SpoedLVO, oorspronkelijke deklaag ZOABTW"/>
  </r>
  <r>
    <s v="Gebr. van der Lee"/>
    <x v="4"/>
    <s v="31118126.0102"/>
    <n v="28"/>
    <s v="1HRR"/>
    <m/>
    <n v="103.265"/>
    <n v="103.29"/>
    <s v="2R-R"/>
    <m/>
    <n v="103.265"/>
    <n v="103.29"/>
    <x v="9"/>
    <m/>
    <d v="2021-12-14T00:00:00"/>
    <s v="0/16"/>
    <n v="70611"/>
    <s v="Lelystad"/>
    <n v="12"/>
    <n v="175"/>
    <s v="SpoedLVO, oorspronkelijke deklaag ZOABTW"/>
  </r>
  <r>
    <s v="Gebr. van der Lee"/>
    <x v="4"/>
    <s v="31118126.0102"/>
    <n v="28"/>
    <s v="1HRR"/>
    <m/>
    <n v="103.64"/>
    <n v="103.66500000000001"/>
    <s v="1R-R"/>
    <m/>
    <n v="103.64"/>
    <n v="103.66500000000001"/>
    <x v="9"/>
    <m/>
    <d v="2021-12-14T00:00:00"/>
    <s v="0/16"/>
    <n v="70611"/>
    <s v="Lelystad"/>
    <n v="23"/>
    <n v="175"/>
    <s v="SpoedLVO, oorspronkelijke deklaag ZOABTW"/>
  </r>
  <r>
    <s v="Gebr. van der Lee"/>
    <x v="4"/>
    <s v="31118126.0102"/>
    <n v="28"/>
    <s v="1HRR"/>
    <m/>
    <n v="103.64"/>
    <n v="103.66500000000001"/>
    <s v="2R-R"/>
    <m/>
    <n v="103.64"/>
    <n v="103.66500000000001"/>
    <x v="9"/>
    <m/>
    <d v="2021-12-14T00:00:00"/>
    <s v="0/16"/>
    <n v="70611"/>
    <s v="Lelystad"/>
    <n v="23"/>
    <n v="175"/>
    <s v="SpoedLVO, oorspronkelijke deklaag ZOABTW"/>
  </r>
  <r>
    <s v="Gebr. van der Lee"/>
    <x v="4"/>
    <s v="31118126.0102"/>
    <n v="28"/>
    <s v="1HRR"/>
    <m/>
    <n v="103.85"/>
    <n v="103.9"/>
    <s v="2R-R"/>
    <m/>
    <n v="103.85"/>
    <n v="103.9"/>
    <x v="9"/>
    <m/>
    <d v="2021-12-14T00:00:00"/>
    <s v="0/16"/>
    <n v="70611"/>
    <s v="Lelystad"/>
    <n v="24"/>
    <n v="175"/>
    <s v="SpoedLVO, oorspronkelijke deklaag ZOABTW"/>
  </r>
  <r>
    <s v="Gebr. van der Lee"/>
    <x v="4"/>
    <s v="31118126.0102"/>
    <n v="28"/>
    <s v="1HRR"/>
    <m/>
    <n v="104.55"/>
    <n v="104.575"/>
    <s v="1U-R"/>
    <m/>
    <n v="104.55"/>
    <n v="104.575"/>
    <x v="9"/>
    <m/>
    <d v="2021-12-09T00:00:00"/>
    <s v="0/16"/>
    <n v="70611"/>
    <s v="Lelystad"/>
    <n v="12"/>
    <n v="175"/>
    <s v="SpoedLVO "/>
  </r>
  <r>
    <s v="Gebr. van der Lee"/>
    <x v="4"/>
    <s v="31118126.0102"/>
    <n v="28"/>
    <s v="1HRR"/>
    <m/>
    <n v="104.625"/>
    <n v="104.75"/>
    <s v="3R-R"/>
    <m/>
    <n v="104.625"/>
    <n v="104.75"/>
    <x v="9"/>
    <m/>
    <d v="2021-12-09T00:00:00"/>
    <s v="0/16"/>
    <n v="70611"/>
    <s v="Lelystad"/>
    <n v="60"/>
    <n v="175"/>
    <s v="SpoedLVO "/>
  </r>
  <r>
    <s v="Gebr. van der Lee"/>
    <x v="4"/>
    <s v="31118126.0102"/>
    <n v="28"/>
    <s v="1HRR"/>
    <m/>
    <n v="104.84"/>
    <n v="104.94"/>
    <s v="3R-R"/>
    <m/>
    <n v="104.84"/>
    <n v="104.94"/>
    <x v="9"/>
    <m/>
    <d v="2021-12-09T00:00:00"/>
    <s v="0/16"/>
    <n v="70611"/>
    <s v="Lelystad"/>
    <n v="48"/>
    <n v="175"/>
    <s v="SpoedLVO "/>
  </r>
  <r>
    <s v="Gebr. van der Lee"/>
    <x v="4"/>
    <s v="31118126.0102"/>
    <n v="28"/>
    <s v="1HRR"/>
    <m/>
    <n v="105.3"/>
    <n v="105.38"/>
    <s v="3R-R"/>
    <m/>
    <n v="105.3"/>
    <n v="105.38"/>
    <x v="9"/>
    <m/>
    <d v="2021-12-09T00:00:00"/>
    <s v="0/16"/>
    <n v="70611"/>
    <s v="Lelystad"/>
    <n v="38"/>
    <n v="175"/>
    <s v="SpoedLVO "/>
  </r>
  <r>
    <s v="Gebr. van der Lee"/>
    <x v="4"/>
    <s v="31118126.0102"/>
    <n v="28"/>
    <s v="1HRR"/>
    <m/>
    <n v="105.455"/>
    <n v="105.48"/>
    <s v="3R-R"/>
    <m/>
    <n v="105.455"/>
    <n v="105.48"/>
    <x v="9"/>
    <m/>
    <d v="2021-12-09T00:00:00"/>
    <s v="0/16"/>
    <n v="70611"/>
    <s v="Lelystad"/>
    <n v="12"/>
    <n v="175"/>
    <s v="SpoedLVO "/>
  </r>
  <r>
    <s v="Gebr. van der Lee"/>
    <x v="4"/>
    <s v="31118126.0102"/>
    <n v="28"/>
    <s v="1HRR"/>
    <m/>
    <n v="105.625"/>
    <n v="105.7"/>
    <s v="3R-R"/>
    <m/>
    <n v="105.625"/>
    <n v="105.7"/>
    <x v="9"/>
    <m/>
    <d v="2021-12-09T00:00:00"/>
    <s v="0/16"/>
    <n v="70611"/>
    <s v="Lelystad"/>
    <n v="36"/>
    <n v="175"/>
    <s v="SpoedLVO "/>
  </r>
  <r>
    <s v="Gebr. van der Lee"/>
    <x v="4"/>
    <s v="31118126.0102"/>
    <n v="28"/>
    <s v="1HRR"/>
    <m/>
    <n v="105.77500000000001"/>
    <n v="105.875"/>
    <s v="3R-R"/>
    <m/>
    <n v="105.77500000000001"/>
    <n v="105.875"/>
    <x v="9"/>
    <m/>
    <d v="2021-12-09T00:00:00"/>
    <s v="0/16"/>
    <n v="70611"/>
    <s v="Lelystad"/>
    <n v="48"/>
    <n v="175"/>
    <s v="SpoedLVO "/>
  </r>
  <r>
    <s v="Gebr. van der Lee"/>
    <x v="4"/>
    <s v="31118126.0102"/>
    <n v="28"/>
    <s v="1HRR"/>
    <m/>
    <n v="106.325"/>
    <n v="106.35"/>
    <s v="3R-R"/>
    <m/>
    <n v="106.325"/>
    <n v="106.35"/>
    <x v="9"/>
    <m/>
    <d v="2021-12-09T00:00:00"/>
    <s v="0/16"/>
    <n v="70611"/>
    <s v="Lelystad"/>
    <n v="12"/>
    <n v="175"/>
    <s v="SpoedLVO "/>
  </r>
  <r>
    <s v="Gebr. van der Lee"/>
    <x v="4"/>
    <s v="31118126.0102"/>
    <n v="28"/>
    <s v="1HRR"/>
    <m/>
    <n v="106.47499999999999"/>
    <n v="106.5"/>
    <s v="3R-R"/>
    <m/>
    <n v="106.47499999999999"/>
    <n v="106.5"/>
    <x v="9"/>
    <m/>
    <d v="2021-12-09T00:00:00"/>
    <s v="0/16"/>
    <n v="70611"/>
    <s v="Lelystad"/>
    <n v="12"/>
    <n v="175"/>
    <s v="SpoedLVO "/>
  </r>
  <r>
    <s v="Gebr. van der Lee"/>
    <x v="4"/>
    <s v="31118126.0102"/>
    <n v="28"/>
    <s v="1HRR"/>
    <m/>
    <n v="106.875"/>
    <n v="106.95"/>
    <s v="3R-R"/>
    <m/>
    <n v="106.875"/>
    <n v="106.95"/>
    <x v="9"/>
    <m/>
    <d v="2021-12-09T00:00:00"/>
    <s v="0/16"/>
    <n v="70611"/>
    <s v="Lelystad"/>
    <n v="36"/>
    <n v="175"/>
    <s v="SpoedLVO "/>
  </r>
  <r>
    <s v="Gebr. van der Lee"/>
    <x v="4"/>
    <s v="31118126.0102"/>
    <n v="28"/>
    <s v="1HRR"/>
    <m/>
    <n v="111.45"/>
    <n v="111.52500000000001"/>
    <s v="1R-R"/>
    <m/>
    <n v="111.45"/>
    <n v="111.52500000000001"/>
    <x v="9"/>
    <m/>
    <d v="2021-12-15T00:00:00"/>
    <s v="0/16"/>
    <n v="70611"/>
    <s v="Lelystad"/>
    <n v="44"/>
    <n v="175"/>
    <s v="SpoedLVO, oorspronkelijke deklaag ZOABTW"/>
  </r>
  <r>
    <s v="Gebr. van der Lee"/>
    <x v="4"/>
    <s v="31118126.0102"/>
    <n v="28"/>
    <s v="1HRR"/>
    <m/>
    <n v="112.56"/>
    <n v="112.6"/>
    <s v="1R-R"/>
    <m/>
    <n v="112.56"/>
    <n v="112.6"/>
    <x v="9"/>
    <m/>
    <d v="2021-12-21T00:00:00"/>
    <s v="0/16"/>
    <n v="70611"/>
    <s v="Lelystad"/>
    <n v="13"/>
    <n v="175"/>
    <s v="SpoedLVO, oorspronkelijke deklaag ZOABTW"/>
  </r>
  <r>
    <s v="Gebr. van der Lee"/>
    <x v="4"/>
    <s v="31118126.0102"/>
    <n v="28"/>
    <s v="1HRR"/>
    <m/>
    <n v="112.56"/>
    <n v="112.6"/>
    <s v="1V-R"/>
    <m/>
    <n v="112.56"/>
    <n v="112.6"/>
    <x v="9"/>
    <m/>
    <d v="2021-12-21T00:00:00"/>
    <s v="0/16"/>
    <n v="70611"/>
    <s v="Lelystad"/>
    <n v="13"/>
    <n v="175"/>
    <s v="SpoedLVO, oorspronkelijke deklaag ZOABTW"/>
  </r>
  <r>
    <s v="Gebr. van der Lee"/>
    <x v="4"/>
    <s v="31118126.0102"/>
    <n v="28"/>
    <s v="1HRL"/>
    <m/>
    <n v="113.685"/>
    <n v="113.6"/>
    <s v="3R-L"/>
    <m/>
    <n v="113.6"/>
    <n v="113.685"/>
    <x v="9"/>
    <m/>
    <d v="2021-12-09T00:00:00"/>
    <s v="0/16"/>
    <n v="70611"/>
    <s v="Lelystad"/>
    <n v="73"/>
    <n v="175"/>
    <s v="SpoedLVO "/>
  </r>
  <r>
    <s v="Gebr. van der Lee"/>
    <x v="4"/>
    <s v="31118126.0102"/>
    <n v="28"/>
    <s v="1HRL"/>
    <m/>
    <n v="113.7"/>
    <n v="113.6"/>
    <s v="2R-L"/>
    <m/>
    <n v="113.6"/>
    <n v="113.7"/>
    <x v="9"/>
    <m/>
    <d v="2021-12-17T00:00:00"/>
    <s v="0/16"/>
    <n v="70611"/>
    <s v="Lelystad"/>
    <n v="43"/>
    <n v="175"/>
    <s v="SpoedLVO "/>
  </r>
  <r>
    <s v="Gebr. van der Lee"/>
    <x v="4"/>
    <s v="31118126.0102"/>
    <n v="28"/>
    <s v="1HRL"/>
    <m/>
    <n v="113.30500000000001"/>
    <n v="113.27500000000001"/>
    <s v="1R-L"/>
    <m/>
    <n v="113.27500000000001"/>
    <n v="113.30500000000001"/>
    <x v="9"/>
    <m/>
    <d v="2021-12-17T00:00:00"/>
    <s v="0/16"/>
    <n v="70611"/>
    <s v="Lelystad"/>
    <n v="13"/>
    <n v="175"/>
    <s v="SpoedLVO, oorspronkelijke deklaag ZOABTW"/>
  </r>
  <r>
    <s v="Gebr. van der Lee"/>
    <x v="4"/>
    <s v="31118126.0102"/>
    <n v="28"/>
    <s v="1HRL"/>
    <m/>
    <n v="113.26"/>
    <n v="113.2"/>
    <s v="3R-L"/>
    <m/>
    <n v="113.2"/>
    <n v="113.26"/>
    <x v="9"/>
    <m/>
    <d v="2021-12-09T00:00:00"/>
    <s v="0/16"/>
    <n v="70611"/>
    <s v="Lelystad"/>
    <n v="29"/>
    <n v="175"/>
    <s v="SpoedLVO, oorspronkelijke deklaag ZOABTW"/>
  </r>
  <r>
    <s v="Gebr. van der Lee"/>
    <x v="4"/>
    <s v="31118126.0102"/>
    <n v="28"/>
    <s v="1HRL"/>
    <m/>
    <n v="113.2"/>
    <n v="112.9"/>
    <s v="2R-L"/>
    <m/>
    <n v="112.9"/>
    <n v="113.2"/>
    <x v="9"/>
    <m/>
    <d v="2021-12-17T00:00:00"/>
    <s v="0/16"/>
    <n v="70611"/>
    <s v="Lelystad"/>
    <n v="113"/>
    <n v="175"/>
    <s v="SpoedLVO, oorspronkelijke deklaag ZOABTW"/>
  </r>
  <r>
    <s v="Gebr. van der Lee"/>
    <x v="4"/>
    <s v="31118126.0102"/>
    <n v="28"/>
    <s v="1HRL"/>
    <m/>
    <n v="112.59"/>
    <n v="112.4"/>
    <s v="1U-L"/>
    <m/>
    <n v="112.4"/>
    <n v="112.59"/>
    <x v="9"/>
    <m/>
    <d v="2021-12-09T00:00:00"/>
    <s v="0/16"/>
    <n v="70611"/>
    <s v="Lelystad"/>
    <n v="61"/>
    <n v="175"/>
    <s v="SpoedLVO, oorspronkelijke deklaag ZOABTW"/>
  </r>
  <r>
    <s v="Gebr. van der Lee"/>
    <x v="4"/>
    <s v="31118126.0102"/>
    <n v="28"/>
    <s v="1HRL"/>
    <m/>
    <n v="112.03"/>
    <n v="111.99"/>
    <s v="1R-L"/>
    <m/>
    <n v="111.99"/>
    <n v="112.03"/>
    <x v="9"/>
    <m/>
    <d v="2021-12-17T00:00:00"/>
    <s v="0/16"/>
    <n v="70611"/>
    <s v="Lelystad"/>
    <n v="37"/>
    <n v="175"/>
    <s v="SpoedLVO, oorspronkelijke deklaag ZOABTW"/>
  </r>
  <r>
    <s v="Gebr. van der Lee"/>
    <x v="4"/>
    <s v="31118126.0102"/>
    <n v="28"/>
    <s v="1HRL"/>
    <m/>
    <n v="112.03"/>
    <n v="111.99"/>
    <s v="2R-L"/>
    <m/>
    <n v="111.99"/>
    <n v="112.03"/>
    <x v="9"/>
    <m/>
    <d v="2021-12-17T00:00:00"/>
    <s v="0/16"/>
    <n v="70611"/>
    <s v="Lelystad"/>
    <n v="37"/>
    <n v="175"/>
    <s v="SpoedLVO, oorspronkelijke deklaag ZOABTW"/>
  </r>
  <r>
    <s v="Gebr. van der Lee"/>
    <x v="4"/>
    <s v="31118126.0102"/>
    <n v="28"/>
    <s v="1HRL"/>
    <m/>
    <n v="111.96"/>
    <n v="111.875"/>
    <s v="3R-L"/>
    <m/>
    <n v="111.875"/>
    <n v="111.96"/>
    <x v="9"/>
    <m/>
    <d v="2021-12-09T00:00:00"/>
    <s v="0/16"/>
    <n v="70611"/>
    <s v="Lelystad"/>
    <n v="32"/>
    <n v="175"/>
    <s v="SpoedLVO, oorspronkelijke deklaag ZOABTW"/>
  </r>
  <r>
    <s v="Gebr. van der Lee"/>
    <x v="4"/>
    <s v="31118126.0102"/>
    <n v="28"/>
    <s v="1HRL"/>
    <m/>
    <n v="111.735"/>
    <n v="111.71"/>
    <s v="1R-L"/>
    <m/>
    <n v="111.71"/>
    <n v="111.735"/>
    <x v="9"/>
    <m/>
    <d v="2021-12-17T00:00:00"/>
    <s v="0/16"/>
    <n v="70611"/>
    <s v="Lelystad"/>
    <n v="22"/>
    <n v="175"/>
    <s v="SpoedLVO "/>
  </r>
  <r>
    <s v="Gebr. van der Lee"/>
    <x v="4"/>
    <s v="31118126.0102"/>
    <n v="28"/>
    <s v="1HRL"/>
    <m/>
    <n v="111.735"/>
    <n v="111.71"/>
    <s v="2R-L"/>
    <m/>
    <n v="111.71"/>
    <n v="111.735"/>
    <x v="9"/>
    <m/>
    <d v="2021-12-17T00:00:00"/>
    <s v="0/16"/>
    <n v="70611"/>
    <s v="Lelystad"/>
    <n v="22"/>
    <n v="175"/>
    <s v="SpoedLVO "/>
  </r>
  <r>
    <s v="Gebr. van der Lee"/>
    <x v="4"/>
    <s v="31118126.0102"/>
    <n v="28"/>
    <s v="1HRL"/>
    <m/>
    <n v="111.515"/>
    <n v="111.49"/>
    <s v="2R-L"/>
    <m/>
    <n v="111.49"/>
    <n v="111.515"/>
    <x v="9"/>
    <m/>
    <d v="2021-12-17T00:00:00"/>
    <s v="0/16"/>
    <n v="70611"/>
    <s v="Lelystad"/>
    <n v="11"/>
    <n v="175"/>
    <s v="SpoedLVO "/>
  </r>
  <r>
    <s v="Gebr. van der Lee"/>
    <x v="4"/>
    <s v="31118126.0102"/>
    <n v="28"/>
    <s v="1HRL"/>
    <m/>
    <n v="111.375"/>
    <n v="111.32"/>
    <s v="3R-L"/>
    <m/>
    <n v="111.32"/>
    <n v="111.375"/>
    <x v="9"/>
    <m/>
    <d v="2021-12-13T00:00:00"/>
    <s v="0/16"/>
    <n v="70611"/>
    <s v="Lelystad"/>
    <n v="27"/>
    <n v="175"/>
    <s v="SpoedLVO "/>
  </r>
  <r>
    <s v="Gebr. van der Lee"/>
    <x v="4"/>
    <s v="31118126.0102"/>
    <n v="28"/>
    <s v="1HRL"/>
    <m/>
    <n v="111.375"/>
    <n v="111.34"/>
    <s v="1I-L"/>
    <m/>
    <n v="111.34"/>
    <n v="111.375"/>
    <x v="9"/>
    <m/>
    <d v="2021-12-13T00:00:00"/>
    <s v="0/16"/>
    <n v="70611"/>
    <s v="Lelystad"/>
    <n v="15"/>
    <n v="175"/>
    <s v="SpoedLVO "/>
  </r>
  <r>
    <s v="Gebr. van der Lee"/>
    <x v="4"/>
    <s v="31118126.0102"/>
    <n v="28"/>
    <s v="1HRL"/>
    <m/>
    <n v="111.075"/>
    <n v="111.035"/>
    <s v="3R-L"/>
    <m/>
    <n v="111.035"/>
    <n v="111.075"/>
    <x v="9"/>
    <m/>
    <d v="2021-12-13T00:00:00"/>
    <s v="0/16"/>
    <n v="70611"/>
    <s v="Lelystad"/>
    <n v="20"/>
    <n v="175"/>
    <s v="SpoedLVO "/>
  </r>
  <r>
    <s v="Gebr. van der Lee"/>
    <x v="4"/>
    <s v="31118126.0102"/>
    <n v="28"/>
    <s v="1HRL"/>
    <m/>
    <n v="110.928"/>
    <n v="110.90300000000001"/>
    <s v="2R-L"/>
    <m/>
    <n v="110.90300000000001"/>
    <n v="110.928"/>
    <x v="9"/>
    <m/>
    <d v="2021-12-20T00:00:00"/>
    <s v="0/16"/>
    <n v="70611"/>
    <s v="Lelystad"/>
    <n v="10"/>
    <n v="175"/>
    <s v="SpoedLVO "/>
  </r>
  <r>
    <s v="Gebr. van der Lee"/>
    <x v="4"/>
    <s v="31118126.0102"/>
    <n v="28"/>
    <s v="1HRL"/>
    <m/>
    <n v="110.86"/>
    <n v="110.83499999999999"/>
    <s v="3R-L"/>
    <m/>
    <n v="110.83499999999999"/>
    <n v="110.86"/>
    <x v="9"/>
    <m/>
    <d v="2021-12-13T00:00:00"/>
    <s v="0/16"/>
    <n v="70611"/>
    <s v="Lelystad"/>
    <n v="12"/>
    <n v="175"/>
    <s v="SpoedLVO "/>
  </r>
  <r>
    <s v="Gebr. van der Lee"/>
    <x v="4"/>
    <s v="31118126.0102"/>
    <n v="28"/>
    <s v="1HRL"/>
    <m/>
    <n v="110.875"/>
    <n v="110.85"/>
    <s v="1R-L"/>
    <m/>
    <n v="110.85"/>
    <n v="110.875"/>
    <x v="9"/>
    <m/>
    <d v="2021-12-20T00:00:00"/>
    <s v="0/16"/>
    <n v="70611"/>
    <s v="Lelystad"/>
    <n v="10"/>
    <n v="175"/>
    <s v="SpoedLVO "/>
  </r>
  <r>
    <s v="Gebr. van der Lee"/>
    <x v="4"/>
    <s v="31118126.0102"/>
    <n v="28"/>
    <s v="1HRL"/>
    <m/>
    <n v="110.86"/>
    <n v="110.703"/>
    <s v="2R-L"/>
    <m/>
    <n v="110.703"/>
    <n v="110.86"/>
    <x v="9"/>
    <m/>
    <d v="2021-12-20T00:00:00"/>
    <s v="0/16"/>
    <n v="70611"/>
    <s v="Lelystad"/>
    <n v="60"/>
    <n v="175"/>
    <s v="SpoedLVO "/>
  </r>
  <r>
    <s v="Gebr. van der Lee"/>
    <x v="4"/>
    <s v="31118126.0102"/>
    <n v="28"/>
    <s v="1HRL"/>
    <m/>
    <n v="110.77500000000001"/>
    <n v="110.6"/>
    <s v="3R-L"/>
    <m/>
    <n v="110.6"/>
    <n v="110.77500000000001"/>
    <x v="9"/>
    <m/>
    <d v="2021-12-13T00:00:00"/>
    <s v="0/16"/>
    <n v="70611"/>
    <s v="Lelystad"/>
    <n v="85"/>
    <n v="175"/>
    <s v="SpoedLVO "/>
  </r>
  <r>
    <s v="Gebr. van der Lee"/>
    <x v="4"/>
    <s v="31118126.0102"/>
    <n v="28"/>
    <s v="1HRL"/>
    <m/>
    <n v="114.2"/>
    <n v="114.15"/>
    <s v="Puntstuk"/>
    <m/>
    <n v="114.15"/>
    <n v="114.2"/>
    <x v="9"/>
    <m/>
    <d v="2021-12-09T00:00:00"/>
    <s v="0/16"/>
    <n v="70611"/>
    <s v="Lelystad"/>
    <n v="43"/>
    <n v="175"/>
    <s v="SpoedLVO "/>
  </r>
  <r>
    <s v="Gebr. van der Lee"/>
    <x v="4"/>
    <s v="31118126.0102"/>
    <n v="28"/>
    <s v="1HRL"/>
    <m/>
    <n v="114.2"/>
    <n v="114.15"/>
    <s v="1I-L"/>
    <m/>
    <n v="114.15"/>
    <n v="114.2"/>
    <x v="9"/>
    <m/>
    <d v="2021-12-09T00:00:00"/>
    <s v="0/16"/>
    <n v="70611"/>
    <s v="Lelystad"/>
    <n v="43"/>
    <n v="175"/>
    <s v="SpoedLVO "/>
  </r>
  <r>
    <s v="Gebr. van der Lee"/>
    <x v="4"/>
    <s v="31118126.0102"/>
    <n v="28"/>
    <s v="1HRL"/>
    <m/>
    <n v="114.2"/>
    <n v="114.15"/>
    <s v="2I-L"/>
    <m/>
    <n v="114.15"/>
    <n v="114.2"/>
    <x v="9"/>
    <m/>
    <d v="2021-12-09T00:00:00"/>
    <s v="0/16"/>
    <n v="70611"/>
    <s v="Lelystad"/>
    <n v="43"/>
    <n v="175"/>
    <s v="SpoedLVO "/>
  </r>
  <r>
    <s v="Gebr. van der Lee"/>
    <x v="4"/>
    <s v="31118126.0102"/>
    <n v="28"/>
    <s v="1HRL"/>
    <m/>
    <n v="110.2"/>
    <n v="110.15"/>
    <s v="2R-L"/>
    <m/>
    <n v="110.15"/>
    <n v="110.2"/>
    <x v="9"/>
    <m/>
    <d v="2021-12-20T00:00:00"/>
    <s v="0/16"/>
    <n v="70611"/>
    <s v="Lelystad"/>
    <n v="19"/>
    <n v="175"/>
    <s v="SpoedLVO "/>
  </r>
  <r>
    <s v="Gebr. van der Lee"/>
    <x v="4"/>
    <s v="31118126.0102"/>
    <n v="28"/>
    <s v="1HRL"/>
    <m/>
    <n v="110.1"/>
    <n v="110.02500000000001"/>
    <s v="3R-L"/>
    <m/>
    <n v="110.02500000000001"/>
    <n v="110.1"/>
    <x v="9"/>
    <m/>
    <d v="2021-12-13T00:00:00"/>
    <s v="0/16"/>
    <n v="70611"/>
    <s v="Lelystad"/>
    <n v="36"/>
    <n v="175"/>
    <s v="SpoedLVO "/>
  </r>
  <r>
    <s v="Gebr. van der Lee"/>
    <x v="4"/>
    <s v="31118126.0102"/>
    <n v="28"/>
    <s v="1HRL"/>
    <m/>
    <n v="109.45"/>
    <n v="109.425"/>
    <s v="1R-L"/>
    <m/>
    <n v="109.425"/>
    <n v="109.45"/>
    <x v="9"/>
    <m/>
    <d v="2021-12-20T00:00:00"/>
    <s v="0/16"/>
    <n v="70611"/>
    <s v="Lelystad"/>
    <n v="19"/>
    <n v="175"/>
    <s v="SpoedLVO "/>
  </r>
  <r>
    <s v="Gebr. van der Lee"/>
    <x v="4"/>
    <s v="31118126.0102"/>
    <n v="28"/>
    <s v="1HRL"/>
    <m/>
    <n v="109.45"/>
    <n v="109.425"/>
    <s v="2R-L"/>
    <m/>
    <n v="109.425"/>
    <n v="109.45"/>
    <x v="9"/>
    <m/>
    <d v="2021-12-20T00:00:00"/>
    <s v="0/16"/>
    <n v="70611"/>
    <s v="Lelystad"/>
    <n v="19"/>
    <n v="175"/>
    <s v="SpoedLVO "/>
  </r>
  <r>
    <s v="Gebr. van der Lee"/>
    <x v="4"/>
    <s v="31118126.0102"/>
    <n v="28"/>
    <s v="1HRL"/>
    <m/>
    <n v="109.4"/>
    <n v="109.325"/>
    <s v="3R-L"/>
    <m/>
    <n v="109.325"/>
    <n v="109.4"/>
    <x v="9"/>
    <m/>
    <d v="2021-12-16T00:00:00"/>
    <s v="0/16"/>
    <n v="70611"/>
    <s v="Lelystad"/>
    <n v="36"/>
    <n v="175"/>
    <s v="SpoedLVO "/>
  </r>
  <r>
    <s v="Gebr. van der Lee"/>
    <x v="4"/>
    <s v="31118126.0102"/>
    <n v="28"/>
    <s v="1HRL"/>
    <m/>
    <n v="109.325"/>
    <n v="109.25"/>
    <s v="3R-L"/>
    <m/>
    <n v="109.25"/>
    <n v="109.325"/>
    <x v="9"/>
    <m/>
    <d v="2021-12-16T00:00:00"/>
    <s v="0/16"/>
    <n v="70611"/>
    <s v="Lelystad"/>
    <n v="36"/>
    <n v="175"/>
    <s v="SpoedLVO "/>
  </r>
  <r>
    <s v="Gebr. van der Lee"/>
    <x v="4"/>
    <s v="31118126.0102"/>
    <n v="28"/>
    <s v="1HRL"/>
    <m/>
    <n v="108.72499999999999"/>
    <n v="108.675"/>
    <s v="3R-L"/>
    <m/>
    <n v="108.675"/>
    <n v="108.72499999999999"/>
    <x v="9"/>
    <m/>
    <d v="2021-12-16T00:00:00"/>
    <s v="0/16"/>
    <n v="70611"/>
    <s v="Lelystad"/>
    <n v="24"/>
    <n v="175"/>
    <s v="SpoedLVO "/>
  </r>
  <r>
    <s v="Gebr. van der Lee"/>
    <x v="4"/>
    <s v="31118126.0102"/>
    <n v="28"/>
    <s v="1HRL"/>
    <m/>
    <n v="108.58499999999999"/>
    <n v="108.515"/>
    <s v="3R-L"/>
    <m/>
    <n v="108.515"/>
    <n v="108.58499999999999"/>
    <x v="9"/>
    <m/>
    <d v="2021-12-16T00:00:00"/>
    <s v="0/16"/>
    <n v="70611"/>
    <s v="Lelystad"/>
    <n v="34"/>
    <n v="175"/>
    <s v="SpoedLVO "/>
  </r>
  <r>
    <s v="Gebr. van der Lee"/>
    <x v="4"/>
    <s v="31118126.0102"/>
    <n v="28"/>
    <s v="1HRL"/>
    <m/>
    <n v="108.01"/>
    <n v="107.98"/>
    <s v="2R-L"/>
    <m/>
    <n v="107.98"/>
    <n v="108.01"/>
    <x v="9"/>
    <m/>
    <d v="2021-12-20T00:00:00"/>
    <s v="0/16"/>
    <n v="70611"/>
    <s v="Lelystad"/>
    <n v="11"/>
    <n v="175"/>
    <s v="SpoedLVO "/>
  </r>
  <r>
    <s v="Gebr. van der Lee"/>
    <x v="4"/>
    <s v="31118126.0102"/>
    <n v="28"/>
    <s v="1HRL"/>
    <m/>
    <n v="107.91"/>
    <n v="107.88500000000001"/>
    <s v="2R-L"/>
    <m/>
    <n v="107.88500000000001"/>
    <n v="107.91"/>
    <x v="9"/>
    <m/>
    <d v="2021-12-20T00:00:00"/>
    <s v="0/16"/>
    <n v="70611"/>
    <s v="Lelystad"/>
    <n v="10"/>
    <n v="175"/>
    <s v="SpoedLVO "/>
  </r>
  <r>
    <s v="Gebr. van der Lee"/>
    <x v="4"/>
    <s v="31118126.0102"/>
    <n v="28"/>
    <s v="1HRL"/>
    <m/>
    <n v="107.61"/>
    <n v="107.58499999999999"/>
    <s v="2R-L"/>
    <m/>
    <n v="107.58499999999999"/>
    <n v="107.61"/>
    <x v="9"/>
    <m/>
    <d v="2021-12-20T00:00:00"/>
    <s v="0/16"/>
    <n v="70611"/>
    <s v="Lelystad"/>
    <n v="10"/>
    <n v="175"/>
    <s v="SpoedLVO "/>
  </r>
  <r>
    <s v="Gebr. van der Lee"/>
    <x v="4"/>
    <s v="31118126.0102"/>
    <n v="28"/>
    <s v="1HRL"/>
    <m/>
    <n v="107.435"/>
    <n v="107.38"/>
    <s v="2R-L"/>
    <m/>
    <n v="107.38"/>
    <n v="107.435"/>
    <x v="9"/>
    <m/>
    <d v="2021-12-21T00:00:00"/>
    <s v="0/16"/>
    <n v="70611"/>
    <s v="Lelystad"/>
    <n v="21"/>
    <n v="175"/>
    <s v="SpoedLVO "/>
  </r>
  <r>
    <s v="Gebr. van der Lee"/>
    <x v="4"/>
    <s v="31118126.0102"/>
    <n v="28"/>
    <s v="1HRL"/>
    <m/>
    <n v="106.825"/>
    <n v="106.8"/>
    <s v="3R-L"/>
    <m/>
    <n v="106.8"/>
    <n v="106.825"/>
    <x v="9"/>
    <m/>
    <d v="2021-12-16T00:00:00"/>
    <s v="0/16"/>
    <n v="70611"/>
    <s v="Lelystad"/>
    <n v="12"/>
    <n v="175"/>
    <s v="SpoedLVO "/>
  </r>
  <r>
    <s v="Gebr. van der Lee"/>
    <x v="4"/>
    <s v="31118126.0102"/>
    <n v="28"/>
    <s v="1HRL"/>
    <m/>
    <n v="106.7"/>
    <n v="106.45"/>
    <s v="3R-L"/>
    <m/>
    <n v="106.45"/>
    <n v="106.7"/>
    <x v="9"/>
    <m/>
    <d v="2021-12-16T00:00:00"/>
    <s v="0/16"/>
    <n v="70611"/>
    <s v="Lelystad"/>
    <n v="121"/>
    <n v="175"/>
    <s v="SpoedLVO "/>
  </r>
  <r>
    <s v="Gebr. van der Lee"/>
    <x v="4"/>
    <s v="31118126.0102"/>
    <n v="28"/>
    <s v="1HRL"/>
    <m/>
    <n v="106.38500000000001"/>
    <n v="106.36"/>
    <s v="3R-L"/>
    <m/>
    <n v="106.36"/>
    <n v="106.38500000000001"/>
    <x v="9"/>
    <m/>
    <d v="2021-12-16T00:00:00"/>
    <s v="0/16"/>
    <n v="70611"/>
    <s v="Lelystad"/>
    <n v="12"/>
    <n v="175"/>
    <s v="SpoedLVO "/>
  </r>
  <r>
    <s v="Gebr. van der Lee"/>
    <x v="4"/>
    <s v="31118126.0102"/>
    <n v="28"/>
    <s v="1HRL"/>
    <m/>
    <n v="106.05"/>
    <n v="105.925"/>
    <s v="3R-L"/>
    <m/>
    <n v="105.925"/>
    <n v="106.05"/>
    <x v="9"/>
    <m/>
    <d v="2021-12-16T00:00:00"/>
    <s v="0/16"/>
    <n v="70611"/>
    <s v="Lelystad"/>
    <n v="60"/>
    <n v="175"/>
    <s v="SpoedLVO "/>
  </r>
  <r>
    <s v="Gebr. van der Lee"/>
    <x v="4"/>
    <s v="31118126.0107"/>
    <n v="28"/>
    <s v="1HRL"/>
    <m/>
    <n v="105.1"/>
    <n v="105.075"/>
    <s v="3R-L"/>
    <m/>
    <n v="105.075"/>
    <n v="105.1"/>
    <x v="9"/>
    <m/>
    <d v="2021-11-30T00:00:00"/>
    <s v="0/16"/>
    <n v="70611"/>
    <s v="Lelystad"/>
    <n v="22"/>
    <n v="175"/>
    <s v="SpoedLVO "/>
  </r>
  <r>
    <s v="Gebr. van der Lee"/>
    <x v="4"/>
    <s v="31118126.0107"/>
    <n v="28"/>
    <s v="1HRL"/>
    <m/>
    <n v="104.825"/>
    <n v="104.75"/>
    <s v="3R-L"/>
    <m/>
    <n v="104.75"/>
    <n v="104.825"/>
    <x v="9"/>
    <m/>
    <d v="2021-11-30T00:00:00"/>
    <s v="0/16"/>
    <n v="70611"/>
    <s v="Lelystad"/>
    <n v="36"/>
    <n v="175"/>
    <s v="SpoedLVO "/>
  </r>
  <r>
    <s v="Gebr. van der Lee"/>
    <x v="4"/>
    <s v="31118126.0107"/>
    <n v="28"/>
    <s v="1HRL"/>
    <m/>
    <n v="104.63500000000001"/>
    <n v="104.6"/>
    <s v="1V-L"/>
    <m/>
    <n v="104.6"/>
    <n v="104.63500000000001"/>
    <x v="9"/>
    <m/>
    <d v="2021-11-30T00:00:00"/>
    <s v="0/16"/>
    <n v="70611"/>
    <s v="Lelystad"/>
    <n v="21"/>
    <n v="175"/>
    <s v="SpoedLVO "/>
  </r>
  <r>
    <s v="Gebr. van der Lee"/>
    <x v="4"/>
    <s v="31118126.0107"/>
    <n v="28"/>
    <s v="1HRL"/>
    <m/>
    <n v="104.63500000000001"/>
    <n v="104.6"/>
    <s v="Puntstuk"/>
    <m/>
    <n v="104.6"/>
    <n v="104.63500000000001"/>
    <x v="9"/>
    <m/>
    <d v="2021-11-30T00:00:00"/>
    <s v="0/16"/>
    <n v="70611"/>
    <s v="Lelystad"/>
    <n v="21"/>
    <n v="175"/>
    <s v="SpoedLVO "/>
  </r>
  <r>
    <s v="Gebr. van der Lee"/>
    <x v="4"/>
    <s v="31118126.0107"/>
    <n v="28"/>
    <s v="1HRL"/>
    <m/>
    <n v="104.56"/>
    <n v="104.5"/>
    <s v="3R-L"/>
    <m/>
    <n v="104.5"/>
    <n v="104.56"/>
    <x v="9"/>
    <m/>
    <d v="2021-11-30T00:00:00"/>
    <s v="0/16"/>
    <n v="70611"/>
    <s v="Lelystad"/>
    <n v="29"/>
    <n v="175"/>
    <s v="SpoedLVO "/>
  </r>
  <r>
    <s v="Gebr. van der Lee"/>
    <x v="4"/>
    <s v="31118126.0107"/>
    <n v="28"/>
    <s v="1HRL"/>
    <m/>
    <n v="104.425"/>
    <n v="104.325"/>
    <s v="1I-L"/>
    <m/>
    <n v="104.325"/>
    <n v="104.425"/>
    <x v="9"/>
    <m/>
    <d v="2021-11-30T00:00:00"/>
    <s v="0/16"/>
    <n v="70611"/>
    <s v="Lelystad"/>
    <n v="20"/>
    <n v="175"/>
    <s v="SpoedLVO, oorspronkelijke deklaag ZOABTW"/>
  </r>
  <r>
    <s v="Gebr. van der Lee"/>
    <x v="4"/>
    <s v="31118126.0107"/>
    <n v="28"/>
    <s v="1HRL"/>
    <m/>
    <n v="104.425"/>
    <n v="104.325"/>
    <s v="3R-L"/>
    <m/>
    <n v="104.325"/>
    <n v="104.425"/>
    <x v="9"/>
    <m/>
    <d v="2021-11-30T00:00:00"/>
    <s v="0/16"/>
    <n v="70611"/>
    <s v="Lelystad"/>
    <n v="36"/>
    <n v="175"/>
    <s v="SpoedLVO, oorspronkelijke deklaag ZOABTW"/>
  </r>
  <r>
    <s v="Gebr. van der Lee"/>
    <x v="4"/>
    <s v="31118126.0107"/>
    <n v="28"/>
    <s v="1HRL"/>
    <m/>
    <n v="104.02500000000001"/>
    <n v="104"/>
    <s v="3R-L"/>
    <m/>
    <n v="104"/>
    <n v="104.02500000000001"/>
    <x v="9"/>
    <m/>
    <d v="2021-11-30T00:00:00"/>
    <s v="0/16"/>
    <n v="70611"/>
    <s v="Lelystad"/>
    <n v="12"/>
    <n v="175"/>
    <s v="SpoedLVO, oorspronkelijke deklaag ZOABTW"/>
  </r>
  <r>
    <s v="Gebr. van der Lee"/>
    <x v="4"/>
    <s v="31118126.0107"/>
    <n v="28"/>
    <s v="1HRL"/>
    <m/>
    <n v="104"/>
    <n v="103.7"/>
    <s v="3R-L"/>
    <m/>
    <n v="103.7"/>
    <n v="104"/>
    <x v="9"/>
    <m/>
    <d v="2021-11-30T00:00:00"/>
    <s v="0/16"/>
    <n v="70611"/>
    <s v="Lelystad"/>
    <n v="145"/>
    <n v="175"/>
    <s v="SpoedLVO, oorspronkelijke deklaag ZOABTW"/>
  </r>
  <r>
    <s v="Gebr. van der Lee"/>
    <x v="4"/>
    <s v="31118126.0102"/>
    <n v="28"/>
    <s v="1HRL"/>
    <m/>
    <n v="101.86"/>
    <n v="101.8"/>
    <s v="3R-L"/>
    <m/>
    <n v="101.8"/>
    <n v="101.86"/>
    <x v="9"/>
    <m/>
    <d v="2021-12-15T00:00:00"/>
    <s v="0/16"/>
    <n v="70611"/>
    <s v="Lelystad"/>
    <n v="29"/>
    <n v="175"/>
    <s v="SpoedLVO, oorspronkelijke deklaag ZOABTW"/>
  </r>
  <r>
    <s v="Gebr. van der Lee"/>
    <x v="4"/>
    <s v="31118126.0102"/>
    <n v="28"/>
    <s v="1HRL"/>
    <m/>
    <n v="101.86"/>
    <n v="101.8"/>
    <s v="2R-L"/>
    <m/>
    <n v="101.8"/>
    <n v="101.86"/>
    <x v="9"/>
    <m/>
    <d v="2021-12-21T00:00:00"/>
    <s v="0/16"/>
    <n v="70611"/>
    <s v="Lelystad"/>
    <n v="23"/>
    <n v="175"/>
    <s v="SpoedLVO, oorspronkelijke deklaag ZOABTW"/>
  </r>
  <r>
    <s v="Gebr. van der Lee"/>
    <x v="4"/>
    <s v="31118126.0102"/>
    <n v="28"/>
    <s v="1HRL"/>
    <m/>
    <n v="101.76"/>
    <n v="101.735"/>
    <s v="3R-L"/>
    <m/>
    <n v="101.735"/>
    <n v="101.76"/>
    <x v="9"/>
    <m/>
    <d v="2021-12-15T00:00:00"/>
    <s v="0/16"/>
    <n v="70611"/>
    <s v="Lelystad"/>
    <n v="12"/>
    <n v="175"/>
    <s v="SpoedLVO, oorspronkelijke deklaag ZOABTW"/>
  </r>
  <r>
    <s v="Gebr. van der Lee"/>
    <x v="4"/>
    <s v="31118126.0102"/>
    <n v="28"/>
    <s v="1HRL"/>
    <m/>
    <n v="101.535"/>
    <n v="101.515"/>
    <s v="3R-L"/>
    <m/>
    <n v="101.515"/>
    <n v="101.535"/>
    <x v="9"/>
    <m/>
    <d v="2021-12-15T00:00:00"/>
    <s v="0/16"/>
    <n v="70611"/>
    <s v="Lelystad"/>
    <n v="10"/>
    <n v="175"/>
    <s v="SpoedLVO, oorspronkelijke deklaag ZOABTW"/>
  </r>
  <r>
    <s v="Gebr. van der Lee"/>
    <x v="4"/>
    <s v="31118126.0102"/>
    <n v="28"/>
    <s v="1HRL"/>
    <m/>
    <n v="101.6"/>
    <n v="101.575"/>
    <s v="1R-L"/>
    <m/>
    <n v="101.575"/>
    <n v="101.6"/>
    <x v="9"/>
    <m/>
    <d v="2021-12-21T00:00:00"/>
    <s v="0/16"/>
    <n v="70611"/>
    <s v="Lelystad"/>
    <n v="20"/>
    <n v="175"/>
    <s v="SpoedLVO, oorspronkelijke deklaag ZOABTW"/>
  </r>
  <r>
    <s v="Gebr. van der Lee"/>
    <x v="4"/>
    <s v="31118126.0102"/>
    <n v="28"/>
    <s v="1HRL"/>
    <m/>
    <n v="101.6"/>
    <n v="101.575"/>
    <s v="2R-L"/>
    <m/>
    <n v="101.575"/>
    <n v="101.6"/>
    <x v="9"/>
    <m/>
    <d v="2021-12-21T00:00:00"/>
    <s v="0/16"/>
    <n v="70611"/>
    <s v="Lelystad"/>
    <n v="20"/>
    <n v="175"/>
    <s v="SpoedLVO, oorspronkelijke deklaag ZOABTW"/>
  </r>
  <r>
    <s v="Gebr. van der Lee"/>
    <x v="4"/>
    <s v="31118126.0102"/>
    <n v="28"/>
    <s v="1HRL"/>
    <m/>
    <n v="101.4"/>
    <n v="101.325"/>
    <s v="3R-L"/>
    <m/>
    <n v="101.325"/>
    <n v="101.4"/>
    <x v="9"/>
    <m/>
    <d v="2021-12-15T00:00:00"/>
    <s v="0/16"/>
    <n v="70611"/>
    <s v="Lelystad"/>
    <n v="36"/>
    <n v="175"/>
    <s v="SpoedLVO, oorspronkelijke deklaag ZOABTW"/>
  </r>
  <r>
    <s v="Gebr. van der Lee"/>
    <x v="4"/>
    <s v="31118126.0102"/>
    <n v="28"/>
    <s v="1HRL"/>
    <m/>
    <n v="92.7"/>
    <n v="92.65"/>
    <s v="2R-L"/>
    <m/>
    <n v="92.65"/>
    <n v="92.7"/>
    <x v="9"/>
    <m/>
    <d v="2021-12-23T00:00:00"/>
    <s v="0/16"/>
    <n v="70611"/>
    <s v="Lelystad"/>
    <n v="19"/>
    <n v="175"/>
    <s v="SpoedLVO, oorspronkelijke deklaag ZOABTW"/>
  </r>
  <r>
    <s v="Gebr. van der Lee"/>
    <x v="4"/>
    <s v="31118126.0102"/>
    <n v="28"/>
    <s v="1HRL"/>
    <m/>
    <n v="92.4"/>
    <n v="92.35"/>
    <s v="2R-L"/>
    <m/>
    <n v="92.35"/>
    <n v="92.4"/>
    <x v="9"/>
    <m/>
    <d v="2021-12-16T00:00:00"/>
    <s v="0/16"/>
    <n v="70611"/>
    <s v="Lelystad"/>
    <n v="38"/>
    <n v="175"/>
    <s v="SpoedLVO, oorspronkelijke deklaag ZOABTW"/>
  </r>
  <r>
    <s v="Gebr. van der Lee"/>
    <x v="4"/>
    <s v="31118126.0102"/>
    <n v="28"/>
    <s v="1HRL"/>
    <m/>
    <n v="92.4"/>
    <n v="92.35"/>
    <s v="1V-L"/>
    <m/>
    <n v="92.35"/>
    <n v="92.4"/>
    <x v="9"/>
    <m/>
    <d v="2021-12-16T00:00:00"/>
    <s v="0/16"/>
    <n v="70611"/>
    <s v="Lelystad"/>
    <n v="38"/>
    <n v="175"/>
    <s v="SpoedLVO, oorspronkelijke deklaag ZOABTW"/>
  </r>
  <r>
    <s v="Gebr. van der Lee"/>
    <x v="4"/>
    <s v="31118126.0102"/>
    <n v="28"/>
    <s v="1HRL"/>
    <m/>
    <n v="92.215000000000003"/>
    <n v="91.89"/>
    <s v="1I-L"/>
    <m/>
    <n v="91.89"/>
    <n v="92.215000000000003"/>
    <x v="9"/>
    <m/>
    <d v="2021-12-16T00:00:00"/>
    <s v="0/16"/>
    <n v="70611"/>
    <s v="Lelystad"/>
    <n v="140"/>
    <n v="175"/>
    <s v="SpoedLVO, oorspronkelijke deklaag ZOABTW"/>
  </r>
  <r>
    <s v="Gebr. van der Lee"/>
    <x v="4"/>
    <s v="31118126.0102"/>
    <n v="28"/>
    <s v="1HRL"/>
    <m/>
    <n v="92.15"/>
    <n v="91.89"/>
    <s v="2R-L"/>
    <m/>
    <n v="91.89"/>
    <n v="92.15"/>
    <x v="9"/>
    <m/>
    <d v="2021-12-23T00:00:00"/>
    <s v="0/16"/>
    <n v="70611"/>
    <s v="Lelystad"/>
    <n v="98"/>
    <n v="175"/>
    <s v="SpoedLVO, oorspronkelijke deklaag ZOABTW"/>
  </r>
  <r>
    <s v="Gebr. van der Lee"/>
    <x v="4"/>
    <s v="31118126.0102"/>
    <n v="28"/>
    <s v="1HRL"/>
    <m/>
    <n v="91.8"/>
    <n v="91.7"/>
    <s v="1R-L"/>
    <m/>
    <n v="91.7"/>
    <n v="91.8"/>
    <x v="9"/>
    <m/>
    <d v="2021-12-23T00:00:00"/>
    <s v="0/16"/>
    <n v="70611"/>
    <s v="Lelystad"/>
    <n v="86"/>
    <n v="175"/>
    <s v="SpoedLVO, oorspronkelijke deklaag ZOABTW"/>
  </r>
  <r>
    <s v="Gebr. van der Lee"/>
    <x v="4"/>
    <s v="31118126.0102"/>
    <n v="28"/>
    <s v="1HRL"/>
    <m/>
    <n v="91.8"/>
    <n v="91.7"/>
    <s v="2R-L"/>
    <m/>
    <n v="91.7"/>
    <n v="91.8"/>
    <x v="9"/>
    <m/>
    <d v="2021-12-23T00:00:00"/>
    <s v="0/16"/>
    <n v="70611"/>
    <s v="Lelystad"/>
    <n v="86"/>
    <n v="175"/>
    <s v="SpoedLVO, oorspronkelijke deklaag ZOABTW"/>
  </r>
  <r>
    <s v="Gebr. van der Lee"/>
    <x v="4"/>
    <s v="31118126.0102"/>
    <n v="28"/>
    <s v="1HRL"/>
    <m/>
    <n v="91.674999999999997"/>
    <n v="91.625"/>
    <s v="3R-L"/>
    <m/>
    <n v="91.625"/>
    <n v="91.674999999999997"/>
    <x v="9"/>
    <m/>
    <d v="2021-12-16T00:00:00"/>
    <s v="0/16"/>
    <n v="70611"/>
    <s v="Lelystad"/>
    <n v="19"/>
    <n v="175"/>
    <s v="SpoedLVO, oorspronkelijke deklaag ZOABTW"/>
  </r>
  <r>
    <s v="Gebr. van der Lee"/>
    <x v="4"/>
    <s v="31118126.0102"/>
    <n v="28"/>
    <s v="1HRL"/>
    <m/>
    <n v="91.5"/>
    <n v="91.24"/>
    <s v="2R-L"/>
    <m/>
    <n v="91.24"/>
    <n v="91.5"/>
    <x v="9"/>
    <m/>
    <d v="2021-12-23T00:00:00"/>
    <s v="0/16"/>
    <n v="70611"/>
    <s v="Lelystad"/>
    <n v="98"/>
    <n v="175"/>
    <s v="SpoedLVO, oorspronkelijke deklaag ZOABTW"/>
  </r>
  <r>
    <s v="Gebr. van der Lee"/>
    <x v="4"/>
    <s v="31118126.0102"/>
    <n v="28"/>
    <s v="1HRL"/>
    <m/>
    <n v="91.424999999999997"/>
    <n v="91.4"/>
    <s v="1I-L"/>
    <m/>
    <n v="91.4"/>
    <n v="91.424999999999997"/>
    <x v="9"/>
    <m/>
    <d v="2021-12-22T00:00:00"/>
    <s v="0/16"/>
    <n v="70611"/>
    <s v="Lelystad"/>
    <n v="19"/>
    <n v="175"/>
    <s v="SpoedLVO, oorspronkelijke deklaag ZOABTW"/>
  </r>
  <r>
    <s v="Gebr. van der Lee"/>
    <x v="4"/>
    <s v="31118126.0102"/>
    <n v="28"/>
    <s v="1HRL"/>
    <m/>
    <n v="91.424999999999997"/>
    <n v="91.4"/>
    <s v="2I-L"/>
    <m/>
    <n v="91.4"/>
    <n v="91.424999999999997"/>
    <x v="9"/>
    <m/>
    <d v="2021-12-22T00:00:00"/>
    <s v="0/16"/>
    <n v="70611"/>
    <s v="Lelystad"/>
    <n v="19"/>
    <n v="175"/>
    <s v="SpoedLVO, oorspronkelijke deklaag ZOABTW"/>
  </r>
  <r>
    <s v="Gebr. van der Lee"/>
    <x v="4"/>
    <s v="31118126.0102"/>
    <n v="28"/>
    <s v="1HRL"/>
    <m/>
    <n v="91.4"/>
    <n v="91.3"/>
    <s v="1I-L"/>
    <m/>
    <n v="91.3"/>
    <n v="91.4"/>
    <x v="9"/>
    <m/>
    <d v="2021-12-22T00:00:00"/>
    <s v="0/16"/>
    <n v="70611"/>
    <s v="Lelystad"/>
    <n v="76"/>
    <n v="175"/>
    <s v="SpoedLVO, oorspronkelijke deklaag ZOABTW"/>
  </r>
  <r>
    <s v="Gebr. van der Lee"/>
    <x v="4"/>
    <s v="31118126.0102"/>
    <n v="28"/>
    <s v="1HRL"/>
    <m/>
    <n v="91.4"/>
    <n v="91.3"/>
    <s v="2I-L"/>
    <m/>
    <n v="91.3"/>
    <n v="91.4"/>
    <x v="9"/>
    <m/>
    <d v="2021-12-22T00:00:00"/>
    <s v="0/16"/>
    <n v="70611"/>
    <s v="Lelystad"/>
    <n v="76"/>
    <n v="175"/>
    <s v="SpoedLVO, oorspronkelijke deklaag ZOABTW"/>
  </r>
  <r>
    <s v="Gebr. van der Lee"/>
    <x v="4"/>
    <s v="31118126.0102"/>
    <n v="28"/>
    <s v="1HRL"/>
    <m/>
    <n v="91.3"/>
    <n v="91.185000000000002"/>
    <s v="1I-L"/>
    <m/>
    <n v="91.185000000000002"/>
    <n v="91.3"/>
    <x v="9"/>
    <m/>
    <d v="2021-12-22T00:00:00"/>
    <s v="0/16"/>
    <n v="70611"/>
    <s v="Lelystad"/>
    <n v="99"/>
    <n v="175"/>
    <s v="SpoedLVO, oorspronkelijke deklaag ZOABTW"/>
  </r>
  <r>
    <s v="Gebr. van der Lee"/>
    <x v="4"/>
    <s v="31118126.0102"/>
    <n v="28"/>
    <s v="1HRL"/>
    <m/>
    <n v="91.3"/>
    <n v="91.185000000000002"/>
    <s v="2I-L"/>
    <m/>
    <n v="91.185000000000002"/>
    <n v="91.3"/>
    <x v="9"/>
    <m/>
    <d v="2021-12-22T00:00:00"/>
    <s v="0/16"/>
    <n v="70611"/>
    <s v="Lelystad"/>
    <n v="99"/>
    <n v="175"/>
    <s v="SpoedLVO, oorspronkelijke deklaag ZOABTW"/>
  </r>
  <r>
    <s v="Gebr. van der Lee"/>
    <x v="4"/>
    <s v="31118126.0102"/>
    <n v="28"/>
    <s v="1HRL"/>
    <m/>
    <n v="91.084999999999994"/>
    <n v="91.064999999999998"/>
    <s v="2R-L"/>
    <m/>
    <n v="91.064999999999998"/>
    <n v="91.084999999999994"/>
    <x v="9"/>
    <m/>
    <d v="2021-12-23T00:00:00"/>
    <s v="0/16"/>
    <n v="70611"/>
    <s v="Lelystad"/>
    <n v="15"/>
    <n v="175"/>
    <s v="SpoedLVO, oorspronkelijke deklaag ZOABTW"/>
  </r>
  <r>
    <s v="Gebr. van der Lee"/>
    <x v="4"/>
    <s v="31118126.0102"/>
    <n v="28"/>
    <s v="1HRL"/>
    <m/>
    <n v="91.084999999999994"/>
    <n v="91.064999999999998"/>
    <s v="3R-L"/>
    <m/>
    <n v="91.064999999999998"/>
    <n v="91.084999999999994"/>
    <x v="9"/>
    <m/>
    <d v="2021-12-23T00:00:00"/>
    <s v="0/16"/>
    <n v="70611"/>
    <s v="Lelystad"/>
    <n v="15"/>
    <n v="175"/>
    <s v="SpoedLVO, oorspronkelijke deklaag ZOABTW"/>
  </r>
  <r>
    <s v="Gebr. van der Lee"/>
    <x v="4"/>
    <s v="31118126.0102"/>
    <n v="28"/>
    <s v="1HRL"/>
    <m/>
    <n v="91.084999999999994"/>
    <n v="90.88"/>
    <s v="1R-L"/>
    <m/>
    <n v="90.88"/>
    <n v="91.084999999999994"/>
    <x v="9"/>
    <m/>
    <d v="2021-12-23T00:00:00"/>
    <s v="0/16"/>
    <n v="70611"/>
    <s v="Lelystad"/>
    <n v="99"/>
    <n v="175"/>
    <s v="SpoedLVO, oorspronkelijke deklaag ZOABTW"/>
  </r>
  <r>
    <s v="Gebr. van der Lee"/>
    <x v="4"/>
    <s v="31118126.0102"/>
    <n v="28"/>
    <s v="1HRL"/>
    <m/>
    <n v="87.43"/>
    <n v="87.3"/>
    <s v="2U-R"/>
    <m/>
    <n v="87.3"/>
    <n v="87.43"/>
    <x v="9"/>
    <m/>
    <d v="2021-12-22T00:00:00"/>
    <s v="0/16"/>
    <n v="70611"/>
    <s v="Lelystad"/>
    <n v="98"/>
    <n v="175"/>
    <s v="SpoedLVO, oorspronkelijke deklaag ZOABTW"/>
  </r>
  <r>
    <s v="Gebr. van der Lee"/>
    <x v="4"/>
    <s v="31118126.0102"/>
    <n v="28"/>
    <s v="1HRL"/>
    <m/>
    <n v="87.43"/>
    <n v="87.3"/>
    <s v="1U-R"/>
    <m/>
    <n v="87.3"/>
    <n v="87.43"/>
    <x v="9"/>
    <m/>
    <d v="2021-12-22T00:00:00"/>
    <s v="0/16"/>
    <n v="70611"/>
    <s v="Lelystad"/>
    <n v="98"/>
    <n v="175"/>
    <s v="SpoedLVO, oorspronkelijke deklaag ZOABTW"/>
  </r>
  <r>
    <s v="Gebr. van der Lee"/>
    <x v="4"/>
    <s v="31118126.0102"/>
    <n v="28"/>
    <s v="1HRL"/>
    <m/>
    <n v="86.8"/>
    <n v="86.75"/>
    <s v="2R-L"/>
    <m/>
    <n v="86.75"/>
    <n v="86.8"/>
    <x v="9"/>
    <m/>
    <d v="2021-12-23T00:00:00"/>
    <s v="0/16"/>
    <n v="70611"/>
    <s v="Lelystad"/>
    <n v="19"/>
    <n v="175"/>
    <s v="SpoedLVO "/>
  </r>
  <r>
    <s v="Gebr. van der Lee"/>
    <x v="4"/>
    <s v="31118126.0102"/>
    <n v="28"/>
    <s v="1HRL"/>
    <m/>
    <n v="86.474999999999994"/>
    <n v="86.4"/>
    <s v="2U-L"/>
    <m/>
    <n v="86.4"/>
    <n v="86.474999999999994"/>
    <x v="9"/>
    <m/>
    <d v="2021-12-22T00:00:00"/>
    <s v="0/16"/>
    <n v="70611"/>
    <s v="Lelystad"/>
    <n v="28"/>
    <n v="175"/>
    <s v="SpoedLVO "/>
  </r>
  <r>
    <s v="Gebr. van der Lee"/>
    <x v="4"/>
    <s v="31118126.0102"/>
    <n v="28"/>
    <s v="0VW"/>
    <s v="n"/>
    <n v="92.4"/>
    <n v="92.34"/>
    <s v="1R-L"/>
    <m/>
    <n v="92.34"/>
    <n v="92.4"/>
    <x v="9"/>
    <m/>
    <d v="2021-12-16T00:00:00"/>
    <s v="0/16"/>
    <n v="70611"/>
    <s v="Lelystad"/>
    <n v="45"/>
    <n v="175"/>
    <s v="SpoedLVO, oorspronkelijke deklaag ZOABTW"/>
  </r>
  <r>
    <s v="Gebr. van der Lee"/>
    <x v="4"/>
    <s v="31118126.0102"/>
    <n v="28"/>
    <s v="0VW"/>
    <s v="n"/>
    <n v="92.4"/>
    <n v="92.34"/>
    <s v="1V-L"/>
    <m/>
    <n v="92.34"/>
    <n v="92.4"/>
    <x v="9"/>
    <m/>
    <d v="2021-12-16T00:00:00"/>
    <s v="0/16"/>
    <n v="70611"/>
    <s v="Lelystad"/>
    <n v="45"/>
    <n v="175"/>
    <s v="SpoedLVO, oorspronkelijke deklaag ZOABTW"/>
  </r>
  <r>
    <s v="De Jong Zuurmond"/>
    <x v="5"/>
    <n v="31117689"/>
    <n v="30"/>
    <s v="1HRL"/>
    <m/>
    <n v="10.75"/>
    <n v="10.45"/>
    <m/>
    <s v="ALLE"/>
    <n v="10.45"/>
    <n v="10.75"/>
    <x v="1"/>
    <m/>
    <d v="2020-05-20T00:00:00"/>
    <m/>
    <n v="757000"/>
    <s v="APE"/>
    <n v="787"/>
    <s v="165 °C"/>
    <m/>
  </r>
  <r>
    <s v="De Jong Zuurmond"/>
    <x v="5"/>
    <n v="31117689"/>
    <n v="30"/>
    <s v="1HRL"/>
    <m/>
    <n v="10.45"/>
    <n v="10.25"/>
    <m/>
    <s v="ALLE"/>
    <n v="10.25"/>
    <n v="10.45"/>
    <x v="1"/>
    <m/>
    <d v="2020-05-20T00:00:00"/>
    <m/>
    <n v="757000"/>
    <s v="APE"/>
    <m/>
    <m/>
    <m/>
  </r>
  <r>
    <s v="De Jong Zuurmond"/>
    <x v="5"/>
    <n v="31117689"/>
    <n v="73"/>
    <s v="1HRR"/>
    <m/>
    <n v="97.5"/>
    <n v="98"/>
    <s v="1R-R"/>
    <n v="1"/>
    <n v="97.5"/>
    <n v="98"/>
    <x v="3"/>
    <m/>
    <d v="2021-04-16T00:00:00"/>
    <m/>
    <s v="750D000 &amp; 750D001"/>
    <s v="APN"/>
    <s v="276 &amp; 259"/>
    <s v="148 °C &amp; 156 °C"/>
    <m/>
  </r>
  <r>
    <s v="De Jong Zuurmond"/>
    <x v="5"/>
    <n v="31117689"/>
    <n v="73"/>
    <s v="1HRR"/>
    <m/>
    <n v="97.5"/>
    <n v="98"/>
    <s v="2R-R"/>
    <n v="1"/>
    <n v="97.5"/>
    <n v="98"/>
    <x v="3"/>
    <m/>
    <d v="2021-04-16T00:00:00"/>
    <m/>
    <s v="750D000 &amp; 750D001"/>
    <s v="APN"/>
    <m/>
    <m/>
    <m/>
  </r>
  <r>
    <s v="De Jong Zuurmond"/>
    <x v="5"/>
    <n v="31117689"/>
    <n v="12"/>
    <s v="1HRR"/>
    <m/>
    <n v="122.6"/>
    <n v="122.63"/>
    <s v="1R-R"/>
    <n v="1"/>
    <n v="122.6"/>
    <n v="122.63"/>
    <x v="9"/>
    <m/>
    <d v="2021-07-16T00:00:00"/>
    <m/>
    <s v="750D003"/>
    <s v="APN"/>
    <n v="18"/>
    <s v="150 °C"/>
    <m/>
  </r>
  <r>
    <s v="De Jong Zuurmond"/>
    <x v="5"/>
    <n v="31117689"/>
    <n v="12"/>
    <s v="0VW"/>
    <s v="f"/>
    <n v="122.6"/>
    <n v="122.63"/>
    <s v="1R-R"/>
    <n v="1"/>
    <n v="122.6"/>
    <n v="122.63"/>
    <x v="9"/>
    <m/>
    <d v="2021-06-23T00:00:00"/>
    <m/>
    <s v="753D001"/>
    <s v="APN"/>
    <n v="73"/>
    <s v="165 °C"/>
    <m/>
  </r>
  <r>
    <s v="De Jong Zuurmond"/>
    <x v="5"/>
    <n v="31117689"/>
    <n v="30"/>
    <s v="1HRL"/>
    <m/>
    <n v="22.25"/>
    <n v="22.2"/>
    <s v="1R-L"/>
    <n v="1"/>
    <n v="22.2"/>
    <n v="22.25"/>
    <x v="1"/>
    <m/>
    <d v="2021-04-10T00:00:00"/>
    <m/>
    <s v="750D002"/>
    <s v="APE"/>
    <n v="23"/>
    <s v="157 °C"/>
    <m/>
  </r>
  <r>
    <s v="De Jong Zuurmond"/>
    <x v="5"/>
    <n v="31117689"/>
    <n v="30"/>
    <s v="1HRL"/>
    <m/>
    <n v="22.4"/>
    <n v="22.2"/>
    <s v="1I-L"/>
    <n v="1"/>
    <n v="22.2"/>
    <n v="22.4"/>
    <x v="1"/>
    <m/>
    <d v="2021-08-31T00:00:00"/>
    <m/>
    <s v="750D002"/>
    <s v="APE"/>
    <n v="146"/>
    <s v="151 °C"/>
    <m/>
  </r>
  <r>
    <s v="De Jong Zuurmond"/>
    <x v="5"/>
    <n v="31117689"/>
    <n v="30"/>
    <s v="1HRL"/>
    <m/>
    <n v="22.4"/>
    <n v="22.2"/>
    <s v="1V-L"/>
    <n v="1"/>
    <n v="22.2"/>
    <n v="22.4"/>
    <x v="1"/>
    <m/>
    <d v="2021-08-31T00:00:00"/>
    <m/>
    <s v="750D002"/>
    <s v="APE"/>
    <m/>
    <m/>
    <m/>
  </r>
  <r>
    <s v="De Jong Zuurmond"/>
    <x v="5"/>
    <n v="31117689"/>
    <n v="30"/>
    <s v="1HRL"/>
    <m/>
    <n v="21.4"/>
    <n v="20.3"/>
    <s v="2R-L"/>
    <n v="1"/>
    <n v="20.3"/>
    <n v="21.4"/>
    <x v="1"/>
    <m/>
    <d v="2021-04-10T00:00:00"/>
    <m/>
    <s v="750D002"/>
    <s v="APE"/>
    <n v="547"/>
    <s v="156 °C"/>
    <m/>
  </r>
  <r>
    <s v="De Jong Zuurmond"/>
    <x v="5"/>
    <n v="31117689"/>
    <n v="30"/>
    <s v="1HRL"/>
    <m/>
    <n v="21.4"/>
    <n v="21.35"/>
    <s v="1R-L"/>
    <n v="1"/>
    <n v="21.35"/>
    <n v="21.4"/>
    <x v="1"/>
    <m/>
    <d v="2021-04-10T00:00:00"/>
    <m/>
    <s v="750D002"/>
    <s v="APE"/>
    <m/>
    <m/>
    <m/>
  </r>
  <r>
    <s v="De Jong Zuurmond"/>
    <x v="5"/>
    <n v="31117689"/>
    <n v="30"/>
    <s v="1HRL"/>
    <m/>
    <n v="20.82"/>
    <n v="20.77"/>
    <s v="1R-L"/>
    <n v="1"/>
    <n v="20.77"/>
    <n v="20.82"/>
    <x v="1"/>
    <m/>
    <d v="2021-04-10T00:00:00"/>
    <m/>
    <s v="750D002"/>
    <s v="APE"/>
    <m/>
    <m/>
    <m/>
  </r>
  <r>
    <s v="De Jong Zuurmond"/>
    <x v="5"/>
    <n v="31117689"/>
    <n v="30"/>
    <s v="1HRL"/>
    <m/>
    <n v="20.6"/>
    <n v="20.57"/>
    <s v="1R-L"/>
    <n v="1"/>
    <n v="20.57"/>
    <n v="20.6"/>
    <x v="1"/>
    <m/>
    <d v="2021-04-10T00:00:00"/>
    <m/>
    <s v="750D002"/>
    <s v="APE"/>
    <m/>
    <m/>
    <m/>
  </r>
  <r>
    <s v="De Jong Zuurmond"/>
    <x v="5"/>
    <n v="31117689"/>
    <n v="30"/>
    <s v="1HRR"/>
    <m/>
    <n v="18.920000000000002"/>
    <n v="18.88"/>
    <s v="1R-R"/>
    <n v="1"/>
    <n v="18.88"/>
    <n v="18.920000000000002"/>
    <x v="1"/>
    <m/>
    <d v="2022-01-26T00:00:00"/>
    <m/>
    <s v="750D003"/>
    <s v="APN"/>
    <n v="65"/>
    <s v="156 °C"/>
    <m/>
  </r>
  <r>
    <s v="De Jong Zuurmond"/>
    <x v="5"/>
    <n v="31117689"/>
    <n v="30"/>
    <s v="1HRL"/>
    <m/>
    <n v="10.4"/>
    <n v="10.130000000000001"/>
    <m/>
    <s v="ALLE"/>
    <n v="10.130000000000001"/>
    <n v="10.4"/>
    <x v="1"/>
    <m/>
    <d v="2021-09-03T00:00:00"/>
    <m/>
    <s v="750D002"/>
    <s v="APE"/>
    <n v="1051"/>
    <s v="151 °C &amp; 152 °C &amp; 152 °C"/>
    <m/>
  </r>
  <r>
    <s v="De Jong Zuurmond"/>
    <x v="5"/>
    <n v="31117689"/>
    <n v="30"/>
    <s v="1HRL"/>
    <m/>
    <n v="10.130000000000001"/>
    <n v="9.3000000000000007"/>
    <m/>
    <s v="ALLE"/>
    <n v="9.3000000000000007"/>
    <n v="10.130000000000001"/>
    <x v="1"/>
    <m/>
    <d v="2021-09-04T00:00:00"/>
    <m/>
    <s v="750D002"/>
    <s v="APE"/>
    <n v="680"/>
    <s v="165 °C"/>
    <m/>
  </r>
  <r>
    <s v="De Jong Zuurmond"/>
    <x v="5"/>
    <n v="31117689"/>
    <n v="30"/>
    <s v="1HRL"/>
    <m/>
    <n v="9.3000000000000007"/>
    <n v="9"/>
    <m/>
    <s v="ALLE"/>
    <n v="9"/>
    <n v="9.3000000000000007"/>
    <x v="1"/>
    <m/>
    <d v="2021-09-07T00:00:00"/>
    <m/>
    <s v="750D002"/>
    <s v="APE"/>
    <n v="250"/>
    <s v="152 °C"/>
    <m/>
  </r>
  <r>
    <s v="De Jong Zuurmond"/>
    <x v="5"/>
    <n v="31117689"/>
    <n v="30"/>
    <s v="0VW"/>
    <s v="d"/>
    <n v="10.5"/>
    <n v="10.199999999999999"/>
    <m/>
    <s v="ALLE"/>
    <n v="10.199999999999999"/>
    <n v="10.5"/>
    <x v="2"/>
    <m/>
    <d v="2021-09-03T00:00:00"/>
    <m/>
    <s v="450D000"/>
    <s v="APE"/>
    <n v="221"/>
    <s v="159 °C"/>
    <m/>
  </r>
  <r>
    <s v="De Jong Zuurmond"/>
    <x v="5"/>
    <n v="31117689"/>
    <n v="30"/>
    <s v="1HRL"/>
    <m/>
    <n v="24"/>
    <n v="23.6"/>
    <s v="1R-R"/>
    <n v="1"/>
    <n v="23.6"/>
    <n v="24"/>
    <x v="1"/>
    <m/>
    <d v="2021-09-08T00:00:00"/>
    <m/>
    <s v="750D002"/>
    <s v="APE"/>
    <n v="231"/>
    <s v="152 °C"/>
    <m/>
  </r>
  <r>
    <s v="De Jong Zuurmond"/>
    <x v="5"/>
    <n v="31117689"/>
    <n v="30"/>
    <s v="1HRL"/>
    <m/>
    <n v="23.5"/>
    <n v="23.45"/>
    <s v="1R-R"/>
    <n v="1"/>
    <n v="23.45"/>
    <n v="23.5"/>
    <x v="1"/>
    <m/>
    <d v="2021-09-08T00:00:00"/>
    <m/>
    <s v="750D002"/>
    <s v="APE"/>
    <m/>
    <m/>
    <m/>
  </r>
  <r>
    <s v="De Jong Zuurmond"/>
    <x v="5"/>
    <n v="31117689"/>
    <n v="30"/>
    <s v="1HRL"/>
    <m/>
    <n v="23.25"/>
    <n v="23.2"/>
    <s v="1R-R"/>
    <n v="1"/>
    <n v="23.2"/>
    <n v="23.25"/>
    <x v="1"/>
    <m/>
    <d v="2021-09-08T00:00:00"/>
    <m/>
    <s v="750D002"/>
    <s v="APE"/>
    <m/>
    <m/>
    <m/>
  </r>
  <r>
    <s v="De Jong Zuurmond"/>
    <x v="5"/>
    <n v="31117689"/>
    <n v="30"/>
    <s v="1HRL"/>
    <m/>
    <n v="23.15"/>
    <n v="23.1"/>
    <s v="1R-R"/>
    <n v="1"/>
    <n v="23.1"/>
    <n v="23.15"/>
    <x v="1"/>
    <m/>
    <d v="2021-09-08T00:00:00"/>
    <m/>
    <s v="750D002"/>
    <s v="APE"/>
    <m/>
    <m/>
    <m/>
  </r>
  <r>
    <s v="De Jong Zuurmond"/>
    <x v="5"/>
    <n v="31117689"/>
    <n v="30"/>
    <s v="1HRL"/>
    <m/>
    <n v="22.93"/>
    <n v="22.9"/>
    <s v="1R-R"/>
    <n v="1"/>
    <n v="22.9"/>
    <n v="22.93"/>
    <x v="1"/>
    <m/>
    <d v="2021-09-08T00:00:00"/>
    <m/>
    <s v="750D002"/>
    <s v="APE"/>
    <m/>
    <m/>
    <m/>
  </r>
  <r>
    <s v="De Jong Zuurmond"/>
    <x v="5"/>
    <n v="31117689"/>
    <n v="30"/>
    <s v="1HRL"/>
    <m/>
    <n v="24"/>
    <n v="23.6"/>
    <s v="2R-L"/>
    <n v="1"/>
    <n v="23.6"/>
    <n v="24"/>
    <x v="1"/>
    <m/>
    <d v="2021-09-10T00:00:00"/>
    <m/>
    <s v="750D002"/>
    <s v="APE"/>
    <n v="411"/>
    <s v="160 °C"/>
    <m/>
  </r>
  <r>
    <s v="De Jong Zuurmond"/>
    <x v="5"/>
    <n v="31117689"/>
    <n v="30"/>
    <s v="1HRL"/>
    <m/>
    <n v="23.5"/>
    <n v="23"/>
    <s v="2R-L"/>
    <n v="1"/>
    <n v="23"/>
    <n v="23.5"/>
    <x v="1"/>
    <m/>
    <d v="2021-09-10T00:00:00"/>
    <m/>
    <s v="750D002"/>
    <s v="APE"/>
    <m/>
    <m/>
    <m/>
  </r>
  <r>
    <s v="De Jong Zuurmond"/>
    <x v="5"/>
    <n v="31117689"/>
    <n v="30"/>
    <s v="1HRL"/>
    <m/>
    <n v="22.93"/>
    <n v="22.9"/>
    <s v="2R-L"/>
    <n v="1"/>
    <n v="22.9"/>
    <n v="22.93"/>
    <x v="1"/>
    <m/>
    <d v="2021-09-10T00:00:00"/>
    <m/>
    <s v="750D002"/>
    <s v="APE"/>
    <m/>
    <m/>
    <m/>
  </r>
  <r>
    <s v="De Jong Zuurmond"/>
    <x v="5"/>
    <n v="31117689"/>
    <n v="30"/>
    <s v="1HRL"/>
    <m/>
    <n v="23.45"/>
    <n v="23.1"/>
    <s v="1U-L"/>
    <n v="1"/>
    <n v="23.1"/>
    <n v="23.45"/>
    <x v="1"/>
    <m/>
    <d v="2021-09-09T00:00:00"/>
    <m/>
    <s v="750D002"/>
    <s v="APE"/>
    <n v="255"/>
    <s v="151 °C"/>
    <m/>
  </r>
  <r>
    <s v="De Jong Zuurmond"/>
    <x v="5"/>
    <n v="31117689"/>
    <n v="30"/>
    <s v="1HRL"/>
    <m/>
    <n v="23.45"/>
    <n v="23.1"/>
    <s v="1V-L"/>
    <n v="1"/>
    <n v="23.1"/>
    <n v="23.45"/>
    <x v="1"/>
    <m/>
    <d v="2021-09-09T00:00:00"/>
    <m/>
    <s v="750D002"/>
    <s v="APE"/>
    <m/>
    <m/>
    <m/>
  </r>
  <r>
    <s v="De Jong Zuurmond"/>
    <x v="5"/>
    <n v="31117689"/>
    <n v="30"/>
    <s v="1HRR"/>
    <m/>
    <n v="8.52"/>
    <n v="9.1"/>
    <s v="2R-R"/>
    <n v="1"/>
    <n v="8.52"/>
    <n v="9.1"/>
    <x v="1"/>
    <m/>
    <d v="2021-09-25T00:00:00"/>
    <m/>
    <s v="750D002"/>
    <s v="APE"/>
    <n v="50"/>
    <s v="153 °C"/>
    <m/>
  </r>
  <r>
    <s v="De Jong Zuurmond"/>
    <x v="5"/>
    <n v="31117689"/>
    <n v="30"/>
    <s v="1HRR"/>
    <m/>
    <n v="8.52"/>
    <n v="9"/>
    <s v="1W-R"/>
    <n v="1"/>
    <n v="8.52"/>
    <n v="9"/>
    <x v="1"/>
    <m/>
    <d v="2021-09-17T00:00:00"/>
    <m/>
    <s v="750D002"/>
    <s v="APE"/>
    <n v="611"/>
    <s v="153 °C &amp; 152 °C"/>
    <m/>
  </r>
  <r>
    <s v="De Jong Zuurmond"/>
    <x v="5"/>
    <n v="31117689"/>
    <n v="30"/>
    <s v="1HRR"/>
    <m/>
    <n v="8.52"/>
    <n v="9.1"/>
    <s v="1V-R"/>
    <n v="1"/>
    <n v="8.52"/>
    <n v="9.1"/>
    <x v="1"/>
    <m/>
    <d v="2021-09-17T00:00:00"/>
    <m/>
    <s v="750D002"/>
    <s v="APE"/>
    <m/>
    <m/>
    <m/>
  </r>
  <r>
    <s v="De Jong Zuurmond"/>
    <x v="5"/>
    <n v="31117689"/>
    <n v="30"/>
    <s v="1HRR"/>
    <m/>
    <n v="14.8"/>
    <n v="15.58"/>
    <s v="2R-R"/>
    <n v="1"/>
    <n v="14.8"/>
    <n v="15.58"/>
    <x v="1"/>
    <m/>
    <d v="2021-09-15T00:00:00"/>
    <m/>
    <s v="750D002"/>
    <s v="APE"/>
    <n v="340"/>
    <s v="152 °C"/>
    <m/>
  </r>
  <r>
    <s v="De Jong Zuurmond"/>
    <x v="5"/>
    <n v="31117689"/>
    <n v="30"/>
    <s v="1HRR"/>
    <m/>
    <n v="18.989999999999998"/>
    <n v="19.100000000000001"/>
    <s v="1U-R"/>
    <n v="1"/>
    <n v="18.989999999999998"/>
    <n v="19.100000000000001"/>
    <x v="1"/>
    <m/>
    <d v="2021-09-14T00:00:00"/>
    <m/>
    <s v="750D002"/>
    <s v="APE"/>
    <n v="80"/>
    <s v="165 °C"/>
    <m/>
  </r>
  <r>
    <s v="De Jong Zuurmond"/>
    <x v="5"/>
    <n v="31117689"/>
    <n v="30"/>
    <s v="1HRR"/>
    <m/>
    <n v="18.989999999999998"/>
    <n v="19.100000000000001"/>
    <s v="1V-R"/>
    <n v="1"/>
    <n v="18.989999999999998"/>
    <n v="19.100000000000001"/>
    <x v="1"/>
    <m/>
    <d v="2021-09-14T00:00:00"/>
    <m/>
    <s v="750D002"/>
    <s v="APE"/>
    <m/>
    <m/>
    <m/>
  </r>
  <r>
    <s v="De Jong Zuurmond"/>
    <x v="5"/>
    <n v="31117689"/>
    <n v="30"/>
    <s v="0VW"/>
    <s v="a"/>
    <n v="19.27"/>
    <n v="19.614999999999998"/>
    <m/>
    <s v="ALLE"/>
    <n v="19.27"/>
    <n v="19.614999999999998"/>
    <x v="2"/>
    <m/>
    <d v="2021-09-14T00:00:00"/>
    <m/>
    <s v="450D000"/>
    <s v="APE"/>
    <n v="231"/>
    <s v="165 °C"/>
    <m/>
  </r>
  <r>
    <s v="De Jong Zuurmond"/>
    <x v="5"/>
    <n v="31117689"/>
    <n v="30"/>
    <s v="1HRR"/>
    <m/>
    <n v="19.53"/>
    <n v="19.829999999999998"/>
    <s v="2R-R"/>
    <n v="1"/>
    <n v="19.53"/>
    <n v="19.829999999999998"/>
    <x v="1"/>
    <m/>
    <d v="2021-09-22T00:00:00"/>
    <m/>
    <s v="750D002"/>
    <s v="APE"/>
    <n v="135"/>
    <s v="152 °C"/>
    <m/>
  </r>
  <r>
    <s v="De Jong Zuurmond"/>
    <x v="5"/>
    <n v="31117689"/>
    <n v="325"/>
    <s v="0VW"/>
    <s v="x"/>
    <n v="12.05"/>
    <n v="12.02"/>
    <s v="1R-L"/>
    <n v="1"/>
    <n v="12.02"/>
    <n v="12.05"/>
    <x v="2"/>
    <m/>
    <d v="2021-09-21T00:00:00"/>
    <m/>
    <s v="450D000"/>
    <s v="APN"/>
    <n v="35"/>
    <s v="152 °C"/>
    <m/>
  </r>
  <r>
    <s v="De Jong Zuurmond"/>
    <x v="5"/>
    <n v="31117689"/>
    <n v="325"/>
    <s v="0VW"/>
    <s v="x"/>
    <n v="11.98"/>
    <n v="11.952"/>
    <s v="1R-L"/>
    <n v="1"/>
    <n v="11.952"/>
    <n v="11.98"/>
    <x v="2"/>
    <m/>
    <d v="2021-09-21T00:00:00"/>
    <m/>
    <s v="450D000"/>
    <s v="APN"/>
    <m/>
    <m/>
    <m/>
  </r>
  <r>
    <s v="De Jong Zuurmond"/>
    <x v="5"/>
    <n v="31117689"/>
    <n v="325"/>
    <s v="0VW"/>
    <s v="y"/>
    <n v="12.01"/>
    <n v="12.03"/>
    <s v="1R-R"/>
    <n v="1"/>
    <n v="12.01"/>
    <n v="12.03"/>
    <x v="1"/>
    <m/>
    <d v="2021-09-21T00:00:00"/>
    <m/>
    <s v="750D002"/>
    <s v="APN"/>
    <n v="16"/>
    <s v="153 °C"/>
    <m/>
  </r>
  <r>
    <s v="De Jong Zuurmond"/>
    <x v="5"/>
    <n v="31117689"/>
    <n v="50"/>
    <s v="1HRL"/>
    <m/>
    <n v="164.1"/>
    <n v="163.69999999999999"/>
    <s v="3R-L"/>
    <n v="1"/>
    <n v="163.69999999999999"/>
    <n v="164.1"/>
    <x v="3"/>
    <m/>
    <d v="2021-09-28T00:00:00"/>
    <m/>
    <s v="750D000 &amp; 750D001"/>
    <s v="APN"/>
    <s v="144 &amp; 95"/>
    <s v="144 °C &amp; 165 °C"/>
    <m/>
  </r>
  <r>
    <s v="De Jong Zuurmond"/>
    <x v="5"/>
    <n v="31117689"/>
    <n v="50"/>
    <s v="1HRR"/>
    <m/>
    <n v="147.13"/>
    <n v="147.155"/>
    <m/>
    <s v="ALLE"/>
    <n v="147.13"/>
    <n v="147.155"/>
    <x v="9"/>
    <n v="51"/>
    <d v="2021-07-16T00:00:00"/>
    <m/>
    <s v="150D002_x000a_750D003"/>
    <s v="APN"/>
    <s v="50 &amp; 49"/>
    <s v="152 °C &amp; 150 °C"/>
    <m/>
  </r>
  <r>
    <s v="De Jong Zuurmond"/>
    <x v="5"/>
    <n v="31117689"/>
    <n v="50"/>
    <s v="0VW"/>
    <s v="m"/>
    <n v="152.16999999999999"/>
    <n v="152.18"/>
    <s v="1R-R"/>
    <n v="1"/>
    <n v="152.16999999999999"/>
    <n v="152.18"/>
    <x v="3"/>
    <m/>
    <d v="2021-04-23T00:00:00"/>
    <m/>
    <s v="750D000 &amp; 750D001"/>
    <s v="APN"/>
    <s v="115 &amp; 77"/>
    <s v="154 °C &amp; 159 °C"/>
    <m/>
  </r>
  <r>
    <s v="De Jong Zuurmond"/>
    <x v="5"/>
    <n v="31117689"/>
    <n v="50"/>
    <s v="0VW"/>
    <s v="m"/>
    <n v="152.13"/>
    <n v="152.4"/>
    <s v="2R-R"/>
    <n v="1"/>
    <n v="152.13"/>
    <n v="152.4"/>
    <x v="3"/>
    <m/>
    <d v="2021-04-23T00:00:00"/>
    <m/>
    <s v="750D000 &amp; 750D001"/>
    <s v="APN"/>
    <m/>
    <m/>
    <m/>
  </r>
  <r>
    <s v="De Jong Zuurmond"/>
    <x v="5"/>
    <n v="31117689"/>
    <n v="50"/>
    <s v="0VW"/>
    <s v="m"/>
    <n v="152.16999999999999"/>
    <n v="152.18"/>
    <s v="1V-R"/>
    <n v="1"/>
    <n v="152.16999999999999"/>
    <n v="152.18"/>
    <x v="3"/>
    <m/>
    <d v="2021-04-23T00:00:00"/>
    <m/>
    <s v="750D000 &amp; 750D001"/>
    <s v="APN"/>
    <m/>
    <m/>
    <m/>
  </r>
  <r>
    <s v="De Jong Zuurmond"/>
    <x v="5"/>
    <n v="31117689"/>
    <n v="50"/>
    <s v="1HRL"/>
    <m/>
    <n v="155.1"/>
    <n v="154.97999999999999"/>
    <m/>
    <s v="ALLE"/>
    <n v="154.97999999999999"/>
    <n v="155.1"/>
    <x v="3"/>
    <n v="51"/>
    <d v="2021-10-01T00:00:00"/>
    <m/>
    <s v="150D001 &amp; 750D004 &amp; 730D001"/>
    <s v="APN"/>
    <s v="381_x000a_282_x000a_169"/>
    <s v="165 °C/165 °C_x000a_165 °C/165 °C_x000a_165 °C/165 °C"/>
    <m/>
  </r>
  <r>
    <s v="De Jong Zuurmond"/>
    <x v="5"/>
    <n v="31117689"/>
    <n v="50"/>
    <s v="1HRL"/>
    <m/>
    <n v="154.88999999999999"/>
    <n v="154.80000000000001"/>
    <m/>
    <s v="ALLE"/>
    <n v="154.80000000000001"/>
    <n v="154.88999999999999"/>
    <x v="3"/>
    <n v="51"/>
    <d v="2021-10-01T00:00:00"/>
    <m/>
    <s v="150D001 &amp; 750D004 &amp; 730D001"/>
    <s v="APN"/>
    <m/>
    <m/>
    <m/>
  </r>
  <r>
    <s v="De Jong Zuurmond"/>
    <x v="5"/>
    <n v="31117689"/>
    <n v="50"/>
    <s v="1HRL"/>
    <m/>
    <n v="154.66999999999999"/>
    <n v="154.63999999999999"/>
    <m/>
    <s v="ALLE"/>
    <n v="154.63999999999999"/>
    <n v="154.66999999999999"/>
    <x v="3"/>
    <n v="51"/>
    <d v="2021-10-01T00:00:00"/>
    <m/>
    <s v="150D001 &amp; 750D004 &amp; 730D001"/>
    <s v="APN"/>
    <m/>
    <m/>
    <m/>
  </r>
  <r>
    <s v="De Jong Zuurmond"/>
    <x v="5"/>
    <n v="31117689"/>
    <n v="50"/>
    <s v="1HRR"/>
    <m/>
    <n v="162.81"/>
    <n v="162.88"/>
    <s v="1I-R"/>
    <n v="1"/>
    <n v="162.81"/>
    <n v="162.88"/>
    <x v="3"/>
    <m/>
    <d v="2021-09-29T00:00:00"/>
    <m/>
    <s v="750D004 &amp; 730D001"/>
    <s v="APN"/>
    <s v="55_x000a_34"/>
    <s v="165 °C_x000a_165 °C"/>
    <m/>
  </r>
  <r>
    <s v="De Jong Zuurmond"/>
    <x v="5"/>
    <n v="31117689"/>
    <n v="50"/>
    <s v="1HRR"/>
    <m/>
    <n v="162.81"/>
    <n v="162.88"/>
    <s v="1V-R"/>
    <n v="1"/>
    <n v="162.81"/>
    <n v="162.88"/>
    <x v="3"/>
    <m/>
    <d v="2021-09-29T00:00:00"/>
    <m/>
    <s v="750D004 &amp; 730D001"/>
    <s v="APN"/>
    <m/>
    <m/>
    <m/>
  </r>
  <r>
    <s v="De Jong Zuurmond"/>
    <x v="5"/>
    <n v="31117689"/>
    <n v="12"/>
    <s v="1HRR"/>
    <m/>
    <n v="134.79"/>
    <n v="134.94"/>
    <m/>
    <s v="ALLE"/>
    <n v="134.79"/>
    <n v="134.94"/>
    <x v="1"/>
    <m/>
    <d v="2021-11-26T00:00:00"/>
    <m/>
    <s v="750D002"/>
    <s v="APN"/>
    <n v="304"/>
    <s v="165 °C"/>
    <m/>
  </r>
  <r>
    <s v="De Jong Zuurmond"/>
    <x v="5"/>
    <n v="31117689"/>
    <n v="12"/>
    <s v="1HRR"/>
    <m/>
    <n v="126.28"/>
    <n v="126.33"/>
    <s v="1R-R"/>
    <n v="1"/>
    <n v="126.28"/>
    <n v="126.33"/>
    <x v="1"/>
    <m/>
    <d v="2022-01-14T00:00:00"/>
    <m/>
    <s v="750D002"/>
    <s v="APN"/>
    <n v="123"/>
    <s v="157 °C"/>
    <m/>
  </r>
  <r>
    <s v="De Jong Zuurmond"/>
    <x v="5"/>
    <n v="31117689"/>
    <n v="12"/>
    <s v="1HRR"/>
    <m/>
    <n v="126.44"/>
    <n v="126.46"/>
    <s v="1R-R"/>
    <n v="1"/>
    <n v="126.44"/>
    <n v="126.46"/>
    <x v="1"/>
    <m/>
    <d v="2022-01-14T00:00:00"/>
    <m/>
    <s v="750D002"/>
    <s v="APN"/>
    <m/>
    <m/>
    <m/>
  </r>
  <r>
    <s v="De Jong Zuurmond"/>
    <x v="5"/>
    <n v="31117689"/>
    <n v="12"/>
    <s v="1HRR"/>
    <m/>
    <n v="126.35"/>
    <n v="126.45"/>
    <s v="1U-R"/>
    <n v="1"/>
    <n v="126.35"/>
    <n v="126.45"/>
    <x v="1"/>
    <m/>
    <d v="2022-01-14T00:00:00"/>
    <m/>
    <s v="750D002"/>
    <s v="APN"/>
    <m/>
    <m/>
    <m/>
  </r>
  <r>
    <s v="De Jong Zuurmond"/>
    <x v="5"/>
    <n v="31117689"/>
    <n v="12"/>
    <s v="1HRR"/>
    <m/>
    <n v="126.5"/>
    <n v="126.56"/>
    <s v="2U-R"/>
    <n v="1"/>
    <n v="126.5"/>
    <n v="126.56"/>
    <x v="1"/>
    <m/>
    <d v="2022-01-14T00:00:00"/>
    <m/>
    <s v="750D002"/>
    <s v="APN"/>
    <m/>
    <m/>
    <m/>
  </r>
  <r>
    <s v="De Jong Zuurmond"/>
    <x v="5"/>
    <n v="31117689"/>
    <n v="50"/>
    <s v="1HRR"/>
    <m/>
    <n v="154.80000000000001"/>
    <n v="154.97999999999999"/>
    <s v="2R-R"/>
    <n v="1"/>
    <n v="154.80000000000001"/>
    <n v="154.97999999999999"/>
    <x v="3"/>
    <m/>
    <d v="2021-06-24T00:00:00"/>
    <m/>
    <s v="750D004 &amp; 730D001"/>
    <s v="APN"/>
    <s v="32_x000a_99"/>
    <s v="165 °C_x000a_165 °C"/>
    <m/>
  </r>
  <r>
    <s v="De Jong Zuurmond"/>
    <x v="5"/>
    <n v="31117689"/>
    <n v="50"/>
    <s v="1HRR"/>
    <m/>
    <n v="155.12"/>
    <n v="155.15"/>
    <m/>
    <s v="ALLE"/>
    <n v="155.12"/>
    <n v="155.15"/>
    <x v="3"/>
    <m/>
    <d v="2021-06-24T00:00:00"/>
    <m/>
    <s v="750D004 &amp; 730D001"/>
    <s v="APN"/>
    <m/>
    <m/>
    <m/>
  </r>
  <r>
    <s v="De Jong Zuurmond"/>
    <x v="5"/>
    <n v="31117689"/>
    <n v="50"/>
    <s v="1HRR"/>
    <m/>
    <n v="155.15"/>
    <n v="155.22"/>
    <s v="2R-R"/>
    <n v="1"/>
    <n v="155.15"/>
    <n v="155.22"/>
    <x v="3"/>
    <m/>
    <d v="2021-06-24T00:00:00"/>
    <m/>
    <s v="750D004 &amp; 730D001"/>
    <s v="APN"/>
    <m/>
    <m/>
    <m/>
  </r>
  <r>
    <s v="De Jong Zuurmond"/>
    <x v="5"/>
    <n v="31117689"/>
    <n v="50"/>
    <s v="1HRR"/>
    <m/>
    <n v="155.44999999999999"/>
    <n v="155.77000000000001"/>
    <s v="2R-R"/>
    <n v="1"/>
    <n v="155.44999999999999"/>
    <n v="155.77000000000001"/>
    <x v="3"/>
    <m/>
    <d v="2021-06-25T00:00:00"/>
    <m/>
    <s v="750D004 &amp; 730D001"/>
    <s v="APN"/>
    <s v="170_x000a_221"/>
    <s v="165 °C_x000a_165 °C"/>
    <m/>
  </r>
  <r>
    <s v="De Jong Zuurmond"/>
    <x v="5"/>
    <n v="31117689"/>
    <n v="50"/>
    <s v="1HRR"/>
    <m/>
    <n v="155.85"/>
    <n v="156"/>
    <s v="2R-R"/>
    <n v="1"/>
    <n v="155.85"/>
    <n v="156"/>
    <x v="3"/>
    <m/>
    <d v="2021-06-25T00:00:00"/>
    <m/>
    <s v="750D004 &amp; 730D001"/>
    <s v="APN"/>
    <m/>
    <m/>
    <m/>
  </r>
  <r>
    <s v="De Jong Zuurmond"/>
    <x v="5"/>
    <n v="31117689"/>
    <n v="50"/>
    <s v="1HRR"/>
    <m/>
    <n v="155.9"/>
    <n v="155.965"/>
    <s v="2I-R"/>
    <n v="1"/>
    <n v="155.9"/>
    <n v="155.965"/>
    <x v="3"/>
    <m/>
    <d v="2021-06-25T00:00:00"/>
    <m/>
    <s v="750D004 &amp; 730D001"/>
    <s v="APN"/>
    <m/>
    <m/>
    <m/>
  </r>
  <r>
    <s v="De Jong Zuurmond"/>
    <x v="5"/>
    <n v="31117689"/>
    <n v="50"/>
    <s v="1HRR"/>
    <m/>
    <n v="161.15"/>
    <n v="161.19"/>
    <s v="1R-R"/>
    <n v="1"/>
    <n v="161.15"/>
    <n v="161.19"/>
    <x v="3"/>
    <m/>
    <s v="17/18-2021"/>
    <m/>
    <s v="750D004 &amp; 730D001"/>
    <s v="APN"/>
    <s v="604_x000a_337"/>
    <s v="145 °C/165 °C_x000a_145 °C/165 °C"/>
    <m/>
  </r>
  <r>
    <s v="De Jong Zuurmond"/>
    <x v="5"/>
    <n v="31117689"/>
    <n v="50"/>
    <s v="1HRR"/>
    <m/>
    <n v="161.46"/>
    <n v="161.47999999999999"/>
    <s v="1R-R"/>
    <n v="1"/>
    <n v="161.46"/>
    <n v="161.47999999999999"/>
    <x v="3"/>
    <m/>
    <s v="17/18-2021"/>
    <m/>
    <s v="750D004 &amp; 730D001"/>
    <s v="APN"/>
    <m/>
    <m/>
    <m/>
  </r>
  <r>
    <s v="De Jong Zuurmond"/>
    <x v="5"/>
    <n v="31117689"/>
    <n v="50"/>
    <s v="1HRR"/>
    <m/>
    <n v="161.1"/>
    <n v="161.61000000000001"/>
    <s v="1R-R"/>
    <n v="1"/>
    <n v="161.1"/>
    <n v="161.61000000000001"/>
    <x v="3"/>
    <m/>
    <s v="17/18-2021"/>
    <m/>
    <s v="750D004 &amp; 730D001"/>
    <s v="APN"/>
    <m/>
    <m/>
    <m/>
  </r>
  <r>
    <s v="De Jong Zuurmond"/>
    <x v="5"/>
    <n v="31117689"/>
    <n v="50"/>
    <s v="1HRR"/>
    <m/>
    <n v="160.815"/>
    <n v="161.80000000000001"/>
    <s v="3R-R"/>
    <n v="1"/>
    <n v="160.815"/>
    <n v="161.80000000000001"/>
    <x v="3"/>
    <m/>
    <s v="17/18-2021"/>
    <m/>
    <s v="750D004 &amp; 730D001"/>
    <s v="APN"/>
    <m/>
    <m/>
    <m/>
  </r>
  <r>
    <s v="De Jong Zuurmond"/>
    <x v="5"/>
    <n v="31117689"/>
    <n v="12"/>
    <s v="1HRL"/>
    <m/>
    <n v="143.6"/>
    <n v="143.4"/>
    <s v="2R-L"/>
    <n v="1"/>
    <n v="143.4"/>
    <n v="143.6"/>
    <x v="1"/>
    <m/>
    <d v="2021-11-23T00:00:00"/>
    <m/>
    <s v="750D002"/>
    <s v="APN"/>
    <n v="85"/>
    <s v="165 °C"/>
    <m/>
  </r>
  <r>
    <s v="De Jong Zuurmond"/>
    <x v="5"/>
    <n v="31117689"/>
    <n v="12"/>
    <s v="1HRL"/>
    <m/>
    <n v="144.9"/>
    <n v="144.80000000000001"/>
    <s v="1R-L"/>
    <n v="1"/>
    <n v="144.80000000000001"/>
    <n v="144.9"/>
    <x v="1"/>
    <m/>
    <d v="2021-11-23T00:00:00"/>
    <m/>
    <s v="750D002"/>
    <s v="APN"/>
    <n v="52"/>
    <s v="155 °C"/>
    <m/>
  </r>
  <r>
    <s v="De Jong Zuurmond"/>
    <x v="5"/>
    <n v="31117689"/>
    <n v="12"/>
    <s v="1HRR"/>
    <m/>
    <n v="120.3"/>
    <n v="120.76"/>
    <s v="3R-R"/>
    <n v="1"/>
    <n v="120.3"/>
    <n v="120.76"/>
    <x v="1"/>
    <m/>
    <d v="2021-12-15T00:00:00"/>
    <m/>
    <s v="750D002"/>
    <s v="APN"/>
    <n v="212"/>
    <s v="154 °C"/>
    <m/>
  </r>
  <r>
    <s v="De Jong Zuurmond"/>
    <x v="5"/>
    <n v="31117689"/>
    <n v="12"/>
    <s v="1HRR"/>
    <m/>
    <n v="143.75"/>
    <n v="145.13999999999999"/>
    <s v="2R-R"/>
    <n v="1"/>
    <n v="143.75"/>
    <n v="145.13999999999999"/>
    <x v="1"/>
    <m/>
    <d v="2021-12-01T00:00:00"/>
    <m/>
    <s v="750D002"/>
    <s v="APN"/>
    <n v="1047"/>
    <s v="156 °C/153 °C"/>
    <m/>
  </r>
  <r>
    <s v="De Jong Zuurmond"/>
    <x v="5"/>
    <n v="31117689"/>
    <n v="12"/>
    <s v="1HRR"/>
    <m/>
    <n v="145.19"/>
    <n v="146.9"/>
    <s v="2R-R"/>
    <n v="1"/>
    <n v="145.19"/>
    <n v="146.9"/>
    <x v="1"/>
    <m/>
    <d v="2021-12-02T00:00:00"/>
    <m/>
    <s v="750D002"/>
    <s v="APN"/>
    <n v="434"/>
    <s v="153 °C"/>
    <m/>
  </r>
  <r>
    <s v="De Jong Zuurmond"/>
    <x v="5"/>
    <n v="31117689"/>
    <n v="12"/>
    <s v="0VW"/>
    <s v="g"/>
    <n v="147.13"/>
    <n v="147.19999999999999"/>
    <m/>
    <s v="ALLE"/>
    <n v="147.13"/>
    <n v="147.19999999999999"/>
    <x v="1"/>
    <m/>
    <d v="2021-12-03T00:00:00"/>
    <m/>
    <s v="750D002"/>
    <s v="APN"/>
    <n v="31"/>
    <s v="155 °C"/>
    <m/>
  </r>
  <r>
    <s v="De Jong Zuurmond"/>
    <x v="5"/>
    <n v="31117689"/>
    <n v="12"/>
    <s v="0VW"/>
    <s v="g"/>
    <n v="147.19999999999999"/>
    <n v="147.83000000000001"/>
    <m/>
    <s v="ALLE"/>
    <n v="147.19999999999999"/>
    <n v="147.83000000000001"/>
    <x v="2"/>
    <m/>
    <d v="2021-12-03T00:00:00"/>
    <m/>
    <s v="450D000"/>
    <s v="APN"/>
    <n v="488"/>
    <s v="152 °C"/>
    <m/>
  </r>
  <r>
    <s v="De Jong Zuurmond"/>
    <x v="5"/>
    <n v="31117689"/>
    <n v="18"/>
    <s v="1HRR"/>
    <m/>
    <n v="189.1"/>
    <n v="189.15"/>
    <m/>
    <s v="ALLE"/>
    <n v="189.1"/>
    <n v="189.15"/>
    <x v="1"/>
    <m/>
    <d v="2021-12-03T00:00:00"/>
    <m/>
    <s v="750D002"/>
    <s v="APN"/>
    <m/>
    <m/>
    <s v="Samen met regel 3 van dit WP"/>
  </r>
  <r>
    <s v="De Jong Zuurmond"/>
    <x v="5"/>
    <n v="31117689"/>
    <n v="12"/>
    <s v="0VW"/>
    <s v="a"/>
    <n v="142.5"/>
    <n v="142.6"/>
    <s v="1R-R"/>
    <n v="1"/>
    <n v="142.5"/>
    <n v="142.6"/>
    <x v="7"/>
    <m/>
    <d v="2021-09-23T00:00:00"/>
    <m/>
    <m/>
    <s v="n.v.t."/>
    <s v="n.v.t."/>
    <m/>
    <m/>
  </r>
  <r>
    <s v="De Jong Zuurmond"/>
    <x v="5"/>
    <n v="31117689"/>
    <n v="15"/>
    <s v="1HRL"/>
    <m/>
    <n v="159.9"/>
    <n v="159.80000000000001"/>
    <s v="2R-L"/>
    <n v="1"/>
    <n v="159.80000000000001"/>
    <n v="159.9"/>
    <x v="7"/>
    <m/>
    <d v="2021-09-23T00:00:00"/>
    <m/>
    <m/>
    <s v="n.v.t."/>
    <s v="n.v.t."/>
    <m/>
    <m/>
  </r>
  <r>
    <s v="De Jong Zuurmond"/>
    <x v="5"/>
    <n v="31117689"/>
    <n v="15"/>
    <s v="1HRL"/>
    <m/>
    <n v="161.30000000000001"/>
    <n v="161.19999999999999"/>
    <s v="2R-L"/>
    <n v="1"/>
    <n v="161.19999999999999"/>
    <n v="161.30000000000001"/>
    <x v="7"/>
    <m/>
    <d v="2021-09-23T00:00:00"/>
    <m/>
    <m/>
    <s v="n.v.t."/>
    <s v="n.v.t."/>
    <m/>
    <m/>
  </r>
  <r>
    <s v="De Jong Zuurmond"/>
    <x v="5"/>
    <n v="31117689"/>
    <n v="15"/>
    <s v="1HRR"/>
    <m/>
    <n v="159.5"/>
    <n v="159.6"/>
    <s v="2R-R"/>
    <n v="1"/>
    <n v="159.5"/>
    <n v="159.6"/>
    <x v="7"/>
    <m/>
    <d v="2021-09-23T00:00:00"/>
    <m/>
    <m/>
    <s v="n.v.t."/>
    <s v="n.v.t."/>
    <m/>
    <m/>
  </r>
  <r>
    <s v="De Jong Zuurmond"/>
    <x v="5"/>
    <n v="31117689"/>
    <n v="30"/>
    <s v="1HRL"/>
    <m/>
    <n v="13.6"/>
    <n v="13.35"/>
    <s v="2R-L"/>
    <n v="1"/>
    <n v="13.35"/>
    <n v="13.6"/>
    <x v="1"/>
    <m/>
    <d v="2021-11-17T00:00:00"/>
    <m/>
    <s v="750D002"/>
    <s v="APE"/>
    <n v="110"/>
    <s v="140 °C"/>
    <m/>
  </r>
  <r>
    <s v="De Jong Zuurmond"/>
    <x v="5"/>
    <n v="31117689"/>
    <n v="30"/>
    <s v="1HRR"/>
    <m/>
    <n v="18.7"/>
    <n v="19.399999999999999"/>
    <s v="1R-R"/>
    <n v="1"/>
    <n v="18.7"/>
    <n v="19.399999999999999"/>
    <x v="1"/>
    <m/>
    <d v="2021-10-08T00:00:00"/>
    <m/>
    <s v="750D002"/>
    <s v="APE"/>
    <n v="201"/>
    <s v="149 °C"/>
    <m/>
  </r>
  <r>
    <s v="De Jong Zuurmond"/>
    <x v="5"/>
    <n v="31117689"/>
    <n v="50"/>
    <s v="1HRL"/>
    <m/>
    <n v="182"/>
    <n v="181.8"/>
    <s v="2R-L"/>
    <n v="1"/>
    <n v="181.8"/>
    <n v="182"/>
    <x v="1"/>
    <m/>
    <d v="2021-12-08T00:00:00"/>
    <m/>
    <s v="750D002"/>
    <s v="APE"/>
    <n v="81"/>
    <s v="151 °C"/>
    <m/>
  </r>
  <r>
    <s v="De Jong Zuurmond"/>
    <x v="5"/>
    <n v="31117689"/>
    <n v="50"/>
    <s v="1HRL"/>
    <m/>
    <n v="183.82"/>
    <n v="183.65"/>
    <s v="2R-L"/>
    <n v="1"/>
    <n v="183.65"/>
    <n v="183.82"/>
    <x v="1"/>
    <m/>
    <d v="2021-12-08T00:00:00"/>
    <m/>
    <s v="750D002"/>
    <s v="APE"/>
    <n v="70"/>
    <s v="151 °C"/>
    <m/>
  </r>
  <r>
    <s v="De Jong Zuurmond"/>
    <x v="5"/>
    <n v="31117689"/>
    <n v="50"/>
    <s v="1HRR"/>
    <m/>
    <n v="187.9"/>
    <n v="188.1"/>
    <s v="1R-R"/>
    <n v="1"/>
    <n v="187.9"/>
    <n v="188.1"/>
    <x v="1"/>
    <m/>
    <d v="2021-11-17T00:00:00"/>
    <m/>
    <s v="750D002"/>
    <s v="APE"/>
    <n v="90"/>
    <s v="156 °C"/>
    <m/>
  </r>
  <r>
    <s v="De Jong Zuurmond"/>
    <x v="5"/>
    <n v="31117689"/>
    <n v="15"/>
    <s v="1HRL"/>
    <m/>
    <n v="148.51499999999999"/>
    <n v="147.80000000000001"/>
    <s v="2R-L"/>
    <n v="1"/>
    <n v="147.80000000000001"/>
    <n v="148.51499999999999"/>
    <x v="1"/>
    <m/>
    <d v="2021-09-24T00:00:00"/>
    <m/>
    <s v="750D002"/>
    <s v="APN"/>
    <n v="297"/>
    <s v="154 °C"/>
    <m/>
  </r>
  <r>
    <s v="De Jong Zuurmond"/>
    <x v="5"/>
    <n v="31117689"/>
    <n v="30"/>
    <s v="1HRR"/>
    <m/>
    <n v="11.75"/>
    <n v="12.05"/>
    <s v="1U-R"/>
    <n v="1"/>
    <n v="11.75"/>
    <n v="12.05"/>
    <x v="1"/>
    <m/>
    <d v="2021-12-09T00:00:00"/>
    <m/>
    <s v="750D002"/>
    <s v="APE"/>
    <n v="301"/>
    <s v="152 °C"/>
    <m/>
  </r>
  <r>
    <s v="De Jong Zuurmond"/>
    <x v="5"/>
    <n v="31117689"/>
    <n v="30"/>
    <s v="1HRR"/>
    <m/>
    <n v="12.65"/>
    <n v="12.98"/>
    <s v="1I-R"/>
    <n v="1"/>
    <n v="12.65"/>
    <n v="12.98"/>
    <x v="1"/>
    <m/>
    <d v="2021-12-09T00:00:00"/>
    <m/>
    <s v="750D002"/>
    <s v="APE"/>
    <m/>
    <m/>
    <m/>
  </r>
  <r>
    <s v="De Jong Zuurmond"/>
    <x v="5"/>
    <n v="31117689"/>
    <n v="73"/>
    <s v="1HRR"/>
    <m/>
    <n v="103.6"/>
    <n v="103.8"/>
    <s v="2R-R"/>
    <n v="1"/>
    <n v="103.6"/>
    <n v="103.8"/>
    <x v="1"/>
    <m/>
    <d v="2021-09-24T00:00:00"/>
    <m/>
    <s v="750D004 &amp; 730D001"/>
    <s v="APN"/>
    <s v="76_x000a_59"/>
    <s v="160 °C"/>
    <m/>
  </r>
  <r>
    <s v="De Jong Zuurmond"/>
    <x v="5"/>
    <n v="31117689"/>
    <n v="73"/>
    <s v="1HRR"/>
    <m/>
    <n v="104.95"/>
    <n v="110.58"/>
    <s v="1I-R"/>
    <n v="1"/>
    <n v="104.95"/>
    <n v="110.58"/>
    <x v="1"/>
    <m/>
    <d v="2021-12-10T00:00:00"/>
    <m/>
    <s v="750D002"/>
    <s v="APN"/>
    <n v="688"/>
    <s v="156 °C"/>
    <m/>
  </r>
  <r>
    <s v="De Jong Zuurmond"/>
    <x v="5"/>
    <n v="31117689"/>
    <n v="73"/>
    <s v="1HRR"/>
    <m/>
    <n v="104.95"/>
    <n v="110.3"/>
    <s v="2I-R"/>
    <n v="1"/>
    <n v="104.95"/>
    <n v="110.3"/>
    <x v="1"/>
    <m/>
    <d v="2021-12-10T00:00:00"/>
    <m/>
    <s v="750D002"/>
    <s v="APN"/>
    <m/>
    <m/>
    <m/>
  </r>
  <r>
    <s v="De Jong Zuurmond"/>
    <x v="5"/>
    <n v="31117689"/>
    <n v="73"/>
    <s v="1HRR"/>
    <m/>
    <n v="110"/>
    <n v="110.58"/>
    <s v="2R-R"/>
    <n v="1"/>
    <n v="110"/>
    <n v="110.58"/>
    <x v="1"/>
    <m/>
    <d v="2021-12-10T00:00:00"/>
    <m/>
    <s v="750D002"/>
    <s v="APN"/>
    <m/>
    <m/>
    <m/>
  </r>
  <r>
    <s v="De Jong Zuurmond"/>
    <x v="5"/>
    <n v="31117689"/>
    <n v="73"/>
    <s v="1HRR"/>
    <m/>
    <n v="111.13"/>
    <n v="111.48"/>
    <s v="1U-R"/>
    <n v="1"/>
    <n v="111.13"/>
    <n v="111.48"/>
    <x v="1"/>
    <m/>
    <d v="2021-12-10T00:00:00"/>
    <m/>
    <s v="750D002"/>
    <s v="APN"/>
    <m/>
    <m/>
    <m/>
  </r>
  <r>
    <s v="De Jong Zuurmond"/>
    <x v="5"/>
    <n v="31117689"/>
    <n v="12"/>
    <s v="1HRL"/>
    <m/>
    <n v="142.51"/>
    <n v="140.19999999999999"/>
    <s v="1R-L"/>
    <n v="1"/>
    <n v="140.19999999999999"/>
    <n v="142.51"/>
    <x v="1"/>
    <m/>
    <d v="2021-12-17T00:00:00"/>
    <m/>
    <s v="750D002"/>
    <s v="APN"/>
    <n v="626"/>
    <s v="159 °C"/>
    <m/>
  </r>
  <r>
    <s v="De Jong Zuurmond"/>
    <x v="5"/>
    <n v="31117689"/>
    <n v="12"/>
    <s v="1HRL"/>
    <m/>
    <n v="142.51"/>
    <n v="141.745"/>
    <s v="2R-L"/>
    <n v="1"/>
    <n v="141.745"/>
    <n v="142.51"/>
    <x v="1"/>
    <m/>
    <d v="2021-12-16T00:00:00"/>
    <m/>
    <s v="750D002"/>
    <s v="APN"/>
    <n v="732"/>
    <s v="158 °C"/>
    <m/>
  </r>
  <r>
    <s v="Mourik"/>
    <x v="6"/>
    <m/>
    <n v="4"/>
    <s v="1HRL"/>
    <m/>
    <n v="230.1"/>
    <n v="230.2"/>
    <s v="2R-L"/>
    <m/>
    <n v="230.1"/>
    <n v="230.2"/>
    <x v="1"/>
    <m/>
    <d v="2021-05-06T00:00:00"/>
    <m/>
    <m/>
    <m/>
    <m/>
    <m/>
    <m/>
  </r>
  <r>
    <s v="Mourik"/>
    <x v="6"/>
    <m/>
    <n v="4"/>
    <s v="1HRL"/>
    <m/>
    <n v="101.2"/>
    <n v="101.3"/>
    <s v="1I-L"/>
    <m/>
    <n v="101.2"/>
    <n v="101.3"/>
    <x v="1"/>
    <m/>
    <d v="2021-09-20T00:00:00"/>
    <m/>
    <m/>
    <m/>
    <m/>
    <m/>
    <m/>
  </r>
  <r>
    <s v="Mourik"/>
    <x v="6"/>
    <m/>
    <n v="4"/>
    <s v="1HRL"/>
    <m/>
    <n v="101.2"/>
    <n v="101.3"/>
    <s v="2R-L"/>
    <m/>
    <n v="101.2"/>
    <n v="101.3"/>
    <x v="1"/>
    <m/>
    <d v="2021-09-20T00:00:00"/>
    <m/>
    <m/>
    <m/>
    <m/>
    <m/>
    <m/>
  </r>
  <r>
    <s v="Mourik"/>
    <x v="6"/>
    <m/>
    <n v="4"/>
    <s v="1HRL"/>
    <m/>
    <n v="213.9"/>
    <n v="213.9"/>
    <s v="1V-L"/>
    <m/>
    <n v="213.9"/>
    <n v="213.9"/>
    <x v="6"/>
    <m/>
    <d v="2021-08-31T00:00:00"/>
    <m/>
    <m/>
    <m/>
    <m/>
    <m/>
    <m/>
  </r>
  <r>
    <s v="Mourik"/>
    <x v="6"/>
    <m/>
    <n v="4"/>
    <s v="1HRL"/>
    <m/>
    <n v="229.9"/>
    <n v="230.1"/>
    <s v="2R-L"/>
    <m/>
    <n v="229.9"/>
    <n v="230.1"/>
    <x v="1"/>
    <m/>
    <d v="2021-05-06T00:00:00"/>
    <m/>
    <m/>
    <m/>
    <m/>
    <m/>
    <m/>
  </r>
  <r>
    <s v="Boskalis"/>
    <x v="6"/>
    <m/>
    <n v="4"/>
    <s v="1HRL"/>
    <m/>
    <n v="234.8"/>
    <n v="236.2"/>
    <m/>
    <s v="ALLE"/>
    <n v="234.8"/>
    <n v="236.2"/>
    <x v="16"/>
    <m/>
    <d v="1905-07-13T00:00:00"/>
    <m/>
    <m/>
    <m/>
    <m/>
    <m/>
    <m/>
  </r>
  <r>
    <s v="Boskalis"/>
    <x v="6"/>
    <m/>
    <n v="4"/>
    <s v="1HRL"/>
    <m/>
    <n v="236.2"/>
    <n v="236.8"/>
    <m/>
    <s v="ALLE"/>
    <n v="236.2"/>
    <n v="236.8"/>
    <x v="3"/>
    <m/>
    <d v="1905-07-13T00:00:00"/>
    <m/>
    <m/>
    <m/>
    <m/>
    <m/>
    <m/>
  </r>
  <r>
    <s v="Mourik"/>
    <x v="6"/>
    <m/>
    <n v="4"/>
    <s v="1HRL"/>
    <m/>
    <n v="237.72"/>
    <n v="238.73"/>
    <s v="1V-L"/>
    <m/>
    <n v="237.72"/>
    <n v="238.73"/>
    <x v="17"/>
    <m/>
    <d v="2021-06-04T00:00:00"/>
    <m/>
    <m/>
    <m/>
    <m/>
    <m/>
    <m/>
  </r>
  <r>
    <s v="Mourik"/>
    <x v="6"/>
    <m/>
    <n v="4"/>
    <s v="1HRL"/>
    <m/>
    <n v="238.5"/>
    <n v="238.82"/>
    <s v="2R-L"/>
    <m/>
    <n v="238.5"/>
    <n v="238.82"/>
    <x v="17"/>
    <m/>
    <d v="2021-06-04T00:00:00"/>
    <m/>
    <m/>
    <m/>
    <m/>
    <m/>
    <m/>
  </r>
  <r>
    <s v="Mourik"/>
    <x v="6"/>
    <m/>
    <n v="4"/>
    <s v="1HRR"/>
    <m/>
    <n v="237"/>
    <n v="237.1"/>
    <s v="1R-R"/>
    <m/>
    <n v="237"/>
    <n v="237.1"/>
    <x v="17"/>
    <m/>
    <d v="2021-07-20T00:00:00"/>
    <m/>
    <m/>
    <m/>
    <m/>
    <m/>
    <m/>
  </r>
  <r>
    <s v="Mourik"/>
    <x v="6"/>
    <m/>
    <n v="4"/>
    <s v="1HRR"/>
    <m/>
    <n v="237.1"/>
    <n v="237.1"/>
    <s v="1V-R"/>
    <m/>
    <n v="237.1"/>
    <n v="237.1"/>
    <x v="6"/>
    <m/>
    <d v="2021-08-31T00:00:00"/>
    <m/>
    <m/>
    <m/>
    <m/>
    <m/>
    <m/>
  </r>
  <r>
    <s v="Mourik"/>
    <x v="6"/>
    <m/>
    <n v="4"/>
    <s v="1HRR"/>
    <m/>
    <n v="237.3"/>
    <n v="237.4"/>
    <s v="1R-R"/>
    <m/>
    <n v="237.3"/>
    <n v="237.4"/>
    <x v="17"/>
    <m/>
    <d v="2021-07-20T00:00:00"/>
    <m/>
    <m/>
    <m/>
    <m/>
    <m/>
    <m/>
  </r>
  <r>
    <s v="Mourik"/>
    <x v="6"/>
    <m/>
    <n v="4"/>
    <s v="1HRR"/>
    <m/>
    <n v="237.9"/>
    <n v="238.4"/>
    <s v="1R-R"/>
    <m/>
    <n v="237.9"/>
    <n v="238.4"/>
    <x v="17"/>
    <m/>
    <d v="2021-07-20T00:00:00"/>
    <m/>
    <m/>
    <m/>
    <m/>
    <m/>
    <m/>
  </r>
  <r>
    <s v="Mourik"/>
    <x v="6"/>
    <m/>
    <n v="4"/>
    <s v="1HRR"/>
    <m/>
    <n v="238.9"/>
    <n v="239.3"/>
    <s v="1R-R"/>
    <m/>
    <n v="238.9"/>
    <n v="239.3"/>
    <x v="17"/>
    <m/>
    <d v="2021-07-21T00:00:00"/>
    <m/>
    <m/>
    <m/>
    <m/>
    <m/>
    <m/>
  </r>
  <r>
    <s v="Mourik"/>
    <x v="6"/>
    <m/>
    <n v="4"/>
    <s v="1HRR"/>
    <m/>
    <n v="239.5"/>
    <n v="239.7"/>
    <s v="1R-R"/>
    <m/>
    <n v="239.5"/>
    <n v="239.7"/>
    <x v="17"/>
    <m/>
    <d v="2021-07-21T00:00:00"/>
    <m/>
    <m/>
    <m/>
    <m/>
    <m/>
    <m/>
  </r>
  <r>
    <s v="Boskalis"/>
    <x v="6"/>
    <m/>
    <n v="4"/>
    <s v="1HRL"/>
    <m/>
    <n v="242.9"/>
    <s v="243,5/118,8"/>
    <m/>
    <s v="ALLE"/>
    <n v="242.9"/>
    <n v="242.9"/>
    <x v="3"/>
    <m/>
    <d v="1905-07-13T00:00:00"/>
    <m/>
    <m/>
    <m/>
    <m/>
    <m/>
    <m/>
  </r>
  <r>
    <s v="Boskalis"/>
    <x v="6"/>
    <m/>
    <n v="4"/>
    <s v="1HRL"/>
    <m/>
    <n v="244.2"/>
    <n v="244.7"/>
    <m/>
    <s v="ALLE"/>
    <n v="244.2"/>
    <n v="244.7"/>
    <x v="3"/>
    <m/>
    <d v="1905-07-13T00:00:00"/>
    <m/>
    <m/>
    <m/>
    <m/>
    <m/>
    <m/>
  </r>
  <r>
    <s v="Boskalis"/>
    <x v="6"/>
    <m/>
    <n v="4"/>
    <s v="1HRL"/>
    <m/>
    <n v="244.7"/>
    <n v="245.2"/>
    <m/>
    <s v="ALLE"/>
    <n v="244.7"/>
    <n v="245.2"/>
    <x v="9"/>
    <m/>
    <d v="1905-07-13T00:00:00"/>
    <m/>
    <m/>
    <m/>
    <m/>
    <m/>
    <m/>
  </r>
  <r>
    <s v="Boskalis"/>
    <x v="6"/>
    <m/>
    <n v="4"/>
    <s v="1HRL"/>
    <m/>
    <n v="245.2"/>
    <n v="246.8"/>
    <m/>
    <s v="ALLE"/>
    <n v="245.2"/>
    <n v="246.8"/>
    <x v="3"/>
    <m/>
    <d v="1905-07-13T00:00:00"/>
    <m/>
    <m/>
    <m/>
    <m/>
    <m/>
    <m/>
  </r>
  <r>
    <s v="Boskalis"/>
    <x v="6"/>
    <m/>
    <n v="4"/>
    <s v="1HRL"/>
    <m/>
    <n v="246.8"/>
    <n v="247.8"/>
    <m/>
    <s v="ALLE"/>
    <n v="246.8"/>
    <n v="247.8"/>
    <x v="9"/>
    <m/>
    <d v="1905-07-13T00:00:00"/>
    <m/>
    <m/>
    <m/>
    <m/>
    <m/>
    <m/>
  </r>
  <r>
    <s v="Boskalis"/>
    <x v="6"/>
    <m/>
    <n v="4"/>
    <s v="1HRL"/>
    <m/>
    <n v="247.8"/>
    <n v="248.4"/>
    <m/>
    <s v="ALLE"/>
    <n v="247.8"/>
    <n v="248.4"/>
    <x v="3"/>
    <m/>
    <d v="1905-07-13T00:00:00"/>
    <m/>
    <m/>
    <m/>
    <m/>
    <m/>
    <m/>
  </r>
  <r>
    <s v="Boskalis"/>
    <x v="6"/>
    <m/>
    <n v="4"/>
    <s v="1HRL"/>
    <m/>
    <n v="248.4"/>
    <n v="249.4"/>
    <m/>
    <s v="ALLE"/>
    <n v="248.4"/>
    <n v="249.4"/>
    <x v="9"/>
    <m/>
    <d v="1905-07-13T00:00:00"/>
    <m/>
    <m/>
    <m/>
    <m/>
    <m/>
    <m/>
  </r>
  <r>
    <s v="Boskalis"/>
    <x v="6"/>
    <m/>
    <n v="4"/>
    <s v="1HRL"/>
    <m/>
    <n v="249.4"/>
    <n v="250.2"/>
    <m/>
    <s v="ALLE"/>
    <n v="249.4"/>
    <n v="250.2"/>
    <x v="3"/>
    <m/>
    <d v="1905-07-13T00:00:00"/>
    <m/>
    <m/>
    <m/>
    <m/>
    <m/>
    <m/>
  </r>
  <r>
    <s v="Boskalis"/>
    <x v="6"/>
    <m/>
    <n v="4"/>
    <s v="1HRR"/>
    <m/>
    <n v="233.5"/>
    <n v="234.2"/>
    <m/>
    <s v="ALLE"/>
    <n v="233.5"/>
    <n v="234.2"/>
    <x v="3"/>
    <m/>
    <d v="1905-07-13T00:00:00"/>
    <m/>
    <m/>
    <m/>
    <m/>
    <m/>
    <m/>
  </r>
  <r>
    <s v="Boskalis"/>
    <x v="6"/>
    <m/>
    <n v="4"/>
    <s v="1HRR"/>
    <m/>
    <n v="235.9"/>
    <n v="236.4"/>
    <m/>
    <s v="ALLE"/>
    <n v="235.9"/>
    <n v="236.4"/>
    <x v="16"/>
    <m/>
    <d v="1905-07-13T00:00:00"/>
    <m/>
    <m/>
    <m/>
    <m/>
    <m/>
    <m/>
  </r>
  <r>
    <s v="Boskalis"/>
    <x v="6"/>
    <m/>
    <n v="4"/>
    <s v="1HRR"/>
    <m/>
    <n v="236.4"/>
    <n v="236.8"/>
    <m/>
    <s v="ALLE"/>
    <n v="236.4"/>
    <n v="236.8"/>
    <x v="3"/>
    <m/>
    <d v="1905-07-13T00:00:00"/>
    <m/>
    <m/>
    <m/>
    <m/>
    <m/>
    <m/>
  </r>
  <r>
    <s v="Mourik"/>
    <x v="6"/>
    <m/>
    <n v="4"/>
    <s v="1HRR"/>
    <m/>
    <n v="240"/>
    <n v="240.2"/>
    <s v="1R-R"/>
    <m/>
    <n v="240"/>
    <n v="240.2"/>
    <x v="17"/>
    <m/>
    <d v="2021-07-21T00:00:00"/>
    <m/>
    <m/>
    <m/>
    <m/>
    <m/>
    <m/>
  </r>
  <r>
    <s v="Boskalis"/>
    <x v="6"/>
    <m/>
    <n v="4"/>
    <s v="1HRR"/>
    <m/>
    <n v="242.3"/>
    <s v="243,1/118,4"/>
    <m/>
    <s v="ALLE"/>
    <n v="242.3"/>
    <n v="242.3"/>
    <x v="16"/>
    <m/>
    <d v="1905-07-13T00:00:00"/>
    <m/>
    <m/>
    <m/>
    <m/>
    <m/>
    <m/>
  </r>
  <r>
    <s v="Boskalis"/>
    <x v="6"/>
    <m/>
    <n v="4"/>
    <s v="0VW"/>
    <s v="a"/>
    <n v="236.4"/>
    <n v="236.6"/>
    <m/>
    <s v="ALLE"/>
    <n v="236.4"/>
    <n v="236.6"/>
    <x v="8"/>
    <m/>
    <d v="1905-07-13T00:00:00"/>
    <m/>
    <m/>
    <m/>
    <m/>
    <m/>
    <m/>
  </r>
  <r>
    <s v="Boskalis"/>
    <x v="6"/>
    <m/>
    <n v="4"/>
    <s v="0VW"/>
    <s v="b"/>
    <n v="236.4"/>
    <n v="236.6"/>
    <m/>
    <s v="ALLE"/>
    <n v="236.4"/>
    <n v="236.6"/>
    <x v="8"/>
    <m/>
    <d v="1905-07-13T00:00:00"/>
    <m/>
    <m/>
    <m/>
    <m/>
    <m/>
    <m/>
  </r>
  <r>
    <s v="Boskalis"/>
    <x v="6"/>
    <m/>
    <n v="4"/>
    <s v="0VW"/>
    <s v="c"/>
    <n v="235.6"/>
    <n v="235.7"/>
    <m/>
    <s v="ALLE"/>
    <n v="235.6"/>
    <n v="235.7"/>
    <x v="8"/>
    <m/>
    <d v="1905-07-13T00:00:00"/>
    <m/>
    <m/>
    <m/>
    <m/>
    <m/>
    <m/>
  </r>
  <r>
    <s v="Boskalis"/>
    <x v="6"/>
    <m/>
    <n v="4"/>
    <s v="0VW"/>
    <s v="d"/>
    <n v="235.4"/>
    <n v="235.6"/>
    <m/>
    <s v="ALLE"/>
    <n v="235.4"/>
    <n v="235.6"/>
    <x v="8"/>
    <m/>
    <d v="1905-07-13T00:00:00"/>
    <m/>
    <m/>
    <m/>
    <m/>
    <m/>
    <m/>
  </r>
  <r>
    <s v="Mourik"/>
    <x v="6"/>
    <m/>
    <n v="16"/>
    <s v="1HRR"/>
    <m/>
    <n v="68.930000000000007"/>
    <n v="68.930000000000007"/>
    <s v="1V-R"/>
    <m/>
    <n v="68.930000000000007"/>
    <n v="68.930000000000007"/>
    <x v="6"/>
    <m/>
    <d v="2021-08-31T00:00:00"/>
    <m/>
    <m/>
    <m/>
    <m/>
    <m/>
    <m/>
  </r>
  <r>
    <s v="Mourik"/>
    <x v="6"/>
    <m/>
    <n v="16"/>
    <s v="1HRR"/>
    <m/>
    <n v="70.3"/>
    <n v="70.400000000000006"/>
    <s v="2R-R"/>
    <m/>
    <n v="70.3"/>
    <n v="70.400000000000006"/>
    <x v="1"/>
    <m/>
    <d v="2021-03-30T00:00:00"/>
    <m/>
    <m/>
    <m/>
    <m/>
    <m/>
    <m/>
  </r>
  <r>
    <s v="Mourik"/>
    <x v="6"/>
    <m/>
    <n v="16"/>
    <s v="1HRR"/>
    <m/>
    <n v="70.400000000000006"/>
    <n v="70.7"/>
    <s v="2R-R"/>
    <m/>
    <n v="70.400000000000006"/>
    <n v="70.7"/>
    <x v="1"/>
    <m/>
    <d v="2021-03-30T00:00:00"/>
    <m/>
    <m/>
    <m/>
    <m/>
    <m/>
    <m/>
  </r>
  <r>
    <s v="Boskalis"/>
    <x v="6"/>
    <m/>
    <n v="16"/>
    <s v="0VW"/>
    <s v="e"/>
    <n v="46.6"/>
    <n v="46.95"/>
    <s v="2R-R"/>
    <m/>
    <n v="46.6"/>
    <n v="46.95"/>
    <x v="1"/>
    <m/>
    <d v="2021-02-24T00:00:00"/>
    <m/>
    <m/>
    <m/>
    <m/>
    <m/>
    <m/>
  </r>
  <r>
    <s v="Boskalis"/>
    <x v="6"/>
    <m/>
    <n v="16"/>
    <s v="0VW"/>
    <s v="e"/>
    <n v="46.95"/>
    <n v="47.1"/>
    <s v="1R-R"/>
    <m/>
    <n v="46.95"/>
    <n v="47.1"/>
    <x v="1"/>
    <m/>
    <d v="2021-02-24T00:00:00"/>
    <m/>
    <m/>
    <m/>
    <m/>
    <m/>
    <m/>
  </r>
  <r>
    <s v="Boskalis"/>
    <x v="6"/>
    <m/>
    <n v="16"/>
    <s v="0VW"/>
    <s v="e"/>
    <n v="46.95"/>
    <n v="47.1"/>
    <s v="2R-R"/>
    <m/>
    <n v="46.95"/>
    <n v="47.1"/>
    <x v="1"/>
    <m/>
    <d v="2021-02-24T00:00:00"/>
    <m/>
    <m/>
    <m/>
    <m/>
    <m/>
    <m/>
  </r>
  <r>
    <s v="Boskalis"/>
    <x v="6"/>
    <m/>
    <n v="16"/>
    <s v="0VW"/>
    <s v="e"/>
    <n v="47"/>
    <n v="47.075000000000003"/>
    <s v="2R-R"/>
    <m/>
    <n v="47"/>
    <n v="47.075000000000003"/>
    <x v="1"/>
    <m/>
    <d v="2021-02-24T00:00:00"/>
    <m/>
    <m/>
    <m/>
    <m/>
    <m/>
    <m/>
  </r>
  <r>
    <s v="Mourik"/>
    <x v="6"/>
    <m/>
    <n v="16"/>
    <s v="0VW"/>
    <s v="e"/>
    <n v="47.1"/>
    <n v="47.2"/>
    <s v="1R-L"/>
    <m/>
    <n v="47.1"/>
    <n v="47.2"/>
    <x v="1"/>
    <m/>
    <d v="2021-05-26T00:00:00"/>
    <m/>
    <m/>
    <m/>
    <m/>
    <m/>
    <m/>
  </r>
  <r>
    <s v="Mourik"/>
    <x v="6"/>
    <m/>
    <n v="16"/>
    <s v="0VW"/>
    <s v="f"/>
    <n v="53.8"/>
    <n v="53.9"/>
    <m/>
    <m/>
    <n v="53.8"/>
    <n v="53.9"/>
    <x v="1"/>
    <m/>
    <d v="2021-09-06T00:00:00"/>
    <m/>
    <m/>
    <m/>
    <m/>
    <m/>
    <m/>
  </r>
  <r>
    <s v="Mourik"/>
    <x v="6"/>
    <m/>
    <n v="16"/>
    <s v="0VW"/>
    <s v="k"/>
    <n v="46.55"/>
    <n v="46.71"/>
    <s v="1R-L"/>
    <m/>
    <n v="46.55"/>
    <n v="46.71"/>
    <x v="8"/>
    <m/>
    <d v="2021-05-26T00:00:00"/>
    <m/>
    <m/>
    <m/>
    <m/>
    <m/>
    <m/>
  </r>
  <r>
    <s v="Mourik"/>
    <x v="6"/>
    <m/>
    <n v="17"/>
    <s v="1HRL"/>
    <m/>
    <n v="7.7"/>
    <n v="7.9"/>
    <s v="2R-L"/>
    <m/>
    <n v="7.7"/>
    <n v="7.9"/>
    <x v="1"/>
    <m/>
    <d v="2021-05-26T00:00:00"/>
    <m/>
    <m/>
    <m/>
    <m/>
    <m/>
    <m/>
  </r>
  <r>
    <s v="Mourik"/>
    <x v="6"/>
    <m/>
    <n v="17"/>
    <s v="1HRL"/>
    <m/>
    <n v="7.9"/>
    <n v="8.3000000000000007"/>
    <s v="2R-L"/>
    <m/>
    <n v="7.9"/>
    <n v="8.3000000000000007"/>
    <x v="9"/>
    <m/>
    <d v="2021-05-26T00:00:00"/>
    <m/>
    <m/>
    <m/>
    <m/>
    <m/>
    <m/>
  </r>
  <r>
    <s v="Mourik"/>
    <x v="6"/>
    <m/>
    <n v="17"/>
    <s v="1HRL"/>
    <m/>
    <n v="8.3000000000000007"/>
    <n v="8.4"/>
    <s v="2R-L"/>
    <m/>
    <n v="8.3000000000000007"/>
    <n v="8.4"/>
    <x v="9"/>
    <m/>
    <d v="2021-05-26T00:00:00"/>
    <m/>
    <m/>
    <m/>
    <m/>
    <m/>
    <m/>
  </r>
  <r>
    <s v="Mourik"/>
    <x v="6"/>
    <m/>
    <n v="17"/>
    <s v="1HRL"/>
    <m/>
    <n v="29.9"/>
    <n v="30.1"/>
    <s v="2R-L"/>
    <m/>
    <n v="29.9"/>
    <n v="30.1"/>
    <x v="1"/>
    <m/>
    <d v="2021-05-05T00:00:00"/>
    <m/>
    <m/>
    <m/>
    <m/>
    <m/>
    <m/>
  </r>
  <r>
    <s v="Mourik"/>
    <x v="6"/>
    <m/>
    <n v="17"/>
    <s v="1HRL"/>
    <m/>
    <n v="30.1"/>
    <n v="30.2"/>
    <s v="2R-L"/>
    <m/>
    <n v="30.1"/>
    <n v="30.2"/>
    <x v="1"/>
    <m/>
    <d v="2021-05-05T00:00:00"/>
    <m/>
    <m/>
    <m/>
    <m/>
    <m/>
    <m/>
  </r>
  <r>
    <s v="Mourik"/>
    <x v="6"/>
    <m/>
    <n v="17"/>
    <s v="1HRL"/>
    <m/>
    <n v="30.3"/>
    <n v="30.43"/>
    <s v="2R-L"/>
    <m/>
    <n v="30.3"/>
    <n v="30.43"/>
    <x v="1"/>
    <m/>
    <d v="2021-05-05T00:00:00"/>
    <m/>
    <m/>
    <m/>
    <m/>
    <m/>
    <m/>
  </r>
  <r>
    <s v="Mourik"/>
    <x v="6"/>
    <m/>
    <n v="17"/>
    <s v="1HRL  "/>
    <m/>
    <n v="7.7"/>
    <n v="7.9"/>
    <s v="1R-L"/>
    <m/>
    <n v="7.7"/>
    <n v="7.9"/>
    <x v="9"/>
    <m/>
    <d v="2021-05-26T00:00:00"/>
    <m/>
    <m/>
    <m/>
    <m/>
    <m/>
    <m/>
  </r>
  <r>
    <s v="Boskalis"/>
    <x v="6"/>
    <m/>
    <n v="17"/>
    <s v="1HRR"/>
    <m/>
    <n v="2.125"/>
    <n v="2.4249999999999998"/>
    <s v="2R-R"/>
    <m/>
    <n v="2.125"/>
    <n v="2.4249999999999998"/>
    <x v="1"/>
    <m/>
    <d v="2021-02-24T00:00:00"/>
    <m/>
    <m/>
    <m/>
    <m/>
    <m/>
    <m/>
  </r>
  <r>
    <s v="Mourik"/>
    <x v="6"/>
    <m/>
    <n v="17"/>
    <s v="1HRR"/>
    <m/>
    <n v="13.275"/>
    <n v="13.4"/>
    <s v="1R-R"/>
    <m/>
    <n v="13.275"/>
    <n v="13.4"/>
    <x v="1"/>
    <m/>
    <d v="2021-05-05T00:00:00"/>
    <m/>
    <m/>
    <m/>
    <m/>
    <m/>
    <m/>
  </r>
  <r>
    <s v="Mourik"/>
    <x v="6"/>
    <m/>
    <n v="17"/>
    <s v="1HRR"/>
    <m/>
    <n v="22.24"/>
    <n v="22.24"/>
    <s v="1V-R"/>
    <m/>
    <n v="22.24"/>
    <n v="22.24"/>
    <x v="8"/>
    <m/>
    <d v="2021-06-08T00:00:00"/>
    <m/>
    <m/>
    <m/>
    <m/>
    <m/>
    <m/>
  </r>
  <r>
    <s v="Mourik"/>
    <x v="6"/>
    <m/>
    <n v="27"/>
    <s v="1HRL"/>
    <m/>
    <n v="2.5499999999999998"/>
    <n v="5.86"/>
    <s v="2R-L"/>
    <m/>
    <n v="2.5499999999999998"/>
    <n v="5.86"/>
    <x v="18"/>
    <m/>
    <d v="2021-02-26T00:00:00"/>
    <m/>
    <m/>
    <m/>
    <m/>
    <m/>
    <m/>
  </r>
  <r>
    <s v="Mourik"/>
    <x v="6"/>
    <m/>
    <n v="27"/>
    <s v="1HRL"/>
    <m/>
    <n v="2.5499999999999998"/>
    <n v="6.36"/>
    <s v="2R-L"/>
    <m/>
    <n v="2.5499999999999998"/>
    <n v="6.36"/>
    <x v="1"/>
    <m/>
    <d v="2021-02-26T00:00:00"/>
    <m/>
    <m/>
    <m/>
    <m/>
    <m/>
    <m/>
  </r>
  <r>
    <s v="Mourik"/>
    <x v="6"/>
    <m/>
    <n v="27"/>
    <s v="1HRL"/>
    <m/>
    <n v="7.0220000000000002"/>
    <n v="7.0469999999999997"/>
    <s v="1R-L"/>
    <m/>
    <n v="7.0220000000000002"/>
    <n v="7.0469999999999997"/>
    <x v="1"/>
    <m/>
    <d v="2021-02-24T00:00:00"/>
    <m/>
    <m/>
    <m/>
    <m/>
    <m/>
    <m/>
  </r>
  <r>
    <s v="Mourik"/>
    <x v="6"/>
    <m/>
    <n v="27"/>
    <s v="1HRL"/>
    <m/>
    <n v="7.0220000000000002"/>
    <n v="7.11"/>
    <s v="2R-L"/>
    <m/>
    <n v="7.0220000000000002"/>
    <n v="7.11"/>
    <x v="1"/>
    <m/>
    <d v="2021-02-24T00:00:00"/>
    <m/>
    <m/>
    <m/>
    <m/>
    <m/>
    <m/>
  </r>
  <r>
    <s v="Mourik"/>
    <x v="6"/>
    <m/>
    <n v="27"/>
    <s v="1HRL"/>
    <m/>
    <n v="7.4"/>
    <n v="7.9"/>
    <s v="2R-L"/>
    <m/>
    <n v="7.4"/>
    <n v="7.9"/>
    <x v="1"/>
    <m/>
    <d v="2021-02-24T00:00:00"/>
    <m/>
    <m/>
    <m/>
    <m/>
    <m/>
    <m/>
  </r>
  <r>
    <s v="Mourik"/>
    <x v="6"/>
    <m/>
    <n v="27"/>
    <s v="1HRL"/>
    <m/>
    <n v="8.35"/>
    <n v="8.8000000000000007"/>
    <s v="2R-L"/>
    <m/>
    <n v="8.35"/>
    <n v="8.8000000000000007"/>
    <x v="1"/>
    <m/>
    <d v="2021-02-17T00:00:00"/>
    <m/>
    <m/>
    <m/>
    <m/>
    <m/>
    <m/>
  </r>
  <r>
    <s v="Mourik"/>
    <x v="6"/>
    <m/>
    <n v="27"/>
    <s v="1HRL"/>
    <m/>
    <n v="9.15"/>
    <n v="9.4"/>
    <s v="2R-L"/>
    <m/>
    <n v="9.15"/>
    <n v="9.4"/>
    <x v="1"/>
    <m/>
    <d v="2021-02-17T00:00:00"/>
    <m/>
    <m/>
    <m/>
    <m/>
    <m/>
    <m/>
  </r>
  <r>
    <s v="Mourik"/>
    <x v="6"/>
    <m/>
    <n v="27"/>
    <s v="1HRL"/>
    <m/>
    <n v="10.6"/>
    <n v="10.8"/>
    <s v="2R-L"/>
    <m/>
    <n v="10.6"/>
    <n v="10.8"/>
    <x v="1"/>
    <m/>
    <d v="2021-02-17T00:00:00"/>
    <m/>
    <m/>
    <m/>
    <m/>
    <m/>
    <m/>
  </r>
  <r>
    <s v="Mourik"/>
    <x v="6"/>
    <m/>
    <n v="27"/>
    <s v="1HRL"/>
    <m/>
    <n v="11.3"/>
    <n v="11.38"/>
    <s v="2R-L"/>
    <m/>
    <n v="11.3"/>
    <n v="11.38"/>
    <x v="1"/>
    <m/>
    <d v="2021-02-17T00:00:00"/>
    <m/>
    <m/>
    <m/>
    <m/>
    <m/>
    <m/>
  </r>
  <r>
    <s v="Mourik"/>
    <x v="6"/>
    <m/>
    <n v="27"/>
    <s v="1HRL"/>
    <m/>
    <n v="11.38"/>
    <n v="11.42"/>
    <s v="2R-L"/>
    <m/>
    <n v="11.38"/>
    <n v="11.42"/>
    <x v="1"/>
    <m/>
    <d v="2021-02-17T00:00:00"/>
    <m/>
    <m/>
    <m/>
    <m/>
    <m/>
    <m/>
  </r>
  <r>
    <s v="Mourik"/>
    <x v="6"/>
    <m/>
    <n v="27"/>
    <s v="1HRL"/>
    <m/>
    <n v="11.38"/>
    <n v="11.42"/>
    <s v="1U-L"/>
    <m/>
    <n v="11.38"/>
    <n v="11.42"/>
    <x v="1"/>
    <m/>
    <d v="2021-02-17T00:00:00"/>
    <m/>
    <m/>
    <m/>
    <m/>
    <m/>
    <m/>
  </r>
  <r>
    <s v="Mourik"/>
    <x v="6"/>
    <m/>
    <n v="27"/>
    <s v="1HRL"/>
    <m/>
    <n v="11.51"/>
    <n v="11.583"/>
    <m/>
    <s v="ALLE"/>
    <n v="11.51"/>
    <n v="11.583"/>
    <x v="8"/>
    <m/>
    <d v="2021-06-02T00:00:00"/>
    <m/>
    <m/>
    <m/>
    <m/>
    <m/>
    <m/>
  </r>
  <r>
    <s v="Mourik"/>
    <x v="6"/>
    <m/>
    <n v="27"/>
    <s v="1HRL"/>
    <m/>
    <n v="11.6"/>
    <n v="11.9"/>
    <s v="2R-L"/>
    <m/>
    <n v="11.6"/>
    <n v="11.9"/>
    <x v="1"/>
    <m/>
    <d v="2021-02-18T00:00:00"/>
    <m/>
    <m/>
    <m/>
    <m/>
    <m/>
    <m/>
  </r>
  <r>
    <s v="Mourik"/>
    <x v="6"/>
    <m/>
    <n v="27"/>
    <s v="1HRL"/>
    <m/>
    <n v="13.1"/>
    <n v="14"/>
    <s v="2R-L"/>
    <m/>
    <n v="13.1"/>
    <n v="14"/>
    <x v="1"/>
    <m/>
    <d v="2021-02-16T00:00:00"/>
    <m/>
    <m/>
    <m/>
    <m/>
    <m/>
    <m/>
  </r>
  <r>
    <s v="Mourik"/>
    <x v="6"/>
    <m/>
    <n v="27"/>
    <s v="1HRL"/>
    <m/>
    <n v="13.31"/>
    <n v="13.65"/>
    <s v="1I-L"/>
    <m/>
    <n v="13.31"/>
    <n v="13.65"/>
    <x v="1"/>
    <m/>
    <d v="2021-02-16T00:00:00"/>
    <m/>
    <m/>
    <m/>
    <m/>
    <m/>
    <m/>
  </r>
  <r>
    <s v="Mourik"/>
    <x v="6"/>
    <m/>
    <n v="27"/>
    <s v="1HRL"/>
    <m/>
    <n v="14.58"/>
    <n v="15.4"/>
    <s v="2R-L"/>
    <m/>
    <n v="14.58"/>
    <n v="15.4"/>
    <x v="1"/>
    <m/>
    <d v="2021-02-18T00:00:00"/>
    <m/>
    <m/>
    <m/>
    <m/>
    <m/>
    <m/>
  </r>
  <r>
    <s v="Mourik"/>
    <x v="6"/>
    <m/>
    <n v="27"/>
    <s v="1HRL"/>
    <m/>
    <n v="16.8"/>
    <n v="17.45"/>
    <s v="2R-L"/>
    <m/>
    <n v="16.8"/>
    <n v="17.45"/>
    <x v="1"/>
    <m/>
    <d v="2021-02-15T00:00:00"/>
    <m/>
    <m/>
    <m/>
    <m/>
    <m/>
    <m/>
  </r>
  <r>
    <s v="Mourik"/>
    <x v="6"/>
    <m/>
    <n v="27"/>
    <s v="1HRL"/>
    <m/>
    <n v="17.45"/>
    <n v="17.66"/>
    <s v="1I-L"/>
    <m/>
    <n v="17.45"/>
    <n v="17.66"/>
    <x v="1"/>
    <m/>
    <d v="2021-02-15T00:00:00"/>
    <m/>
    <m/>
    <m/>
    <m/>
    <m/>
    <m/>
  </r>
  <r>
    <s v="Mourik"/>
    <x v="6"/>
    <m/>
    <n v="27"/>
    <s v="1HRL"/>
    <m/>
    <n v="17.45"/>
    <n v="17.66"/>
    <s v="2R-L"/>
    <m/>
    <n v="17.45"/>
    <n v="17.66"/>
    <x v="1"/>
    <m/>
    <d v="2021-02-15T00:00:00"/>
    <m/>
    <m/>
    <m/>
    <m/>
    <m/>
    <m/>
  </r>
  <r>
    <s v="Mourik"/>
    <x v="6"/>
    <m/>
    <n v="27"/>
    <s v="1HRL"/>
    <m/>
    <n v="17.728000000000002"/>
    <n v="17.835000000000001"/>
    <s v="1I-L"/>
    <m/>
    <n v="17.728000000000002"/>
    <n v="17.835000000000001"/>
    <x v="1"/>
    <m/>
    <d v="2021-02-24T00:00:00"/>
    <m/>
    <m/>
    <m/>
    <m/>
    <m/>
    <m/>
  </r>
  <r>
    <s v="Mourik"/>
    <x v="6"/>
    <m/>
    <n v="27"/>
    <s v="1HRL"/>
    <m/>
    <n v="17.728000000000002"/>
    <n v="18.106999999999999"/>
    <s v="2R-L"/>
    <m/>
    <n v="17.728000000000002"/>
    <n v="18.106999999999999"/>
    <x v="1"/>
    <m/>
    <d v="2021-02-24T00:00:00"/>
    <m/>
    <m/>
    <m/>
    <m/>
    <m/>
    <m/>
  </r>
  <r>
    <s v="Mourik"/>
    <x v="6"/>
    <m/>
    <n v="27"/>
    <s v="1HRL"/>
    <m/>
    <n v="21.95"/>
    <n v="22.05"/>
    <s v="2R-L"/>
    <m/>
    <n v="21.95"/>
    <n v="22.05"/>
    <x v="9"/>
    <m/>
    <d v="2021-06-07T00:00:00"/>
    <m/>
    <m/>
    <m/>
    <m/>
    <m/>
    <m/>
  </r>
  <r>
    <s v="Mourik"/>
    <x v="6"/>
    <m/>
    <n v="27"/>
    <s v="1HRL"/>
    <m/>
    <n v="22.6"/>
    <n v="22.9"/>
    <s v="2R-L"/>
    <m/>
    <n v="22.6"/>
    <n v="22.9"/>
    <x v="1"/>
    <m/>
    <d v="2021-06-07T00:00:00"/>
    <m/>
    <m/>
    <m/>
    <m/>
    <m/>
    <m/>
  </r>
  <r>
    <s v="Mourik"/>
    <x v="6"/>
    <m/>
    <n v="27"/>
    <s v="1HRL"/>
    <m/>
    <n v="26.6"/>
    <n v="26.7"/>
    <s v="1R-L"/>
    <m/>
    <n v="26.6"/>
    <n v="26.7"/>
    <x v="9"/>
    <m/>
    <d v="2021-06-07T00:00:00"/>
    <m/>
    <m/>
    <m/>
    <m/>
    <m/>
    <m/>
  </r>
  <r>
    <s v="Mourik"/>
    <x v="6"/>
    <m/>
    <n v="27"/>
    <s v="1HRL"/>
    <m/>
    <n v="30.6"/>
    <n v="30.95"/>
    <s v="1R-L"/>
    <m/>
    <n v="30.6"/>
    <n v="30.95"/>
    <x v="1"/>
    <m/>
    <d v="2021-03-03T00:00:00"/>
    <m/>
    <m/>
    <m/>
    <m/>
    <m/>
    <m/>
  </r>
  <r>
    <s v="Mourik"/>
    <x v="6"/>
    <m/>
    <n v="27"/>
    <s v="1HRL"/>
    <m/>
    <n v="33.950000000000003"/>
    <n v="33.950000000000003"/>
    <s v="1V-L"/>
    <m/>
    <n v="33.950000000000003"/>
    <n v="33.950000000000003"/>
    <x v="1"/>
    <m/>
    <d v="2021-06-07T00:00:00"/>
    <m/>
    <m/>
    <m/>
    <m/>
    <m/>
    <m/>
  </r>
  <r>
    <s v="Mourik"/>
    <x v="6"/>
    <m/>
    <n v="27"/>
    <s v="1HRL"/>
    <m/>
    <n v="34.25"/>
    <n v="34.299999999999997"/>
    <s v="1R-L"/>
    <m/>
    <n v="34.25"/>
    <n v="34.299999999999997"/>
    <x v="1"/>
    <m/>
    <d v="2021-03-03T00:00:00"/>
    <m/>
    <m/>
    <m/>
    <m/>
    <m/>
    <m/>
  </r>
  <r>
    <s v="Mourik"/>
    <x v="6"/>
    <m/>
    <n v="27"/>
    <s v="1HRL"/>
    <m/>
    <n v="34.25"/>
    <n v="34.299999999999997"/>
    <s v="2R-L"/>
    <m/>
    <n v="34.25"/>
    <n v="34.299999999999997"/>
    <x v="1"/>
    <m/>
    <d v="2021-03-03T00:00:00"/>
    <m/>
    <m/>
    <m/>
    <m/>
    <m/>
    <m/>
  </r>
  <r>
    <s v="Mourik"/>
    <x v="6"/>
    <m/>
    <n v="27"/>
    <s v="1HRL"/>
    <m/>
    <n v="34.26"/>
    <n v="34.299999999999997"/>
    <s v="1R-L"/>
    <m/>
    <n v="34.26"/>
    <n v="34.299999999999997"/>
    <x v="18"/>
    <m/>
    <d v="2021-03-03T00:00:00"/>
    <m/>
    <m/>
    <m/>
    <m/>
    <m/>
    <m/>
  </r>
  <r>
    <s v="Mourik"/>
    <x v="6"/>
    <m/>
    <n v="27"/>
    <s v="1HRL"/>
    <m/>
    <n v="34.26"/>
    <n v="34.299999999999997"/>
    <s v="2R-L"/>
    <m/>
    <n v="34.26"/>
    <n v="34.299999999999997"/>
    <x v="18"/>
    <m/>
    <d v="2021-03-03T00:00:00"/>
    <m/>
    <m/>
    <m/>
    <m/>
    <m/>
    <m/>
  </r>
  <r>
    <s v="Mourik"/>
    <x v="6"/>
    <m/>
    <n v="27"/>
    <s v="1HRR"/>
    <m/>
    <n v="2.875"/>
    <n v="3"/>
    <s v="2R-R"/>
    <m/>
    <n v="2.875"/>
    <n v="3"/>
    <x v="1"/>
    <m/>
    <d v="2021-03-01T00:00:00"/>
    <m/>
    <m/>
    <m/>
    <m/>
    <m/>
    <m/>
  </r>
  <r>
    <s v="Mourik"/>
    <x v="6"/>
    <m/>
    <n v="27"/>
    <s v="1HRR"/>
    <m/>
    <n v="6.4169999999999998"/>
    <n v="6.4269999999999996"/>
    <s v="1R-R"/>
    <m/>
    <n v="6.4169999999999998"/>
    <n v="6.4269999999999996"/>
    <x v="8"/>
    <m/>
    <d v="2021-03-01T00:00:00"/>
    <m/>
    <m/>
    <m/>
    <m/>
    <m/>
    <m/>
  </r>
  <r>
    <s v="Mourik"/>
    <x v="6"/>
    <m/>
    <n v="27"/>
    <s v="1HRR"/>
    <m/>
    <n v="6.4169999999999998"/>
    <n v="6.4669999999999996"/>
    <s v="1R-R"/>
    <m/>
    <n v="6.4169999999999998"/>
    <n v="6.4669999999999996"/>
    <x v="18"/>
    <m/>
    <d v="2021-03-01T00:00:00"/>
    <m/>
    <m/>
    <m/>
    <m/>
    <m/>
    <m/>
  </r>
  <r>
    <s v="Mourik"/>
    <x v="6"/>
    <m/>
    <n v="27"/>
    <s v="1HRR"/>
    <m/>
    <n v="6.4169999999999998"/>
    <n v="6.4269999999999996"/>
    <s v="2R-R"/>
    <m/>
    <n v="6.4169999999999998"/>
    <n v="6.4269999999999996"/>
    <x v="8"/>
    <m/>
    <d v="2021-03-01T00:00:00"/>
    <m/>
    <m/>
    <m/>
    <m/>
    <m/>
    <m/>
  </r>
  <r>
    <s v="Mourik"/>
    <x v="6"/>
    <m/>
    <n v="27"/>
    <s v="1HRR"/>
    <m/>
    <n v="6.4169999999999998"/>
    <n v="6.4669999999999996"/>
    <s v="2R-R"/>
    <m/>
    <n v="6.4169999999999998"/>
    <n v="6.4669999999999996"/>
    <x v="18"/>
    <m/>
    <d v="2021-03-01T00:00:00"/>
    <m/>
    <m/>
    <m/>
    <m/>
    <m/>
    <m/>
  </r>
  <r>
    <s v="Mourik"/>
    <x v="6"/>
    <m/>
    <n v="27"/>
    <s v="1HRR"/>
    <m/>
    <n v="6.4269999999999996"/>
    <n v="6.6"/>
    <s v="1R-R"/>
    <m/>
    <n v="6.4269999999999996"/>
    <n v="6.6"/>
    <x v="1"/>
    <m/>
    <d v="2021-03-01T00:00:00"/>
    <m/>
    <m/>
    <m/>
    <m/>
    <m/>
    <m/>
  </r>
  <r>
    <s v="Mourik"/>
    <x v="6"/>
    <m/>
    <n v="27"/>
    <s v="1HRR"/>
    <m/>
    <n v="6.4269999999999996"/>
    <n v="6.6"/>
    <s v="2R-R"/>
    <m/>
    <n v="6.4269999999999996"/>
    <n v="6.6"/>
    <x v="1"/>
    <m/>
    <d v="2021-03-01T00:00:00"/>
    <m/>
    <m/>
    <m/>
    <m/>
    <m/>
    <m/>
  </r>
  <r>
    <s v="Mourik"/>
    <x v="6"/>
    <m/>
    <n v="27"/>
    <s v="1HRR"/>
    <m/>
    <n v="6.7"/>
    <n v="6.9"/>
    <s v="1R-R"/>
    <m/>
    <n v="6.7"/>
    <n v="6.9"/>
    <x v="9"/>
    <m/>
    <d v="2021-06-03T00:00:00"/>
    <m/>
    <m/>
    <m/>
    <m/>
    <m/>
    <m/>
  </r>
  <r>
    <s v="Mourik"/>
    <x v="6"/>
    <m/>
    <n v="27"/>
    <s v="1HRR"/>
    <m/>
    <n v="11.6"/>
    <n v="11.7"/>
    <s v="2R-R"/>
    <m/>
    <n v="11.6"/>
    <n v="11.7"/>
    <x v="1"/>
    <m/>
    <d v="2021-06-03T00:00:00"/>
    <m/>
    <m/>
    <m/>
    <m/>
    <m/>
    <m/>
  </r>
  <r>
    <s v="Mourik"/>
    <x v="6"/>
    <m/>
    <n v="27"/>
    <s v="1HRR"/>
    <m/>
    <n v="14.5"/>
    <n v="14.6"/>
    <s v="2R-R"/>
    <m/>
    <n v="14.5"/>
    <n v="14.6"/>
    <x v="1"/>
    <m/>
    <d v="2021-06-03T00:00:00"/>
    <m/>
    <m/>
    <m/>
    <m/>
    <m/>
    <m/>
  </r>
  <r>
    <s v="Mourik"/>
    <x v="6"/>
    <m/>
    <n v="27"/>
    <s v="1HRR"/>
    <m/>
    <n v="14.505000000000001"/>
    <n v="14.595000000000001"/>
    <s v="2R-R"/>
    <m/>
    <n v="14.505000000000001"/>
    <n v="14.595000000000001"/>
    <x v="18"/>
    <m/>
    <d v="2021-06-03T00:00:00"/>
    <m/>
    <m/>
    <m/>
    <m/>
    <m/>
    <m/>
  </r>
  <r>
    <s v="Mourik"/>
    <x v="6"/>
    <m/>
    <n v="27"/>
    <s v="1HRR"/>
    <m/>
    <n v="14.6"/>
    <n v="14.72"/>
    <s v="2R-R"/>
    <m/>
    <n v="14.6"/>
    <n v="14.72"/>
    <x v="1"/>
    <m/>
    <d v="2021-03-04T00:00:00"/>
    <m/>
    <m/>
    <m/>
    <m/>
    <m/>
    <m/>
  </r>
  <r>
    <s v="Mourik"/>
    <x v="6"/>
    <m/>
    <n v="27"/>
    <s v="1HRR"/>
    <m/>
    <n v="14.67"/>
    <n v="14.73"/>
    <s v="2R-R"/>
    <m/>
    <n v="14.67"/>
    <n v="14.73"/>
    <x v="1"/>
    <m/>
    <d v="2021-03-10T00:00:00"/>
    <m/>
    <m/>
    <m/>
    <m/>
    <m/>
    <m/>
  </r>
  <r>
    <s v="Mourik"/>
    <x v="6"/>
    <m/>
    <n v="27"/>
    <s v="1HRR"/>
    <m/>
    <n v="17.399999999999999"/>
    <n v="17.55"/>
    <s v="2R-R"/>
    <m/>
    <n v="17.399999999999999"/>
    <n v="17.55"/>
    <x v="1"/>
    <m/>
    <d v="2021-03-10T00:00:00"/>
    <m/>
    <m/>
    <m/>
    <m/>
    <m/>
    <m/>
  </r>
  <r>
    <s v="Mourik"/>
    <x v="6"/>
    <m/>
    <n v="27"/>
    <s v="1HRR"/>
    <m/>
    <n v="17.55"/>
    <n v="17.655000000000001"/>
    <s v="1I-R"/>
    <m/>
    <n v="17.55"/>
    <n v="17.655000000000001"/>
    <x v="18"/>
    <m/>
    <d v="2021-03-10T00:00:00"/>
    <m/>
    <m/>
    <m/>
    <m/>
    <m/>
    <m/>
  </r>
  <r>
    <s v="Mourik"/>
    <x v="6"/>
    <m/>
    <n v="27"/>
    <s v="1HRR"/>
    <m/>
    <n v="17.55"/>
    <n v="17.655000000000001"/>
    <s v="1I-R"/>
    <m/>
    <n v="17.55"/>
    <n v="17.655000000000001"/>
    <x v="1"/>
    <m/>
    <d v="2021-03-10T00:00:00"/>
    <m/>
    <m/>
    <m/>
    <m/>
    <m/>
    <m/>
  </r>
  <r>
    <s v="Mourik"/>
    <x v="6"/>
    <m/>
    <n v="27"/>
    <s v="1HRR"/>
    <m/>
    <n v="17.55"/>
    <n v="17.655000000000001"/>
    <s v="2R-R"/>
    <m/>
    <n v="17.55"/>
    <n v="17.655000000000001"/>
    <x v="18"/>
    <m/>
    <d v="2021-03-10T00:00:00"/>
    <m/>
    <m/>
    <m/>
    <m/>
    <m/>
    <m/>
  </r>
  <r>
    <s v="Mourik"/>
    <x v="6"/>
    <m/>
    <n v="27"/>
    <s v="1HRR"/>
    <m/>
    <n v="17.55"/>
    <n v="17.655000000000001"/>
    <s v="2R-R"/>
    <m/>
    <n v="17.55"/>
    <n v="17.655000000000001"/>
    <x v="1"/>
    <m/>
    <d v="2021-03-10T00:00:00"/>
    <m/>
    <m/>
    <m/>
    <m/>
    <m/>
    <m/>
  </r>
  <r>
    <s v="Mourik"/>
    <x v="6"/>
    <m/>
    <n v="27"/>
    <s v="1HRR"/>
    <m/>
    <n v="18.190000000000001"/>
    <n v="18.68"/>
    <s v="2R-R"/>
    <m/>
    <n v="18.190000000000001"/>
    <n v="18.68"/>
    <x v="1"/>
    <m/>
    <d v="2021-02-18T00:00:00"/>
    <m/>
    <m/>
    <m/>
    <m/>
    <m/>
    <m/>
  </r>
  <r>
    <s v="Mourik"/>
    <x v="6"/>
    <m/>
    <n v="27"/>
    <s v="1HRR"/>
    <m/>
    <n v="18.68"/>
    <n v="18.713000000000001"/>
    <s v="2R-R"/>
    <m/>
    <n v="18.68"/>
    <n v="18.713000000000001"/>
    <x v="9"/>
    <m/>
    <d v="2021-05-29T00:00:00"/>
    <m/>
    <m/>
    <m/>
    <m/>
    <m/>
    <m/>
  </r>
  <r>
    <s v="Mourik"/>
    <x v="6"/>
    <m/>
    <n v="27"/>
    <s v="1HRR"/>
    <m/>
    <n v="18.713000000000001"/>
    <n v="19.3"/>
    <s v="2R-R"/>
    <m/>
    <n v="18.713000000000001"/>
    <n v="19.3"/>
    <x v="1"/>
    <m/>
    <d v="2021-02-18T00:00:00"/>
    <m/>
    <m/>
    <m/>
    <m/>
    <m/>
    <m/>
  </r>
  <r>
    <s v="Mourik"/>
    <x v="6"/>
    <m/>
    <n v="27"/>
    <s v="1HRR"/>
    <m/>
    <n v="19.3"/>
    <n v="20.32"/>
    <s v="2R-R"/>
    <m/>
    <n v="19.3"/>
    <n v="20.32"/>
    <x v="1"/>
    <m/>
    <d v="2021-02-19T00:00:00"/>
    <m/>
    <m/>
    <m/>
    <m/>
    <m/>
    <m/>
  </r>
  <r>
    <s v="Mourik"/>
    <x v="6"/>
    <m/>
    <n v="27"/>
    <s v="1HRR"/>
    <m/>
    <n v="20.3"/>
    <n v="20.399999999999999"/>
    <s v="1R-R"/>
    <m/>
    <n v="20.3"/>
    <n v="20.399999999999999"/>
    <x v="9"/>
    <m/>
    <d v="2021-07-22T00:00:00"/>
    <m/>
    <m/>
    <m/>
    <m/>
    <m/>
    <m/>
  </r>
  <r>
    <s v="Mourik"/>
    <x v="6"/>
    <m/>
    <n v="27"/>
    <s v="1HRR"/>
    <m/>
    <n v="20.399999999999999"/>
    <n v="20.7"/>
    <s v="2R-R"/>
    <m/>
    <n v="20.399999999999999"/>
    <n v="20.7"/>
    <x v="9"/>
    <m/>
    <d v="2021-05-29T00:00:00"/>
    <m/>
    <m/>
    <m/>
    <m/>
    <m/>
    <m/>
  </r>
  <r>
    <s v="Mourik"/>
    <x v="6"/>
    <m/>
    <n v="27"/>
    <s v="1HRR"/>
    <m/>
    <n v="20.5"/>
    <n v="20.7"/>
    <s v="1R-R"/>
    <m/>
    <n v="20.5"/>
    <n v="20.7"/>
    <x v="9"/>
    <m/>
    <d v="2021-07-22T00:00:00"/>
    <m/>
    <m/>
    <m/>
    <m/>
    <m/>
    <m/>
  </r>
  <r>
    <s v="Mourik"/>
    <x v="6"/>
    <m/>
    <n v="27"/>
    <s v="1HRR"/>
    <m/>
    <n v="20.7"/>
    <n v="21"/>
    <s v="1U-R"/>
    <m/>
    <n v="20.7"/>
    <n v="21"/>
    <x v="9"/>
    <m/>
    <d v="2021-05-29T00:00:00"/>
    <m/>
    <m/>
    <m/>
    <m/>
    <m/>
    <m/>
  </r>
  <r>
    <s v="Mourik"/>
    <x v="6"/>
    <m/>
    <n v="27"/>
    <s v="1HRR"/>
    <m/>
    <n v="20.8"/>
    <n v="21.5"/>
    <s v="1R-R"/>
    <m/>
    <n v="20.8"/>
    <n v="21.5"/>
    <x v="9"/>
    <m/>
    <d v="2021-07-22T00:00:00"/>
    <m/>
    <m/>
    <m/>
    <m/>
    <m/>
    <m/>
  </r>
  <r>
    <s v="Mourik"/>
    <x v="6"/>
    <m/>
    <n v="27"/>
    <s v="1HRR"/>
    <m/>
    <n v="25.49"/>
    <n v="25.53"/>
    <s v="1R-R"/>
    <m/>
    <n v="25.49"/>
    <n v="25.53"/>
    <x v="1"/>
    <m/>
    <d v="2021-07-22T00:00:00"/>
    <m/>
    <m/>
    <m/>
    <m/>
    <m/>
    <m/>
  </r>
  <r>
    <s v="Mourik"/>
    <x v="6"/>
    <m/>
    <n v="27"/>
    <s v="1HRR"/>
    <m/>
    <n v="25.864999999999998"/>
    <n v="26.48"/>
    <s v="2R-R"/>
    <m/>
    <n v="25.864999999999998"/>
    <n v="26.48"/>
    <x v="1"/>
    <m/>
    <d v="2021-02-17T00:00:00"/>
    <m/>
    <m/>
    <m/>
    <m/>
    <m/>
    <m/>
  </r>
  <r>
    <s v="Mourik"/>
    <x v="6"/>
    <m/>
    <n v="27"/>
    <s v="1HRR"/>
    <m/>
    <n v="26.507999999999999"/>
    <n v="27.1"/>
    <s v="2R-R"/>
    <m/>
    <n v="26.507999999999999"/>
    <n v="27.1"/>
    <x v="1"/>
    <m/>
    <d v="2021-02-17T00:00:00"/>
    <m/>
    <m/>
    <m/>
    <m/>
    <m/>
    <m/>
  </r>
  <r>
    <s v="Mourik"/>
    <x v="6"/>
    <m/>
    <n v="27"/>
    <s v="0VW"/>
    <s v="a"/>
    <n v="4.53"/>
    <n v="4.53"/>
    <s v="1V-R"/>
    <m/>
    <n v="4.53"/>
    <n v="4.53"/>
    <x v="1"/>
    <m/>
    <d v="2021-06-03T00:00:00"/>
    <m/>
    <m/>
    <m/>
    <m/>
    <m/>
    <m/>
  </r>
  <r>
    <s v="Mourik"/>
    <x v="6"/>
    <m/>
    <n v="58"/>
    <s v="1HRL"/>
    <m/>
    <n v="29.48"/>
    <n v="29.71"/>
    <s v="2R-L"/>
    <m/>
    <n v="29.48"/>
    <n v="29.71"/>
    <x v="1"/>
    <m/>
    <d v="2021-03-09T00:00:00"/>
    <m/>
    <m/>
    <m/>
    <m/>
    <m/>
    <m/>
  </r>
  <r>
    <s v="Mourik"/>
    <x v="6"/>
    <m/>
    <n v="58"/>
    <s v="1HRL"/>
    <m/>
    <n v="29.49"/>
    <n v="29.7"/>
    <s v="2R-L"/>
    <m/>
    <n v="29.49"/>
    <n v="29.7"/>
    <x v="18"/>
    <m/>
    <d v="2021-03-09T00:00:00"/>
    <m/>
    <m/>
    <m/>
    <m/>
    <m/>
    <m/>
  </r>
  <r>
    <s v="Mourik"/>
    <x v="6"/>
    <m/>
    <n v="58"/>
    <s v="1HRL"/>
    <m/>
    <n v="30.45"/>
    <n v="30.45"/>
    <s v="2R-L"/>
    <m/>
    <n v="30.45"/>
    <n v="30.45"/>
    <x v="1"/>
    <m/>
    <d v="2021-03-09T00:00:00"/>
    <m/>
    <m/>
    <m/>
    <m/>
    <m/>
    <m/>
  </r>
  <r>
    <s v="Mourik"/>
    <x v="6"/>
    <m/>
    <n v="58"/>
    <s v="1HRL"/>
    <m/>
    <n v="31"/>
    <n v="31.2"/>
    <s v="1I-L"/>
    <m/>
    <n v="31"/>
    <n v="31.2"/>
    <x v="1"/>
    <m/>
    <d v="2021-03-09T00:00:00"/>
    <m/>
    <m/>
    <m/>
    <m/>
    <m/>
    <m/>
  </r>
  <r>
    <s v="Mourik"/>
    <x v="6"/>
    <m/>
    <n v="58"/>
    <s v="1HRL"/>
    <m/>
    <n v="32.4"/>
    <n v="32.85"/>
    <s v="2R-L"/>
    <m/>
    <n v="32.4"/>
    <n v="32.85"/>
    <x v="1"/>
    <m/>
    <d v="2021-03-09T00:00:00"/>
    <m/>
    <m/>
    <m/>
    <m/>
    <m/>
    <m/>
  </r>
  <r>
    <s v="Mourik"/>
    <x v="6"/>
    <m/>
    <n v="58"/>
    <s v="1HRL"/>
    <m/>
    <n v="38"/>
    <n v="38.200000000000003"/>
    <s v="3R-L"/>
    <m/>
    <n v="38"/>
    <n v="38.200000000000003"/>
    <x v="9"/>
    <m/>
    <d v="2021-06-19T00:00:00"/>
    <m/>
    <m/>
    <m/>
    <m/>
    <m/>
    <m/>
  </r>
  <r>
    <s v="Mourik"/>
    <x v="6"/>
    <m/>
    <n v="58"/>
    <s v="1HRL"/>
    <m/>
    <n v="38.4"/>
    <n v="38.700000000000003"/>
    <s v="3R-L"/>
    <m/>
    <n v="38.4"/>
    <n v="38.700000000000003"/>
    <x v="9"/>
    <m/>
    <d v="2021-06-19T00:00:00"/>
    <m/>
    <m/>
    <m/>
    <m/>
    <m/>
    <m/>
  </r>
  <r>
    <s v="Mourik"/>
    <x v="6"/>
    <m/>
    <n v="58"/>
    <s v="1HRL"/>
    <m/>
    <n v="39.685000000000002"/>
    <n v="39.799999999999997"/>
    <s v="3R-L"/>
    <m/>
    <n v="39.685000000000002"/>
    <n v="39.799999999999997"/>
    <x v="9"/>
    <m/>
    <d v="2021-06-19T00:00:00"/>
    <m/>
    <m/>
    <m/>
    <m/>
    <m/>
    <m/>
  </r>
  <r>
    <s v="Mourik"/>
    <x v="6"/>
    <m/>
    <n v="58"/>
    <s v="1HRL"/>
    <m/>
    <n v="39.799999999999997"/>
    <n v="39.880000000000003"/>
    <s v="3R-L"/>
    <m/>
    <n v="39.799999999999997"/>
    <n v="39.880000000000003"/>
    <x v="9"/>
    <m/>
    <d v="2021-06-19T00:00:00"/>
    <m/>
    <m/>
    <m/>
    <m/>
    <m/>
    <m/>
  </r>
  <r>
    <s v="Mourik"/>
    <x v="6"/>
    <m/>
    <n v="58"/>
    <s v="1HRL"/>
    <m/>
    <n v="40"/>
    <n v="41.225000000000001"/>
    <s v="2R-L"/>
    <m/>
    <n v="40"/>
    <n v="41.225000000000001"/>
    <x v="9"/>
    <m/>
    <d v="2021-06-19T00:00:00"/>
    <m/>
    <m/>
    <m/>
    <m/>
    <m/>
    <m/>
  </r>
  <r>
    <s v="Mourik"/>
    <x v="6"/>
    <m/>
    <n v="58"/>
    <s v="1HRL"/>
    <m/>
    <n v="41.225000000000001"/>
    <n v="41.25"/>
    <s v="2R-L"/>
    <m/>
    <n v="41.225000000000001"/>
    <n v="41.25"/>
    <x v="1"/>
    <m/>
    <d v="2021-03-02T00:00:00"/>
    <m/>
    <m/>
    <m/>
    <m/>
    <m/>
    <m/>
  </r>
  <r>
    <s v="Mourik"/>
    <x v="6"/>
    <m/>
    <n v="58"/>
    <s v="1HRL"/>
    <m/>
    <n v="41.25"/>
    <n v="41.26"/>
    <s v="2R-L"/>
    <m/>
    <n v="41.25"/>
    <n v="41.26"/>
    <x v="9"/>
    <m/>
    <d v="2021-06-19T00:00:00"/>
    <m/>
    <m/>
    <m/>
    <m/>
    <m/>
    <m/>
  </r>
  <r>
    <s v="Mourik"/>
    <x v="6"/>
    <m/>
    <n v="58"/>
    <s v="1HRL"/>
    <m/>
    <n v="41.31"/>
    <n v="41.36"/>
    <s v="2R-L"/>
    <m/>
    <n v="41.31"/>
    <n v="41.36"/>
    <x v="1"/>
    <m/>
    <d v="2021-03-02T00:00:00"/>
    <m/>
    <m/>
    <m/>
    <m/>
    <m/>
    <m/>
  </r>
  <r>
    <s v="Mourik"/>
    <x v="6"/>
    <m/>
    <n v="58"/>
    <s v="1HRL"/>
    <m/>
    <n v="41.31"/>
    <n v="41.6"/>
    <s v="2R-L"/>
    <m/>
    <n v="41.31"/>
    <n v="41.6"/>
    <x v="9"/>
    <m/>
    <d v="2021-06-19T00:00:00"/>
    <m/>
    <m/>
    <m/>
    <m/>
    <m/>
    <m/>
  </r>
  <r>
    <s v="Mourik"/>
    <x v="6"/>
    <m/>
    <n v="58"/>
    <s v="1HRL"/>
    <m/>
    <n v="41.6"/>
    <n v="41.8"/>
    <s v="2R-L"/>
    <m/>
    <n v="41.6"/>
    <n v="41.8"/>
    <x v="9"/>
    <m/>
    <d v="2021-06-19T00:00:00"/>
    <m/>
    <m/>
    <m/>
    <m/>
    <m/>
    <m/>
  </r>
  <r>
    <s v="Mourik"/>
    <x v="6"/>
    <m/>
    <n v="58"/>
    <s v="1HRL"/>
    <m/>
    <n v="44.2"/>
    <n v="44.4"/>
    <s v="2R-L"/>
    <m/>
    <n v="44.2"/>
    <n v="44.4"/>
    <x v="1"/>
    <m/>
    <d v="2021-03-02T00:00:00"/>
    <m/>
    <m/>
    <m/>
    <m/>
    <m/>
    <m/>
  </r>
  <r>
    <s v="Mourik"/>
    <x v="6"/>
    <m/>
    <n v="58"/>
    <s v="1HRL"/>
    <m/>
    <n v="45"/>
    <n v="45.024999999999999"/>
    <s v="2R-L"/>
    <m/>
    <n v="45"/>
    <n v="45.024999999999999"/>
    <x v="1"/>
    <m/>
    <d v="2021-03-02T00:00:00"/>
    <m/>
    <m/>
    <m/>
    <m/>
    <m/>
    <m/>
  </r>
  <r>
    <s v="Mourik"/>
    <x v="6"/>
    <m/>
    <n v="58"/>
    <s v="1HRL"/>
    <m/>
    <n v="45.4"/>
    <n v="46.1"/>
    <s v="2R-L"/>
    <m/>
    <n v="45.4"/>
    <n v="46.1"/>
    <x v="9"/>
    <m/>
    <d v="2021-06-19T00:00:00"/>
    <m/>
    <m/>
    <m/>
    <m/>
    <m/>
    <m/>
  </r>
  <r>
    <s v="Mourik"/>
    <x v="6"/>
    <m/>
    <n v="58"/>
    <s v="1HRL"/>
    <m/>
    <n v="46.4"/>
    <n v="46.5"/>
    <s v="1R-L"/>
    <m/>
    <n v="46.4"/>
    <n v="46.5"/>
    <x v="9"/>
    <m/>
    <d v="2021-06-19T00:00:00"/>
    <m/>
    <m/>
    <m/>
    <m/>
    <m/>
    <m/>
  </r>
  <r>
    <s v="Mourik"/>
    <x v="6"/>
    <m/>
    <n v="58"/>
    <s v="1HRL"/>
    <m/>
    <n v="46.5"/>
    <n v="46.7"/>
    <s v="1R-L"/>
    <m/>
    <n v="46.5"/>
    <n v="46.7"/>
    <x v="9"/>
    <m/>
    <d v="2021-06-19T00:00:00"/>
    <m/>
    <m/>
    <m/>
    <m/>
    <m/>
    <m/>
  </r>
  <r>
    <s v="Mourik"/>
    <x v="6"/>
    <m/>
    <n v="58"/>
    <s v="1HRL"/>
    <m/>
    <n v="46.8"/>
    <n v="46.9"/>
    <s v="1R-L"/>
    <m/>
    <n v="46.8"/>
    <n v="46.9"/>
    <x v="9"/>
    <m/>
    <d v="2021-06-19T00:00:00"/>
    <m/>
    <m/>
    <m/>
    <m/>
    <m/>
    <m/>
  </r>
  <r>
    <s v="Mourik"/>
    <x v="6"/>
    <m/>
    <n v="58"/>
    <s v="1HRL"/>
    <m/>
    <n v="47.27"/>
    <n v="47.3"/>
    <s v="1R-L"/>
    <m/>
    <n v="47.27"/>
    <n v="47.3"/>
    <x v="8"/>
    <m/>
    <d v="2021-06-19T00:00:00"/>
    <m/>
    <m/>
    <m/>
    <m/>
    <m/>
    <m/>
  </r>
  <r>
    <s v="Mourik"/>
    <x v="6"/>
    <m/>
    <n v="58"/>
    <s v="1HRL"/>
    <m/>
    <n v="47.55"/>
    <n v="47.65"/>
    <s v="2R-L"/>
    <m/>
    <n v="47.55"/>
    <n v="47.65"/>
    <x v="1"/>
    <m/>
    <d v="2021-03-02T00:00:00"/>
    <m/>
    <m/>
    <m/>
    <m/>
    <m/>
    <m/>
  </r>
  <r>
    <s v="Mourik"/>
    <x v="6"/>
    <m/>
    <n v="58"/>
    <s v="1HRL"/>
    <m/>
    <n v="52"/>
    <n v="52.25"/>
    <s v="2R-L"/>
    <m/>
    <n v="52"/>
    <n v="52.25"/>
    <x v="1"/>
    <m/>
    <d v="2021-03-02T00:00:00"/>
    <m/>
    <m/>
    <m/>
    <m/>
    <m/>
    <m/>
  </r>
  <r>
    <s v="Mourik"/>
    <x v="6"/>
    <m/>
    <n v="58"/>
    <s v="1HRL"/>
    <m/>
    <n v="55.7"/>
    <n v="56.4"/>
    <s v="2R-L"/>
    <m/>
    <n v="55.7"/>
    <n v="56.4"/>
    <x v="1"/>
    <m/>
    <d v="2021-02-22T00:00:00"/>
    <m/>
    <m/>
    <m/>
    <m/>
    <m/>
    <m/>
  </r>
  <r>
    <s v="Mourik"/>
    <x v="6"/>
    <m/>
    <n v="58"/>
    <s v="1HRL"/>
    <m/>
    <n v="56.174999999999997"/>
    <n v="56.26"/>
    <s v="1R-L"/>
    <m/>
    <n v="56.174999999999997"/>
    <n v="56.26"/>
    <x v="1"/>
    <m/>
    <d v="2021-09-14T00:00:00"/>
    <m/>
    <m/>
    <m/>
    <m/>
    <m/>
    <m/>
  </r>
  <r>
    <s v="Mourik"/>
    <x v="6"/>
    <m/>
    <n v="58"/>
    <s v="1HRL"/>
    <m/>
    <n v="59.4"/>
    <n v="59.6"/>
    <s v="2R-L"/>
    <m/>
    <n v="59.4"/>
    <n v="59.6"/>
    <x v="1"/>
    <m/>
    <d v="2021-02-21T00:00:00"/>
    <m/>
    <m/>
    <m/>
    <m/>
    <m/>
    <m/>
  </r>
  <r>
    <s v="Mourik"/>
    <x v="6"/>
    <m/>
    <n v="58"/>
    <s v="1HRL"/>
    <m/>
    <n v="60.1"/>
    <n v="60.375"/>
    <s v="2R-L"/>
    <m/>
    <n v="60.1"/>
    <n v="60.375"/>
    <x v="1"/>
    <m/>
    <d v="2021-02-21T00:00:00"/>
    <m/>
    <m/>
    <m/>
    <m/>
    <m/>
    <m/>
  </r>
  <r>
    <s v="Mourik"/>
    <x v="6"/>
    <m/>
    <n v="58"/>
    <s v="1HRL"/>
    <m/>
    <n v="61"/>
    <n v="62.2"/>
    <s v="2R-L"/>
    <m/>
    <n v="61"/>
    <n v="62.2"/>
    <x v="1"/>
    <m/>
    <d v="2021-02-21T00:00:00"/>
    <m/>
    <m/>
    <m/>
    <m/>
    <m/>
    <m/>
  </r>
  <r>
    <s v="Mourik"/>
    <x v="6"/>
    <m/>
    <n v="58"/>
    <s v="1HRL"/>
    <m/>
    <n v="89.95"/>
    <n v="89.974999999999994"/>
    <s v="1R-L"/>
    <m/>
    <n v="89.95"/>
    <n v="89.974999999999994"/>
    <x v="1"/>
    <m/>
    <d v="2021-09-02T00:00:00"/>
    <m/>
    <m/>
    <m/>
    <m/>
    <m/>
    <m/>
  </r>
  <r>
    <s v="Mourik"/>
    <x v="6"/>
    <m/>
    <n v="58"/>
    <s v="1HRL"/>
    <m/>
    <n v="91.075000000000003"/>
    <n v="91.775000000000006"/>
    <s v="2R-L"/>
    <m/>
    <n v="91.075000000000003"/>
    <n v="91.775000000000006"/>
    <x v="1"/>
    <m/>
    <d v="2021-02-20T00:00:00"/>
    <m/>
    <m/>
    <m/>
    <m/>
    <m/>
    <m/>
  </r>
  <r>
    <s v="Mourik"/>
    <x v="6"/>
    <m/>
    <n v="58"/>
    <s v="1HRL"/>
    <m/>
    <n v="91.075000000000003"/>
    <n v="91.775000000000006"/>
    <s v="2R-L"/>
    <m/>
    <n v="91.075000000000003"/>
    <n v="91.775000000000006"/>
    <x v="1"/>
    <m/>
    <d v="2021-02-20T00:00:00"/>
    <m/>
    <m/>
    <m/>
    <m/>
    <m/>
    <m/>
  </r>
  <r>
    <s v="Mourik"/>
    <x v="6"/>
    <m/>
    <n v="58"/>
    <s v="1HRL"/>
    <m/>
    <n v="91.3"/>
    <n v="91.5"/>
    <s v="1R-L"/>
    <m/>
    <n v="91.3"/>
    <n v="91.5"/>
    <x v="1"/>
    <m/>
    <d v="2021-09-02T00:00:00"/>
    <m/>
    <m/>
    <m/>
    <m/>
    <m/>
    <m/>
  </r>
  <r>
    <s v="Mourik"/>
    <x v="6"/>
    <m/>
    <n v="58"/>
    <s v="1HRL"/>
    <m/>
    <n v="92.8"/>
    <n v="92.8"/>
    <s v="1R-L"/>
    <m/>
    <n v="92.8"/>
    <n v="92.8"/>
    <x v="6"/>
    <m/>
    <d v="2021-09-02T00:00:00"/>
    <m/>
    <m/>
    <m/>
    <m/>
    <m/>
    <m/>
  </r>
  <r>
    <s v="Mourik"/>
    <x v="6"/>
    <m/>
    <n v="58"/>
    <s v="1HRL"/>
    <m/>
    <n v="94.9"/>
    <n v="95.3"/>
    <s v="2R-L"/>
    <m/>
    <n v="94.9"/>
    <n v="95.3"/>
    <x v="1"/>
    <m/>
    <d v="2021-08-30T00:00:00"/>
    <m/>
    <m/>
    <m/>
    <m/>
    <m/>
    <m/>
  </r>
  <r>
    <s v="Mourik"/>
    <x v="6"/>
    <m/>
    <n v="58"/>
    <s v="1HRL"/>
    <m/>
    <n v="96.9"/>
    <n v="97.3"/>
    <s v="1R-L"/>
    <m/>
    <n v="96.9"/>
    <n v="97.3"/>
    <x v="1"/>
    <m/>
    <d v="2021-03-04T00:00:00"/>
    <m/>
    <m/>
    <m/>
    <m/>
    <m/>
    <m/>
  </r>
  <r>
    <s v="Mourik"/>
    <x v="6"/>
    <m/>
    <n v="58"/>
    <s v="1HRL"/>
    <m/>
    <n v="97.474999999999994"/>
    <n v="97.515000000000001"/>
    <s v="2R-L"/>
    <m/>
    <n v="97.474999999999994"/>
    <n v="97.515000000000001"/>
    <x v="1"/>
    <m/>
    <d v="2021-03-04T00:00:00"/>
    <m/>
    <m/>
    <m/>
    <m/>
    <m/>
    <m/>
  </r>
  <r>
    <s v="Mourik"/>
    <x v="6"/>
    <m/>
    <n v="58"/>
    <s v="1HRL"/>
    <m/>
    <n v="98.2"/>
    <n v="98.3"/>
    <s v="2R-L"/>
    <m/>
    <n v="98.2"/>
    <n v="98.3"/>
    <x v="1"/>
    <m/>
    <d v="2021-09-02T00:00:00"/>
    <m/>
    <m/>
    <m/>
    <m/>
    <m/>
    <m/>
  </r>
  <r>
    <s v="Mourik"/>
    <x v="6"/>
    <m/>
    <n v="58"/>
    <s v="1HRL"/>
    <m/>
    <n v="102.5"/>
    <n v="102.6"/>
    <s v="1R-L"/>
    <m/>
    <n v="102.5"/>
    <n v="102.6"/>
    <x v="19"/>
    <m/>
    <d v="2021-05-19T00:00:00"/>
    <m/>
    <m/>
    <m/>
    <m/>
    <m/>
    <m/>
  </r>
  <r>
    <s v="Mourik"/>
    <x v="6"/>
    <m/>
    <n v="58"/>
    <s v="1HRL"/>
    <m/>
    <n v="119.2"/>
    <n v="119.3"/>
    <s v="1R-L"/>
    <m/>
    <n v="119.2"/>
    <n v="119.3"/>
    <x v="17"/>
    <m/>
    <d v="2021-09-07T00:00:00"/>
    <m/>
    <m/>
    <m/>
    <m/>
    <m/>
    <m/>
  </r>
  <r>
    <s v="Mourik"/>
    <x v="6"/>
    <m/>
    <n v="58"/>
    <s v="1HRL"/>
    <m/>
    <n v="119.3"/>
    <n v="119.34"/>
    <s v="1R-L"/>
    <m/>
    <n v="119.3"/>
    <n v="119.34"/>
    <x v="17"/>
    <m/>
    <d v="2021-09-07T00:00:00"/>
    <m/>
    <m/>
    <m/>
    <m/>
    <m/>
    <m/>
  </r>
  <r>
    <s v="Mourik"/>
    <x v="6"/>
    <m/>
    <n v="58"/>
    <s v="1HRR"/>
    <m/>
    <n v="32.049999999999997"/>
    <n v="32.049999999999997"/>
    <s v="2R-R"/>
    <m/>
    <n v="32.049999999999997"/>
    <n v="32.049999999999997"/>
    <x v="1"/>
    <m/>
    <d v="2021-03-08T00:00:00"/>
    <m/>
    <m/>
    <m/>
    <m/>
    <m/>
    <m/>
  </r>
  <r>
    <s v="Mourik"/>
    <x v="6"/>
    <m/>
    <n v="58"/>
    <s v="1HRR"/>
    <m/>
    <n v="32.1"/>
    <n v="32.130000000000003"/>
    <s v="1I-R"/>
    <m/>
    <n v="32.1"/>
    <n v="32.130000000000003"/>
    <x v="8"/>
    <m/>
    <d v="2021-03-08T00:00:00"/>
    <m/>
    <m/>
    <m/>
    <m/>
    <m/>
    <m/>
  </r>
  <r>
    <s v="Mourik"/>
    <x v="6"/>
    <m/>
    <n v="58"/>
    <s v="1HRR"/>
    <m/>
    <n v="32.130000000000003"/>
    <n v="32.164999999999999"/>
    <s v="1I-R"/>
    <m/>
    <n v="32.130000000000003"/>
    <n v="32.164999999999999"/>
    <x v="1"/>
    <m/>
    <d v="2021-03-08T00:00:00"/>
    <m/>
    <m/>
    <m/>
    <m/>
    <m/>
    <m/>
  </r>
  <r>
    <s v="Mourik"/>
    <x v="6"/>
    <m/>
    <n v="58"/>
    <s v="1HRR"/>
    <m/>
    <n v="36.9"/>
    <n v="37.299999999999997"/>
    <s v="3R-R"/>
    <m/>
    <n v="36.9"/>
    <n v="37.299999999999997"/>
    <x v="9"/>
    <m/>
    <d v="2021-05-27T00:00:00"/>
    <m/>
    <m/>
    <m/>
    <m/>
    <m/>
    <m/>
  </r>
  <r>
    <s v="Mourik"/>
    <x v="6"/>
    <m/>
    <n v="58"/>
    <s v="1HRR"/>
    <m/>
    <n v="37.700000000000003"/>
    <n v="37.799999999999997"/>
    <s v="3R-R"/>
    <m/>
    <n v="37.700000000000003"/>
    <n v="37.799999999999997"/>
    <x v="9"/>
    <m/>
    <d v="2021-05-27T00:00:00"/>
    <m/>
    <m/>
    <m/>
    <m/>
    <m/>
    <m/>
  </r>
  <r>
    <s v="Mourik"/>
    <x v="6"/>
    <m/>
    <n v="58"/>
    <s v="1HRR"/>
    <m/>
    <n v="38.299999999999997"/>
    <n v="38.700000000000003"/>
    <s v="3R-R"/>
    <m/>
    <n v="38.299999999999997"/>
    <n v="38.700000000000003"/>
    <x v="9"/>
    <m/>
    <d v="2021-05-27T00:00:00"/>
    <m/>
    <m/>
    <m/>
    <m/>
    <m/>
    <m/>
  </r>
  <r>
    <s v="Mourik"/>
    <x v="6"/>
    <m/>
    <n v="58"/>
    <s v="1HRR"/>
    <m/>
    <n v="38.799999999999997"/>
    <n v="38.9"/>
    <s v="3R-R"/>
    <m/>
    <n v="38.799999999999997"/>
    <n v="38.9"/>
    <x v="9"/>
    <m/>
    <d v="2021-05-27T00:00:00"/>
    <m/>
    <m/>
    <m/>
    <m/>
    <m/>
    <m/>
  </r>
  <r>
    <s v="Mourik"/>
    <x v="6"/>
    <m/>
    <n v="58"/>
    <s v="1HRR"/>
    <m/>
    <n v="39.200000000000003"/>
    <n v="39.200000000000003"/>
    <s v="3R-R"/>
    <m/>
    <n v="39.200000000000003"/>
    <n v="39.200000000000003"/>
    <x v="6"/>
    <m/>
    <d v="2021-05-27T00:00:00"/>
    <m/>
    <m/>
    <m/>
    <m/>
    <m/>
    <m/>
  </r>
  <r>
    <s v="Mourik"/>
    <x v="6"/>
    <m/>
    <n v="58"/>
    <s v="1HRR"/>
    <m/>
    <n v="39.200000000000003"/>
    <n v="39.200000000000003"/>
    <s v="3R-R"/>
    <m/>
    <n v="39.200000000000003"/>
    <n v="39.200000000000003"/>
    <x v="6"/>
    <m/>
    <d v="2021-05-28T00:00:00"/>
    <m/>
    <m/>
    <m/>
    <m/>
    <m/>
    <m/>
  </r>
  <r>
    <s v="Mourik"/>
    <x v="6"/>
    <m/>
    <n v="58"/>
    <s v="1HRR"/>
    <m/>
    <n v="41.2"/>
    <n v="42.2"/>
    <s v="3R-R"/>
    <m/>
    <n v="41.2"/>
    <n v="42.2"/>
    <x v="1"/>
    <m/>
    <d v="2021-02-19T00:00:00"/>
    <m/>
    <m/>
    <m/>
    <m/>
    <m/>
    <m/>
  </r>
  <r>
    <s v="Boskalis"/>
    <x v="6"/>
    <m/>
    <n v="58"/>
    <s v="1HRR"/>
    <m/>
    <n v="51.7"/>
    <n v="52.5"/>
    <m/>
    <s v="ALLE"/>
    <n v="51.7"/>
    <n v="52.5"/>
    <x v="9"/>
    <m/>
    <d v="1905-07-13T00:00:00"/>
    <m/>
    <m/>
    <m/>
    <m/>
    <m/>
    <m/>
  </r>
  <r>
    <s v="Boskalis"/>
    <x v="6"/>
    <m/>
    <n v="58"/>
    <s v="1HRR"/>
    <m/>
    <n v="52.5"/>
    <n v="53.7"/>
    <m/>
    <s v="ALLE"/>
    <n v="52.5"/>
    <n v="53.7"/>
    <x v="3"/>
    <m/>
    <d v="1905-07-13T00:00:00"/>
    <m/>
    <m/>
    <m/>
    <m/>
    <m/>
    <m/>
  </r>
  <r>
    <s v="Boskalis"/>
    <x v="6"/>
    <m/>
    <n v="58"/>
    <s v="1HRR"/>
    <m/>
    <n v="53.7"/>
    <n v="56.2"/>
    <m/>
    <s v="ALLE"/>
    <n v="53.7"/>
    <n v="56.2"/>
    <x v="9"/>
    <m/>
    <d v="1905-07-13T00:00:00"/>
    <m/>
    <m/>
    <m/>
    <m/>
    <m/>
    <m/>
  </r>
  <r>
    <s v="Mourik"/>
    <x v="6"/>
    <m/>
    <n v="58"/>
    <s v="1HRR"/>
    <m/>
    <n v="55.756999999999998"/>
    <n v="56"/>
    <s v="2R-R"/>
    <m/>
    <n v="55.756999999999998"/>
    <n v="56"/>
    <x v="1"/>
    <m/>
    <d v="2021-02-22T00:00:00"/>
    <m/>
    <m/>
    <m/>
    <m/>
    <m/>
    <m/>
  </r>
  <r>
    <s v="Mourik"/>
    <x v="6"/>
    <m/>
    <n v="58"/>
    <s v="1HRR"/>
    <m/>
    <n v="56.1"/>
    <n v="56.2"/>
    <s v="2R-R"/>
    <m/>
    <n v="56.1"/>
    <n v="56.2"/>
    <x v="1"/>
    <m/>
    <d v="2021-02-23T00:00:00"/>
    <m/>
    <m/>
    <m/>
    <m/>
    <m/>
    <m/>
  </r>
  <r>
    <s v="Mourik"/>
    <x v="6"/>
    <m/>
    <n v="58"/>
    <s v="1HRR"/>
    <m/>
    <n v="56.24"/>
    <n v="56.9"/>
    <s v="2R-R"/>
    <m/>
    <n v="56.24"/>
    <n v="56.9"/>
    <x v="1"/>
    <m/>
    <d v="2021-02-23T00:00:00"/>
    <m/>
    <m/>
    <m/>
    <m/>
    <m/>
    <m/>
  </r>
  <r>
    <s v="Mourik"/>
    <x v="6"/>
    <m/>
    <n v="58"/>
    <s v="1HRR"/>
    <m/>
    <n v="58.1"/>
    <n v="58.95"/>
    <s v="2R-R"/>
    <m/>
    <n v="58.1"/>
    <n v="58.95"/>
    <x v="1"/>
    <m/>
    <d v="2021-02-25T00:00:00"/>
    <m/>
    <m/>
    <m/>
    <m/>
    <m/>
    <m/>
  </r>
  <r>
    <s v="Mourik"/>
    <x v="6"/>
    <m/>
    <n v="58"/>
    <s v="1HRR"/>
    <m/>
    <n v="59"/>
    <n v="59.1"/>
    <s v="2R-R"/>
    <m/>
    <n v="59"/>
    <n v="59.1"/>
    <x v="9"/>
    <m/>
    <d v="2021-06-01T00:00:00"/>
    <m/>
    <m/>
    <m/>
    <m/>
    <m/>
    <m/>
  </r>
  <r>
    <s v="Mourik"/>
    <x v="6"/>
    <m/>
    <n v="58"/>
    <s v="1HRR"/>
    <m/>
    <n v="59.2"/>
    <n v="59.6"/>
    <s v="2R-R"/>
    <m/>
    <n v="59.2"/>
    <n v="59.6"/>
    <x v="9"/>
    <m/>
    <d v="2021-06-01T00:00:00"/>
    <m/>
    <m/>
    <m/>
    <m/>
    <m/>
    <m/>
  </r>
  <r>
    <s v="Mourik"/>
    <x v="6"/>
    <m/>
    <n v="58"/>
    <s v="1HRR"/>
    <m/>
    <n v="60.26"/>
    <n v="60.26"/>
    <s v="1R-R"/>
    <m/>
    <n v="60.26"/>
    <n v="60.26"/>
    <x v="20"/>
    <m/>
    <d v="2021-06-01T00:00:00"/>
    <m/>
    <m/>
    <m/>
    <m/>
    <m/>
    <m/>
  </r>
  <r>
    <s v="Mourik"/>
    <x v="6"/>
    <m/>
    <n v="58"/>
    <s v="1HRR"/>
    <m/>
    <n v="60.8"/>
    <n v="60.8"/>
    <s v="1V-R"/>
    <m/>
    <n v="60.8"/>
    <n v="60.8"/>
    <x v="6"/>
    <m/>
    <d v="2021-08-31T00:00:00"/>
    <m/>
    <m/>
    <m/>
    <m/>
    <m/>
    <m/>
  </r>
  <r>
    <s v="Mourik"/>
    <x v="6"/>
    <m/>
    <n v="58"/>
    <s v="1HRR"/>
    <m/>
    <n v="94.2"/>
    <n v="94.25"/>
    <s v="1R-R"/>
    <m/>
    <n v="94.2"/>
    <n v="94.25"/>
    <x v="17"/>
    <m/>
    <d v="2021-09-14T00:00:00"/>
    <m/>
    <m/>
    <m/>
    <m/>
    <m/>
    <m/>
  </r>
  <r>
    <s v="Mourik"/>
    <x v="6"/>
    <m/>
    <n v="58"/>
    <s v="1HRR"/>
    <m/>
    <n v="97.7"/>
    <n v="97.73"/>
    <s v="2R-R"/>
    <m/>
    <n v="97.7"/>
    <n v="97.73"/>
    <x v="1"/>
    <m/>
    <d v="2021-03-29T00:00:00"/>
    <m/>
    <m/>
    <m/>
    <m/>
    <m/>
    <m/>
  </r>
  <r>
    <s v="Mourik"/>
    <x v="6"/>
    <m/>
    <n v="58"/>
    <s v="1HRR"/>
    <m/>
    <n v="97.73"/>
    <n v="97.8"/>
    <s v="2R-R"/>
    <m/>
    <n v="97.73"/>
    <n v="97.8"/>
    <x v="8"/>
    <m/>
    <d v="2021-03-29T00:00:00"/>
    <m/>
    <m/>
    <m/>
    <m/>
    <m/>
    <m/>
  </r>
  <r>
    <s v="Mourik"/>
    <x v="6"/>
    <m/>
    <n v="58"/>
    <s v="1HRR"/>
    <m/>
    <n v="102.575"/>
    <n v="102.625"/>
    <m/>
    <s v="ALLE"/>
    <n v="102.575"/>
    <n v="102.625"/>
    <x v="1"/>
    <m/>
    <d v="2021-03-29T00:00:00"/>
    <m/>
    <m/>
    <m/>
    <m/>
    <m/>
    <m/>
  </r>
  <r>
    <s v="Mourik"/>
    <x v="6"/>
    <m/>
    <n v="58"/>
    <s v="1HRR"/>
    <m/>
    <n v="102.58"/>
    <n v="102.62"/>
    <m/>
    <s v="ALLE"/>
    <n v="102.58"/>
    <n v="102.62"/>
    <x v="18"/>
    <m/>
    <d v="2021-03-29T00:00:00"/>
    <m/>
    <m/>
    <m/>
    <m/>
    <m/>
    <m/>
  </r>
  <r>
    <s v="Boskalis"/>
    <x v="6"/>
    <m/>
    <n v="58"/>
    <s v="1HRL"/>
    <m/>
    <s v="118,3/243,0"/>
    <n v="119.3"/>
    <m/>
    <s v="ALLE"/>
    <n v="119.3"/>
    <n v="119.3"/>
    <x v="9"/>
    <m/>
    <d v="1905-07-13T00:00:00"/>
    <m/>
    <m/>
    <m/>
    <m/>
    <m/>
    <m/>
  </r>
  <r>
    <s v="Boskalis"/>
    <x v="6"/>
    <m/>
    <n v="58"/>
    <s v="0VW"/>
    <s v="b"/>
    <n v="54.6"/>
    <n v="54.9"/>
    <m/>
    <s v="ALLE"/>
    <n v="54.6"/>
    <n v="54.9"/>
    <x v="8"/>
    <m/>
    <d v="1905-07-13T00:00:00"/>
    <m/>
    <m/>
    <m/>
    <m/>
    <m/>
    <m/>
  </r>
  <r>
    <s v="Mourik"/>
    <x v="6"/>
    <m/>
    <n v="58"/>
    <s v="0VW"/>
    <s v="c"/>
    <n v="31.5"/>
    <n v="31.5"/>
    <m/>
    <s v="ALLE"/>
    <n v="31.5"/>
    <n v="31.5"/>
    <x v="6"/>
    <m/>
    <d v="2021-09-02T00:00:00"/>
    <m/>
    <m/>
    <m/>
    <m/>
    <m/>
    <m/>
  </r>
  <r>
    <s v="Mourik"/>
    <x v="6"/>
    <m/>
    <n v="58"/>
    <s v="0VW"/>
    <s v="c"/>
    <n v="31.5"/>
    <n v="31.5"/>
    <m/>
    <m/>
    <n v="31.5"/>
    <n v="31.5"/>
    <x v="8"/>
    <m/>
    <d v="2021-09-01T00:00:00"/>
    <m/>
    <m/>
    <m/>
    <m/>
    <m/>
    <m/>
  </r>
  <r>
    <s v="Mourik"/>
    <x v="6"/>
    <m/>
    <n v="58"/>
    <s v="0VW"/>
    <s v="h"/>
    <n v="60.9"/>
    <n v="60.9"/>
    <m/>
    <s v="ALLE"/>
    <n v="60.9"/>
    <n v="60.9"/>
    <x v="1"/>
    <m/>
    <d v="2021-09-21T00:00:00"/>
    <m/>
    <m/>
    <m/>
    <m/>
    <m/>
    <m/>
  </r>
  <r>
    <s v="Mourik"/>
    <x v="6"/>
    <m/>
    <n v="59"/>
    <s v="1HRL"/>
    <m/>
    <n v="57.5"/>
    <n v="57.8"/>
    <s v="1R-L"/>
    <m/>
    <n v="57.5"/>
    <n v="57.8"/>
    <x v="17"/>
    <m/>
    <d v="2021-09-08T00:00:00"/>
    <m/>
    <m/>
    <m/>
    <m/>
    <m/>
    <m/>
  </r>
  <r>
    <s v="Mourik"/>
    <x v="6"/>
    <m/>
    <n v="59"/>
    <s v="1HRL"/>
    <m/>
    <n v="57.5"/>
    <n v="57.8"/>
    <s v="2R-L"/>
    <m/>
    <n v="57.5"/>
    <n v="57.8"/>
    <x v="17"/>
    <m/>
    <d v="2021-09-08T00:00:00"/>
    <m/>
    <m/>
    <m/>
    <m/>
    <m/>
    <m/>
  </r>
  <r>
    <s v="Mourik"/>
    <x v="6"/>
    <m/>
    <n v="59"/>
    <s v="1HRL"/>
    <m/>
    <n v="61.3"/>
    <n v="61.3"/>
    <s v="1I-L"/>
    <m/>
    <n v="61.3"/>
    <n v="61.3"/>
    <x v="21"/>
    <m/>
    <d v="2021-09-08T00:00:00"/>
    <m/>
    <m/>
    <m/>
    <m/>
    <m/>
    <m/>
  </r>
  <r>
    <s v="Mourik"/>
    <x v="6"/>
    <m/>
    <n v="59"/>
    <s v="1HRL"/>
    <m/>
    <n v="61.3"/>
    <n v="61.3"/>
    <s v="2R-L"/>
    <m/>
    <n v="61.3"/>
    <n v="61.3"/>
    <x v="21"/>
    <m/>
    <d v="2021-09-08T00:00:00"/>
    <m/>
    <m/>
    <m/>
    <m/>
    <m/>
    <m/>
  </r>
  <r>
    <s v="Mourik"/>
    <x v="6"/>
    <m/>
    <n v="59"/>
    <s v="1HRL"/>
    <m/>
    <n v="64.099999999999994"/>
    <n v="64.099999999999994"/>
    <s v="1V-L"/>
    <m/>
    <n v="64.099999999999994"/>
    <n v="64.099999999999994"/>
    <x v="21"/>
    <m/>
    <d v="2021-09-08T00:00:00"/>
    <m/>
    <m/>
    <m/>
    <m/>
    <m/>
    <m/>
  </r>
  <r>
    <s v="Mourik"/>
    <x v="6"/>
    <m/>
    <n v="59"/>
    <s v="1HRL"/>
    <m/>
    <n v="92.15"/>
    <n v="92.174999999999997"/>
    <m/>
    <s v="ALLE"/>
    <n v="92.15"/>
    <n v="92.174999999999997"/>
    <x v="1"/>
    <m/>
    <d v="2021-09-03T00:00:00"/>
    <m/>
    <m/>
    <m/>
    <m/>
    <m/>
    <m/>
  </r>
  <r>
    <s v="Mourik"/>
    <x v="6"/>
    <m/>
    <n v="59"/>
    <s v="1HRL"/>
    <m/>
    <n v="92.4"/>
    <n v="92.424999999999997"/>
    <m/>
    <s v="ALLE"/>
    <n v="92.4"/>
    <n v="92.424999999999997"/>
    <x v="1"/>
    <m/>
    <d v="2021-09-03T00:00:00"/>
    <m/>
    <m/>
    <m/>
    <m/>
    <m/>
    <m/>
  </r>
  <r>
    <s v="Mourik"/>
    <x v="6"/>
    <m/>
    <n v="59"/>
    <s v="1HRL"/>
    <m/>
    <n v="99.5"/>
    <n v="99.793000000000006"/>
    <m/>
    <s v="ALLE"/>
    <n v="99.5"/>
    <n v="99.793000000000006"/>
    <x v="1"/>
    <m/>
    <d v="2021-09-03T00:00:00"/>
    <m/>
    <m/>
    <m/>
    <m/>
    <m/>
    <m/>
  </r>
  <r>
    <s v="Mourik"/>
    <x v="6"/>
    <m/>
    <n v="59"/>
    <s v="1HRL"/>
    <m/>
    <n v="99.51"/>
    <n v="99.793000000000006"/>
    <s v="½2R-L"/>
    <m/>
    <n v="99.51"/>
    <n v="99.793000000000006"/>
    <x v="18"/>
    <m/>
    <d v="2021-09-03T00:00:00"/>
    <m/>
    <m/>
    <m/>
    <m/>
    <m/>
    <m/>
  </r>
  <r>
    <s v="Mourik"/>
    <x v="6"/>
    <m/>
    <n v="59"/>
    <s v="1HRL"/>
    <m/>
    <n v="99.51"/>
    <n v="99.793000000000006"/>
    <s v="1V-L"/>
    <m/>
    <n v="99.51"/>
    <n v="99.793000000000006"/>
    <x v="18"/>
    <m/>
    <d v="2021-09-03T00:00:00"/>
    <m/>
    <m/>
    <m/>
    <m/>
    <m/>
    <m/>
  </r>
  <r>
    <s v="Mourik"/>
    <x v="6"/>
    <m/>
    <n v="59"/>
    <s v="1HRL"/>
    <m/>
    <n v="99.52"/>
    <n v="99.793000000000006"/>
    <s v="½2R-L"/>
    <m/>
    <n v="99.52"/>
    <n v="99.793000000000006"/>
    <x v="18"/>
    <m/>
    <d v="2021-09-03T00:00:00"/>
    <m/>
    <m/>
    <m/>
    <m/>
    <m/>
    <m/>
  </r>
  <r>
    <s v="Mourik"/>
    <x v="6"/>
    <m/>
    <n v="59"/>
    <s v="1HRL"/>
    <m/>
    <n v="99.52"/>
    <n v="99.793000000000006"/>
    <s v="1V-L"/>
    <m/>
    <n v="99.52"/>
    <n v="99.793000000000006"/>
    <x v="18"/>
    <m/>
    <d v="2021-09-03T00:00:00"/>
    <m/>
    <m/>
    <m/>
    <m/>
    <m/>
    <m/>
  </r>
  <r>
    <s v="Mourik"/>
    <x v="6"/>
    <m/>
    <n v="59"/>
    <s v="1HRL"/>
    <m/>
    <n v="100.36"/>
    <n v="100.36"/>
    <s v="1V-L"/>
    <m/>
    <n v="100.36"/>
    <n v="100.36"/>
    <x v="1"/>
    <m/>
    <d v="2021-09-03T00:00:00"/>
    <m/>
    <m/>
    <m/>
    <m/>
    <m/>
    <m/>
  </r>
  <r>
    <s v="Mourik"/>
    <x v="6"/>
    <m/>
    <n v="59"/>
    <s v="1HRR"/>
    <m/>
    <n v="62.7"/>
    <n v="62.7"/>
    <s v="1V-R"/>
    <m/>
    <n v="62.7"/>
    <n v="62.7"/>
    <x v="1"/>
    <m/>
    <d v="2021-06-18T00:00:00"/>
    <m/>
    <m/>
    <m/>
    <m/>
    <m/>
    <m/>
  </r>
  <r>
    <s v="Mourik"/>
    <x v="6"/>
    <m/>
    <n v="59"/>
    <s v="1HRR"/>
    <m/>
    <n v="64.37"/>
    <n v="64.37"/>
    <s v="1V-R"/>
    <m/>
    <n v="64.37"/>
    <n v="64.37"/>
    <x v="1"/>
    <m/>
    <d v="2021-06-18T00:00:00"/>
    <m/>
    <m/>
    <m/>
    <m/>
    <m/>
    <m/>
  </r>
  <r>
    <s v="Mourik"/>
    <x v="6"/>
    <m/>
    <n v="59"/>
    <s v="1HRR"/>
    <m/>
    <n v="102.7"/>
    <n v="102.8"/>
    <s v="1R-R"/>
    <m/>
    <n v="102.7"/>
    <n v="102.8"/>
    <x v="22"/>
    <m/>
    <d v="2021-06-10T00:00:00"/>
    <m/>
    <m/>
    <m/>
    <m/>
    <m/>
    <m/>
  </r>
  <r>
    <s v="Mourik"/>
    <x v="6"/>
    <m/>
    <n v="59"/>
    <s v="1HRR"/>
    <m/>
    <n v="102.9"/>
    <n v="103"/>
    <m/>
    <s v="ALLE"/>
    <n v="102.9"/>
    <n v="103"/>
    <x v="22"/>
    <m/>
    <d v="2021-06-10T00:00:00"/>
    <m/>
    <m/>
    <m/>
    <m/>
    <m/>
    <m/>
  </r>
  <r>
    <s v="Mourik"/>
    <x v="6"/>
    <m/>
    <n v="59"/>
    <s v="1HRR"/>
    <m/>
    <n v="103"/>
    <n v="103.2"/>
    <s v="2R-R"/>
    <m/>
    <n v="103"/>
    <n v="103.2"/>
    <x v="22"/>
    <m/>
    <d v="2021-06-10T00:00:00"/>
    <m/>
    <m/>
    <m/>
    <m/>
    <m/>
    <m/>
  </r>
  <r>
    <s v="Mourik"/>
    <x v="6"/>
    <m/>
    <n v="59"/>
    <s v="1HRR"/>
    <m/>
    <n v="104"/>
    <n v="104.2"/>
    <s v="1R-R"/>
    <m/>
    <n v="104"/>
    <n v="104.2"/>
    <x v="1"/>
    <m/>
    <d v="2021-06-10T00:00:00"/>
    <m/>
    <m/>
    <m/>
    <m/>
    <m/>
    <m/>
  </r>
  <r>
    <s v="Mourik"/>
    <x v="6"/>
    <m/>
    <n v="59"/>
    <s v="1HRR"/>
    <m/>
    <n v="104.495"/>
    <n v="104.605"/>
    <s v="1R-R"/>
    <m/>
    <n v="104.495"/>
    <n v="104.605"/>
    <x v="1"/>
    <m/>
    <d v="2021-06-10T00:00:00"/>
    <m/>
    <m/>
    <m/>
    <m/>
    <m/>
    <m/>
  </r>
  <r>
    <s v="Mourik"/>
    <x v="6"/>
    <m/>
    <n v="59"/>
    <s v="1HRR"/>
    <m/>
    <n v="104.8"/>
    <n v="104.8"/>
    <m/>
    <s v="ALLE"/>
    <n v="104.8"/>
    <n v="104.8"/>
    <x v="1"/>
    <m/>
    <d v="2021-09-13T00:00:00"/>
    <m/>
    <m/>
    <m/>
    <m/>
    <m/>
    <m/>
  </r>
  <r>
    <s v="Mourik"/>
    <x v="6"/>
    <m/>
    <n v="59"/>
    <s v="1HRR"/>
    <m/>
    <n v="104.8"/>
    <n v="104.8"/>
    <m/>
    <s v="ALLE"/>
    <n v="104.8"/>
    <n v="104.8"/>
    <x v="23"/>
    <m/>
    <d v="2021-09-14T00:00:00"/>
    <m/>
    <m/>
    <m/>
    <m/>
    <m/>
    <m/>
  </r>
  <r>
    <s v="Mourik"/>
    <x v="6"/>
    <m/>
    <n v="59"/>
    <s v="1HRR"/>
    <m/>
    <n v="105.48"/>
    <n v="105.6"/>
    <s v="2R-R"/>
    <m/>
    <n v="105.48"/>
    <n v="105.6"/>
    <x v="1"/>
    <m/>
    <d v="2021-09-13T00:00:00"/>
    <m/>
    <m/>
    <m/>
    <m/>
    <m/>
    <m/>
  </r>
  <r>
    <s v="Mourik"/>
    <x v="6"/>
    <m/>
    <n v="59"/>
    <s v="1HRR"/>
    <m/>
    <n v="105.485"/>
    <n v="105.595"/>
    <s v="2R-R"/>
    <m/>
    <n v="105.485"/>
    <n v="105.595"/>
    <x v="18"/>
    <m/>
    <d v="2021-09-13T00:00:00"/>
    <m/>
    <m/>
    <m/>
    <m/>
    <m/>
    <m/>
  </r>
  <r>
    <s v="Mourik"/>
    <x v="6"/>
    <m/>
    <n v="59"/>
    <s v="1HRR"/>
    <m/>
    <n v="108.6"/>
    <n v="108.9"/>
    <s v="2R-R"/>
    <m/>
    <n v="108.6"/>
    <n v="108.9"/>
    <x v="1"/>
    <m/>
    <d v="2021-09-13T00:00:00"/>
    <m/>
    <m/>
    <m/>
    <m/>
    <m/>
    <m/>
  </r>
  <r>
    <s v="Mourik"/>
    <x v="6"/>
    <m/>
    <n v="59"/>
    <s v="1HRR"/>
    <m/>
    <n v="108.605"/>
    <n v="108.895"/>
    <s v="2R-R"/>
    <m/>
    <n v="108.605"/>
    <n v="108.895"/>
    <x v="18"/>
    <m/>
    <d v="2021-09-13T00:00:00"/>
    <m/>
    <m/>
    <m/>
    <m/>
    <m/>
    <m/>
  </r>
  <r>
    <s v="Mourik"/>
    <x v="6"/>
    <m/>
    <n v="59"/>
    <s v="1HRR"/>
    <m/>
    <n v="113.208"/>
    <n v="113.3"/>
    <s v="1R-R"/>
    <m/>
    <n v="113.208"/>
    <n v="113.3"/>
    <x v="8"/>
    <m/>
    <d v="2021-05-19T00:00:00"/>
    <m/>
    <m/>
    <m/>
    <m/>
    <m/>
    <m/>
  </r>
  <r>
    <s v="Mourik"/>
    <x v="6"/>
    <m/>
    <n v="59"/>
    <s v="0VW"/>
    <s v="h"/>
    <n v="113.1"/>
    <n v="113.2"/>
    <s v="1R-R"/>
    <m/>
    <n v="113.1"/>
    <n v="113.2"/>
    <x v="8"/>
    <m/>
    <d v="2021-06-10T00:00:00"/>
    <m/>
    <m/>
    <m/>
    <m/>
    <m/>
    <m/>
  </r>
  <r>
    <s v="Mourik"/>
    <x v="6"/>
    <m/>
    <n v="59"/>
    <s v="0VW"/>
    <s v="p"/>
    <n v="102.4"/>
    <n v="102.6"/>
    <s v="2R-R"/>
    <m/>
    <n v="102.4"/>
    <n v="102.6"/>
    <x v="22"/>
    <m/>
    <d v="2021-06-11T00:00:00"/>
    <m/>
    <m/>
    <m/>
    <m/>
    <m/>
    <m/>
  </r>
  <r>
    <s v="Mourik"/>
    <x v="6"/>
    <m/>
    <n v="59"/>
    <s v="0VW"/>
    <s v="s"/>
    <n v="88.3"/>
    <n v="88.4"/>
    <s v="1V-L"/>
    <m/>
    <n v="88.3"/>
    <n v="88.4"/>
    <x v="9"/>
    <m/>
    <d v="2021-09-03T00:00:00"/>
    <m/>
    <m/>
    <m/>
    <m/>
    <m/>
    <m/>
  </r>
  <r>
    <s v="Mourik"/>
    <x v="6"/>
    <m/>
    <n v="59"/>
    <s v="0VW"/>
    <s v="s"/>
    <n v="88.4"/>
    <n v="88.5"/>
    <s v="1R-L"/>
    <m/>
    <n v="88.4"/>
    <n v="88.5"/>
    <x v="9"/>
    <m/>
    <d v="2021-09-03T00:00:00"/>
    <m/>
    <m/>
    <m/>
    <m/>
    <m/>
    <m/>
  </r>
  <r>
    <s v="Mourik"/>
    <x v="6"/>
    <m/>
    <n v="59"/>
    <s v="0VW"/>
    <s v="z"/>
    <n v="113.98"/>
    <n v="114.223"/>
    <m/>
    <s v="ALLE"/>
    <n v="113.98"/>
    <n v="114.223"/>
    <x v="17"/>
    <m/>
    <d v="2021-09-27T00:00:00"/>
    <m/>
    <m/>
    <m/>
    <m/>
    <m/>
    <m/>
  </r>
  <r>
    <s v="Mourik"/>
    <x v="6"/>
    <m/>
    <n v="59"/>
    <m/>
    <m/>
    <n v="98.2"/>
    <n v="98.2"/>
    <m/>
    <m/>
    <n v="98.2"/>
    <n v="98.2"/>
    <x v="8"/>
    <m/>
    <d v="2021-07-19T00:00:00"/>
    <m/>
    <m/>
    <m/>
    <m/>
    <m/>
    <m/>
  </r>
  <r>
    <s v="Mourik"/>
    <x v="6"/>
    <m/>
    <n v="59"/>
    <m/>
    <m/>
    <n v="104.1"/>
    <n v="104.1"/>
    <m/>
    <s v="ALLE"/>
    <n v="104.1"/>
    <n v="104.1"/>
    <x v="24"/>
    <m/>
    <d v="2021-09-27T00:00:00"/>
    <m/>
    <m/>
    <m/>
    <m/>
    <m/>
    <m/>
  </r>
  <r>
    <s v="Mourik"/>
    <x v="6"/>
    <m/>
    <n v="59"/>
    <m/>
    <m/>
    <n v="104.1"/>
    <n v="104.1"/>
    <m/>
    <s v="ALLE"/>
    <n v="104.1"/>
    <n v="104.1"/>
    <x v="25"/>
    <m/>
    <d v="2021-09-28T00:00:00"/>
    <m/>
    <m/>
    <m/>
    <m/>
    <m/>
    <m/>
  </r>
  <r>
    <s v="Mourik"/>
    <x v="6"/>
    <m/>
    <n v="65"/>
    <s v="1HRL"/>
    <m/>
    <n v="15.2"/>
    <n v="15.56"/>
    <s v="1R-L"/>
    <m/>
    <n v="15.2"/>
    <n v="15.56"/>
    <x v="22"/>
    <m/>
    <d v="2021-06-11T00:00:00"/>
    <m/>
    <m/>
    <m/>
    <m/>
    <m/>
    <m/>
  </r>
  <r>
    <s v="Mourik"/>
    <x v="6"/>
    <m/>
    <n v="65"/>
    <s v="1HRL"/>
    <m/>
    <n v="15.56"/>
    <n v="15.8"/>
    <s v="2R-L"/>
    <m/>
    <n v="15.56"/>
    <n v="15.8"/>
    <x v="8"/>
    <m/>
    <d v="2021-06-11T00:00:00"/>
    <m/>
    <m/>
    <m/>
    <m/>
    <m/>
    <m/>
  </r>
  <r>
    <s v="Mourik"/>
    <x v="6"/>
    <m/>
    <n v="65"/>
    <s v="1HRL"/>
    <m/>
    <n v="15.8"/>
    <n v="16.100000000000001"/>
    <s v="2R-L"/>
    <m/>
    <n v="15.8"/>
    <n v="16.100000000000001"/>
    <x v="8"/>
    <m/>
    <d v="2021-06-11T00:00:00"/>
    <m/>
    <m/>
    <m/>
    <m/>
    <m/>
    <m/>
  </r>
  <r>
    <s v="Mourik"/>
    <x v="6"/>
    <m/>
    <n v="65"/>
    <s v="1HRL"/>
    <m/>
    <n v="16.600000000000001"/>
    <n v="16.8"/>
    <s v="2R-L"/>
    <m/>
    <n v="16.600000000000001"/>
    <n v="16.8"/>
    <x v="8"/>
    <m/>
    <d v="2021-06-11T00:00:00"/>
    <m/>
    <m/>
    <m/>
    <m/>
    <m/>
    <m/>
  </r>
  <r>
    <s v="Mourik"/>
    <x v="6"/>
    <m/>
    <n v="65"/>
    <s v="1HRR"/>
    <m/>
    <n v="15"/>
    <n v="15.3"/>
    <s v="2R-R"/>
    <m/>
    <n v="15"/>
    <n v="15.3"/>
    <x v="22"/>
    <m/>
    <d v="2021-06-09T00:00:00"/>
    <m/>
    <m/>
    <m/>
    <m/>
    <m/>
    <m/>
  </r>
  <r>
    <s v="Mourik"/>
    <x v="6"/>
    <m/>
    <n v="65"/>
    <s v="1HRR"/>
    <m/>
    <n v="15.3"/>
    <n v="15.4"/>
    <s v="1R-R"/>
    <m/>
    <n v="15.3"/>
    <n v="15.4"/>
    <x v="8"/>
    <m/>
    <d v="2021-06-09T00:00:00"/>
    <m/>
    <m/>
    <m/>
    <m/>
    <m/>
    <m/>
  </r>
  <r>
    <s v="Mourik"/>
    <x v="6"/>
    <m/>
    <n v="65"/>
    <s v="1HRR"/>
    <m/>
    <n v="15.3"/>
    <n v="15.4"/>
    <s v="2R-R"/>
    <m/>
    <n v="15.3"/>
    <n v="15.4"/>
    <x v="8"/>
    <m/>
    <d v="2021-06-09T00:00:00"/>
    <m/>
    <m/>
    <m/>
    <m/>
    <m/>
    <m/>
  </r>
  <r>
    <s v="Mourik"/>
    <x v="6"/>
    <m/>
    <n v="65"/>
    <s v="1HRR"/>
    <m/>
    <n v="15.5"/>
    <n v="15.7"/>
    <s v="2R-R"/>
    <m/>
    <n v="15.5"/>
    <n v="15.7"/>
    <x v="8"/>
    <m/>
    <d v="2021-06-09T00:00:00"/>
    <m/>
    <m/>
    <m/>
    <m/>
    <m/>
    <m/>
  </r>
  <r>
    <s v="Mourik"/>
    <x v="6"/>
    <m/>
    <n v="65"/>
    <m/>
    <m/>
    <n v="19.399999999999999"/>
    <n v="19.399999999999999"/>
    <s v="R2"/>
    <m/>
    <n v="19.399999999999999"/>
    <n v="19.399999999999999"/>
    <x v="8"/>
    <m/>
    <d v="2021-09-01T00:00:00"/>
    <m/>
    <m/>
    <m/>
    <m/>
    <m/>
    <m/>
  </r>
  <r>
    <s v="Mourik"/>
    <x v="6"/>
    <m/>
    <n v="65"/>
    <s v="0VW"/>
    <s v="c"/>
    <n v="19.27"/>
    <n v="19.489999999999998"/>
    <m/>
    <s v="ALLE"/>
    <n v="19.27"/>
    <n v="19.489999999999998"/>
    <x v="8"/>
    <m/>
    <d v="2021-09-01T00:00:00"/>
    <m/>
    <m/>
    <m/>
    <m/>
    <m/>
    <m/>
  </r>
  <r>
    <s v="Mourik"/>
    <x v="6"/>
    <m/>
    <n v="65"/>
    <s v="0VW"/>
    <s v="t"/>
    <n v="20.6"/>
    <n v="20.672000000000001"/>
    <s v="1R-R"/>
    <m/>
    <n v="20.6"/>
    <n v="20.672000000000001"/>
    <x v="8"/>
    <m/>
    <d v="2021-02-22T00:00:00"/>
    <m/>
    <m/>
    <m/>
    <m/>
    <m/>
    <m/>
  </r>
  <r>
    <s v="Mourik"/>
    <x v="6"/>
    <m/>
    <n v="65"/>
    <s v="0VW"/>
    <s v="t"/>
    <n v="20.672000000000001"/>
    <n v="21"/>
    <s v="1R-R"/>
    <m/>
    <n v="20.672000000000001"/>
    <n v="21"/>
    <x v="1"/>
    <m/>
    <d v="2021-02-22T00:00:00"/>
    <m/>
    <m/>
    <m/>
    <m/>
    <m/>
    <m/>
  </r>
  <r>
    <s v="Gebr. van der Lee"/>
    <x v="7"/>
    <m/>
    <n v="73"/>
    <s v="1HRL"/>
    <m/>
    <n v="67.7"/>
    <n v="67.599999999999994"/>
    <s v="2R-L"/>
    <m/>
    <n v="67.599999999999994"/>
    <n v="67.7"/>
    <x v="18"/>
    <m/>
    <d v="2021-05-21T00:00:00"/>
    <m/>
    <m/>
    <m/>
    <m/>
    <m/>
    <m/>
  </r>
  <r>
    <s v="Gebr. van der Lee"/>
    <x v="7"/>
    <m/>
    <n v="73"/>
    <s v="1HRL"/>
    <m/>
    <n v="67.7"/>
    <n v="67.599999999999994"/>
    <s v="2R-L"/>
    <m/>
    <n v="67.599999999999994"/>
    <n v="67.7"/>
    <x v="26"/>
    <m/>
    <d v="2021-05-21T00:00:00"/>
    <m/>
    <m/>
    <m/>
    <m/>
    <m/>
    <m/>
  </r>
  <r>
    <s v="Gebr. van der Lee"/>
    <x v="7"/>
    <m/>
    <n v="73"/>
    <s v="1HRL"/>
    <m/>
    <n v="64.2"/>
    <n v="64.150000000000006"/>
    <s v="2R-L"/>
    <m/>
    <n v="64.150000000000006"/>
    <n v="64.2"/>
    <x v="18"/>
    <m/>
    <d v="2021-05-21T00:00:00"/>
    <m/>
    <m/>
    <m/>
    <m/>
    <m/>
    <m/>
  </r>
  <r>
    <s v="Gebr. van der Lee"/>
    <x v="7"/>
    <m/>
    <n v="73"/>
    <s v="1HRL"/>
    <m/>
    <n v="64.2"/>
    <n v="64.150000000000006"/>
    <s v="2R-L"/>
    <m/>
    <n v="64.150000000000006"/>
    <n v="64.2"/>
    <x v="26"/>
    <m/>
    <d v="2021-05-21T00:00:00"/>
    <m/>
    <m/>
    <m/>
    <m/>
    <m/>
    <m/>
  </r>
  <r>
    <s v="Gebr. van der Lee"/>
    <x v="7"/>
    <m/>
    <n v="73"/>
    <s v="1HRL"/>
    <m/>
    <n v="64.2"/>
    <n v="64.150000000000006"/>
    <s v="1V-L"/>
    <m/>
    <n v="64.150000000000006"/>
    <n v="64.2"/>
    <x v="26"/>
    <m/>
    <d v="2021-05-21T00:00:00"/>
    <m/>
    <m/>
    <m/>
    <m/>
    <m/>
    <m/>
  </r>
  <r>
    <s v="Gebr. van der Lee"/>
    <x v="7"/>
    <m/>
    <n v="73"/>
    <s v="1HRL"/>
    <m/>
    <n v="63.65"/>
    <n v="62.4"/>
    <s v="2R-L"/>
    <m/>
    <n v="62.4"/>
    <n v="63.65"/>
    <x v="18"/>
    <m/>
    <d v="2021-05-21T00:00:00"/>
    <m/>
    <m/>
    <m/>
    <m/>
    <m/>
    <m/>
  </r>
  <r>
    <s v="Gebr. van der Lee"/>
    <x v="7"/>
    <m/>
    <n v="73"/>
    <s v="1HRL"/>
    <m/>
    <n v="63.65"/>
    <n v="62.4"/>
    <s v="2R-L"/>
    <m/>
    <n v="62.4"/>
    <n v="63.65"/>
    <x v="26"/>
    <m/>
    <d v="2021-05-21T00:00:00"/>
    <m/>
    <m/>
    <m/>
    <m/>
    <m/>
    <m/>
  </r>
  <r>
    <s v="Gebr. van der Lee"/>
    <x v="7"/>
    <m/>
    <n v="73"/>
    <s v="1HRL"/>
    <m/>
    <n v="63.65"/>
    <n v="62.4"/>
    <s v="1V-L"/>
    <m/>
    <n v="62.4"/>
    <n v="63.65"/>
    <x v="26"/>
    <m/>
    <d v="2021-05-21T00:00:00"/>
    <m/>
    <m/>
    <m/>
    <m/>
    <m/>
    <m/>
  </r>
  <r>
    <s v="Gebr. van der Lee"/>
    <x v="7"/>
    <m/>
    <n v="73"/>
    <s v="0VW"/>
    <s v="c"/>
    <n v="63.18"/>
    <n v="63.155000000000001"/>
    <s v="1R-L"/>
    <m/>
    <n v="63.155000000000001"/>
    <n v="63.18"/>
    <x v="27"/>
    <m/>
    <d v="2021-05-21T00:00:00"/>
    <m/>
    <m/>
    <m/>
    <m/>
    <m/>
    <m/>
  </r>
  <r>
    <s v="Gebr. van der Lee"/>
    <x v="7"/>
    <m/>
    <n v="74"/>
    <s v="1HRL"/>
    <m/>
    <n v="101.5"/>
    <n v="101"/>
    <s v="2R-L"/>
    <m/>
    <n v="101"/>
    <n v="101.5"/>
    <x v="17"/>
    <m/>
    <d v="2021-06-02T00:00:00"/>
    <m/>
    <m/>
    <m/>
    <m/>
    <m/>
    <m/>
  </r>
  <r>
    <s v="Gebr. van der Lee"/>
    <x v="7"/>
    <m/>
    <n v="74"/>
    <s v="1HRL"/>
    <m/>
    <n v="100.91"/>
    <n v="100.89"/>
    <s v="2R-L"/>
    <m/>
    <n v="100.89"/>
    <n v="100.91"/>
    <x v="3"/>
    <m/>
    <d v="2021-06-02T00:00:00"/>
    <m/>
    <m/>
    <m/>
    <m/>
    <m/>
    <m/>
  </r>
  <r>
    <s v="Gebr. van der Lee"/>
    <x v="7"/>
    <m/>
    <n v="74"/>
    <s v="1HRL"/>
    <m/>
    <n v="99.86"/>
    <n v="99.834999999999994"/>
    <s v="2R-L"/>
    <m/>
    <n v="99.834999999999994"/>
    <n v="99.86"/>
    <x v="17"/>
    <m/>
    <d v="2021-06-02T00:00:00"/>
    <m/>
    <m/>
    <m/>
    <m/>
    <m/>
    <m/>
  </r>
  <r>
    <s v="Gebr. van der Lee"/>
    <x v="7"/>
    <m/>
    <n v="73"/>
    <s v="0VW"/>
    <s v="b"/>
    <n v="62.89"/>
    <n v="63"/>
    <s v="1R-R"/>
    <m/>
    <n v="62.89"/>
    <n v="63"/>
    <x v="27"/>
    <m/>
    <d v="2021-07-20T00:00:00"/>
    <m/>
    <m/>
    <m/>
    <m/>
    <m/>
    <m/>
  </r>
  <r>
    <s v="Gebr. van der Lee"/>
    <x v="7"/>
    <m/>
    <n v="73"/>
    <s v="1HRR"/>
    <m/>
    <n v="67.55"/>
    <n v="67.575000000000003"/>
    <s v="2R-R"/>
    <m/>
    <n v="67.55"/>
    <n v="67.575000000000003"/>
    <x v="18"/>
    <m/>
    <d v="2021-07-20T00:00:00"/>
    <m/>
    <m/>
    <m/>
    <m/>
    <m/>
    <m/>
  </r>
  <r>
    <s v="Gebr. van der Lee"/>
    <x v="7"/>
    <m/>
    <n v="73"/>
    <s v="1HRR"/>
    <m/>
    <n v="67.55"/>
    <n v="67.575000000000003"/>
    <s v="2R-R"/>
    <m/>
    <n v="67.55"/>
    <n v="67.575000000000003"/>
    <x v="26"/>
    <m/>
    <d v="2021-07-20T00:00:00"/>
    <m/>
    <m/>
    <m/>
    <m/>
    <m/>
    <m/>
  </r>
  <r>
    <s v="Gebr. van der Lee"/>
    <x v="7"/>
    <m/>
    <n v="73"/>
    <s v="1HRR"/>
    <m/>
    <n v="67.55"/>
    <n v="67.575000000000003"/>
    <s v="1V-R"/>
    <m/>
    <n v="67.55"/>
    <n v="67.575000000000003"/>
    <x v="26"/>
    <m/>
    <d v="2021-07-20T00:00:00"/>
    <m/>
    <m/>
    <m/>
    <m/>
    <m/>
    <m/>
  </r>
  <r>
    <s v="Gebr. van der Lee"/>
    <x v="7"/>
    <m/>
    <n v="73"/>
    <s v="1HRR"/>
    <m/>
    <n v="68.575000000000003"/>
    <n v="68.599999999999994"/>
    <s v="2R-R"/>
    <m/>
    <n v="68.575000000000003"/>
    <n v="68.599999999999994"/>
    <x v="18"/>
    <m/>
    <d v="2021-07-20T00:00:00"/>
    <m/>
    <m/>
    <m/>
    <m/>
    <m/>
    <m/>
  </r>
  <r>
    <s v="Gebr. van der Lee"/>
    <x v="7"/>
    <m/>
    <n v="73"/>
    <s v="1HRR"/>
    <m/>
    <n v="68.575000000000003"/>
    <n v="68.599999999999994"/>
    <s v="2R-R"/>
    <m/>
    <n v="68.575000000000003"/>
    <n v="68.599999999999994"/>
    <x v="26"/>
    <m/>
    <d v="2021-07-20T00:00:00"/>
    <m/>
    <m/>
    <m/>
    <m/>
    <m/>
    <m/>
  </r>
  <r>
    <s v="Gebr. van der Lee"/>
    <x v="7"/>
    <m/>
    <n v="73"/>
    <s v="1HRR"/>
    <m/>
    <n v="68.575000000000003"/>
    <n v="68.599999999999994"/>
    <s v="1V-R"/>
    <m/>
    <n v="68.575000000000003"/>
    <n v="68.599999999999994"/>
    <x v="26"/>
    <m/>
    <d v="2021-07-20T00:00:00"/>
    <m/>
    <m/>
    <m/>
    <m/>
    <m/>
    <m/>
  </r>
  <r>
    <s v="Gebr. van der Lee"/>
    <x v="7"/>
    <m/>
    <n v="73"/>
    <s v="1HRR"/>
    <m/>
    <n v="66.3"/>
    <n v="66.400000000000006"/>
    <s v="1I-R"/>
    <m/>
    <n v="66.3"/>
    <n v="66.400000000000006"/>
    <x v="17"/>
    <m/>
    <d v="2021-07-20T00:00:00"/>
    <m/>
    <m/>
    <m/>
    <m/>
    <m/>
    <m/>
  </r>
  <r>
    <s v="Gebr. van der Lee"/>
    <x v="7"/>
    <m/>
    <n v="67"/>
    <s v="0VW"/>
    <s v="c"/>
    <n v="65.349999999999994"/>
    <n v="65.2"/>
    <s v="1R-L"/>
    <m/>
    <n v="65.2"/>
    <n v="65.349999999999994"/>
    <x v="27"/>
    <m/>
    <d v="2021-07-21T00:00:00"/>
    <m/>
    <m/>
    <m/>
    <m/>
    <m/>
    <m/>
  </r>
  <r>
    <s v="Gebr. van der Lee"/>
    <x v="7"/>
    <m/>
    <n v="76"/>
    <s v="1HRL"/>
    <m/>
    <n v="7.8"/>
    <n v="7.5"/>
    <s v="2R-L"/>
    <m/>
    <n v="7.5"/>
    <n v="7.8"/>
    <x v="26"/>
    <m/>
    <d v="2021-08-24T00:00:00"/>
    <m/>
    <m/>
    <m/>
    <m/>
    <m/>
    <m/>
  </r>
  <r>
    <s v="Gebr. van der Lee"/>
    <x v="7"/>
    <m/>
    <n v="76"/>
    <s v="1HRL"/>
    <m/>
    <n v="9.8000000000000007"/>
    <n v="9.6999999999999993"/>
    <m/>
    <s v="ALLE"/>
    <n v="9.6999999999999993"/>
    <n v="9.8000000000000007"/>
    <x v="9"/>
    <m/>
    <d v="2021-08-24T00:00:00"/>
    <m/>
    <m/>
    <m/>
    <m/>
    <m/>
    <m/>
  </r>
  <r>
    <s v="Gebr. van der Lee"/>
    <x v="7"/>
    <m/>
    <n v="76"/>
    <s v="1HRL"/>
    <m/>
    <n v="27.1"/>
    <n v="27.05"/>
    <s v="2R-L"/>
    <m/>
    <n v="27.05"/>
    <n v="27.1"/>
    <x v="26"/>
    <m/>
    <d v="2021-08-25T00:00:00"/>
    <m/>
    <m/>
    <m/>
    <m/>
    <m/>
    <m/>
  </r>
  <r>
    <s v="Gebr. van der Lee"/>
    <x v="7"/>
    <m/>
    <n v="76"/>
    <s v="1HRL"/>
    <m/>
    <n v="26.85"/>
    <n v="26.824999999999999"/>
    <s v="2R-L"/>
    <m/>
    <n v="26.824999999999999"/>
    <n v="26.85"/>
    <x v="26"/>
    <m/>
    <d v="2021-08-25T00:00:00"/>
    <m/>
    <m/>
    <m/>
    <m/>
    <m/>
    <m/>
  </r>
  <r>
    <s v="Gebr. van der Lee"/>
    <x v="7"/>
    <m/>
    <n v="76"/>
    <s v="1HRL"/>
    <m/>
    <n v="26.85"/>
    <n v="26.824999999999999"/>
    <s v="1V-L"/>
    <m/>
    <n v="26.824999999999999"/>
    <n v="26.85"/>
    <x v="26"/>
    <m/>
    <d v="2021-08-25T00:00:00"/>
    <m/>
    <m/>
    <m/>
    <m/>
    <m/>
    <m/>
  </r>
  <r>
    <s v="Gebr. van der Lee"/>
    <x v="7"/>
    <m/>
    <n v="76"/>
    <s v="1HRL"/>
    <m/>
    <n v="23.75"/>
    <n v="23.725000000000001"/>
    <s v="2R-L"/>
    <m/>
    <n v="23.725000000000001"/>
    <n v="23.75"/>
    <x v="26"/>
    <m/>
    <d v="2021-08-25T00:00:00"/>
    <m/>
    <m/>
    <m/>
    <m/>
    <m/>
    <m/>
  </r>
  <r>
    <s v="Gebr. van der Lee"/>
    <x v="7"/>
    <m/>
    <n v="76"/>
    <s v="1HRL"/>
    <m/>
    <n v="23.75"/>
    <n v="23.725000000000001"/>
    <s v="1V-L"/>
    <m/>
    <n v="23.725000000000001"/>
    <n v="23.75"/>
    <x v="26"/>
    <m/>
    <d v="2021-08-25T00:00:00"/>
    <m/>
    <m/>
    <m/>
    <m/>
    <m/>
    <m/>
  </r>
  <r>
    <s v="Gebr. van der Lee"/>
    <x v="7"/>
    <m/>
    <n v="76"/>
    <s v="1HRR"/>
    <m/>
    <n v="23.805"/>
    <n v="23.83"/>
    <s v="2R-R"/>
    <m/>
    <n v="23.805"/>
    <n v="23.83"/>
    <x v="26"/>
    <m/>
    <d v="2021-08-26T00:00:00"/>
    <m/>
    <m/>
    <m/>
    <m/>
    <m/>
    <m/>
  </r>
  <r>
    <s v="Gebr. van der Lee"/>
    <x v="7"/>
    <m/>
    <n v="76"/>
    <s v="0VW"/>
    <s v="a"/>
    <n v="24.38"/>
    <n v="24.47"/>
    <s v="1R-R"/>
    <m/>
    <n v="24.38"/>
    <n v="24.47"/>
    <x v="27"/>
    <m/>
    <d v="2021-08-26T00:00:00"/>
    <m/>
    <m/>
    <m/>
    <m/>
    <m/>
    <m/>
  </r>
  <r>
    <s v="Gebr. van der Lee"/>
    <x v="7"/>
    <m/>
    <n v="76"/>
    <s v="1HRR"/>
    <m/>
    <n v="26.074999999999999"/>
    <n v="26.1"/>
    <s v="2R-R"/>
    <m/>
    <n v="26.074999999999999"/>
    <n v="26.1"/>
    <x v="26"/>
    <m/>
    <d v="2021-08-26T00:00:00"/>
    <m/>
    <m/>
    <m/>
    <m/>
    <m/>
    <m/>
  </r>
  <r>
    <s v="Gebr. van der Lee"/>
    <x v="7"/>
    <m/>
    <n v="2"/>
    <s v="1HRL"/>
    <m/>
    <n v="231.48"/>
    <n v="231.08"/>
    <m/>
    <s v="ALLE"/>
    <n v="231.08"/>
    <n v="231.48"/>
    <x v="3"/>
    <m/>
    <d v="2021-08-27T00:00:00"/>
    <m/>
    <m/>
    <m/>
    <m/>
    <m/>
    <m/>
  </r>
  <r>
    <s v="Gebr. van der Lee"/>
    <x v="7"/>
    <m/>
    <n v="2"/>
    <s v="1HRL"/>
    <m/>
    <n v="231.33"/>
    <n v="231.23"/>
    <m/>
    <s v="ALLE"/>
    <n v="231.23"/>
    <n v="231.33"/>
    <x v="28"/>
    <m/>
    <d v="2021-08-27T00:00:00"/>
    <m/>
    <m/>
    <m/>
    <m/>
    <m/>
    <m/>
  </r>
  <r>
    <s v="Gebr. van der Lee"/>
    <x v="7"/>
    <m/>
    <n v="2"/>
    <s v="1HRL"/>
    <m/>
    <n v="221.8"/>
    <n v="221.7"/>
    <s v="2W-L"/>
    <m/>
    <n v="221.7"/>
    <n v="221.8"/>
    <x v="17"/>
    <m/>
    <d v="2021-08-27T00:00:00"/>
    <m/>
    <m/>
    <m/>
    <m/>
    <m/>
    <m/>
  </r>
  <r>
    <s v="Gebr. van der Lee"/>
    <x v="7"/>
    <m/>
    <n v="2"/>
    <s v="1HRL"/>
    <m/>
    <n v="222"/>
    <n v="221.8"/>
    <s v="1W-L"/>
    <m/>
    <n v="221.8"/>
    <n v="222"/>
    <x v="3"/>
    <m/>
    <d v="2021-08-27T00:00:00"/>
    <m/>
    <m/>
    <m/>
    <m/>
    <m/>
    <m/>
  </r>
  <r>
    <s v="Gebr. van der Lee"/>
    <x v="7"/>
    <m/>
    <n v="2"/>
    <s v="1HRL"/>
    <m/>
    <n v="226.21"/>
    <n v="226.185"/>
    <s v="1Q-L"/>
    <m/>
    <n v="226.185"/>
    <n v="226.21"/>
    <x v="26"/>
    <m/>
    <d v="2021-08-27T00:00:00"/>
    <m/>
    <m/>
    <m/>
    <m/>
    <m/>
    <m/>
  </r>
  <r>
    <s v="Gebr. van der Lee"/>
    <x v="7"/>
    <m/>
    <n v="2"/>
    <s v="1HRL"/>
    <m/>
    <n v="223.02500000000001"/>
    <n v="223"/>
    <s v="1R-L"/>
    <m/>
    <n v="223"/>
    <n v="223.02500000000001"/>
    <x v="26"/>
    <m/>
    <d v="2021-08-27T00:00:00"/>
    <m/>
    <m/>
    <m/>
    <m/>
    <m/>
    <m/>
  </r>
  <r>
    <s v="Gebr. van der Lee"/>
    <x v="7"/>
    <m/>
    <n v="2"/>
    <s v="1HRL"/>
    <m/>
    <n v="222.95"/>
    <n v="222.9"/>
    <s v="1R-L"/>
    <m/>
    <n v="222.9"/>
    <n v="222.95"/>
    <x v="3"/>
    <m/>
    <d v="2021-08-27T00:00:00"/>
    <m/>
    <m/>
    <m/>
    <m/>
    <m/>
    <m/>
  </r>
  <r>
    <s v="Gebr. van der Lee"/>
    <x v="7"/>
    <m/>
    <n v="2"/>
    <s v="1HRL"/>
    <m/>
    <n v="222.8"/>
    <n v="222.7"/>
    <s v="1I-L"/>
    <m/>
    <n v="222.7"/>
    <n v="222.8"/>
    <x v="3"/>
    <m/>
    <d v="2021-08-27T00:00:00"/>
    <m/>
    <m/>
    <m/>
    <m/>
    <m/>
    <m/>
  </r>
  <r>
    <s v="Gebr. van der Lee"/>
    <x v="7"/>
    <m/>
    <n v="67"/>
    <s v="1HRL"/>
    <m/>
    <n v="69.400000000000006"/>
    <n v="69.3"/>
    <s v="2R-L"/>
    <m/>
    <n v="69.3"/>
    <n v="69.400000000000006"/>
    <x v="29"/>
    <m/>
    <d v="2021-09-01T00:00:00"/>
    <m/>
    <m/>
    <m/>
    <m/>
    <m/>
    <m/>
  </r>
  <r>
    <s v="Gebr. van der Lee"/>
    <x v="7"/>
    <m/>
    <n v="67"/>
    <s v="1HRL"/>
    <m/>
    <n v="69.8"/>
    <n v="69.7"/>
    <s v="2R-L"/>
    <m/>
    <n v="69.7"/>
    <n v="69.8"/>
    <x v="18"/>
    <m/>
    <d v="2021-09-01T00:00:00"/>
    <m/>
    <m/>
    <m/>
    <m/>
    <m/>
    <m/>
  </r>
  <r>
    <s v="Gebr. van der Lee"/>
    <x v="7"/>
    <m/>
    <n v="67"/>
    <s v="1HRL"/>
    <m/>
    <n v="69.8"/>
    <n v="69.7"/>
    <s v="2R-L"/>
    <m/>
    <n v="69.7"/>
    <n v="69.8"/>
    <x v="9"/>
    <m/>
    <d v="2021-09-01T00:00:00"/>
    <m/>
    <m/>
    <m/>
    <m/>
    <m/>
    <m/>
  </r>
  <r>
    <s v="Gebr. van der Lee"/>
    <x v="7"/>
    <m/>
    <n v="67"/>
    <s v="1HRL"/>
    <m/>
    <n v="69.8"/>
    <n v="69.7"/>
    <s v="1V-L"/>
    <m/>
    <n v="69.7"/>
    <n v="69.8"/>
    <x v="9"/>
    <m/>
    <d v="2021-09-01T00:00:00"/>
    <m/>
    <m/>
    <m/>
    <m/>
    <m/>
    <m/>
  </r>
  <r>
    <s v="Gebr. van der Lee"/>
    <x v="7"/>
    <m/>
    <n v="67"/>
    <s v="0VW"/>
    <s v="n"/>
    <n v="69.400000000000006"/>
    <n v="69.099999999999994"/>
    <m/>
    <s v="ALLE"/>
    <n v="69.099999999999994"/>
    <n v="69.400000000000006"/>
    <x v="9"/>
    <m/>
    <d v="2021-09-01T00:00:00"/>
    <m/>
    <m/>
    <m/>
    <m/>
    <m/>
    <m/>
  </r>
  <r>
    <s v="Gebr. van der Lee"/>
    <x v="7"/>
    <m/>
    <n v="67"/>
    <s v="1HRR"/>
    <m/>
    <n v="53.84"/>
    <n v="54.5"/>
    <s v="2R-R"/>
    <m/>
    <n v="53.84"/>
    <n v="54.5"/>
    <x v="9"/>
    <m/>
    <d v="2021-09-02T00:00:00"/>
    <m/>
    <m/>
    <m/>
    <m/>
    <m/>
    <m/>
  </r>
  <r>
    <s v="Gebr. van der Lee"/>
    <x v="7"/>
    <m/>
    <n v="67"/>
    <s v="1HRR"/>
    <m/>
    <n v="53.84"/>
    <n v="54.5"/>
    <s v="2R-R"/>
    <m/>
    <n v="53.84"/>
    <n v="54.5"/>
    <x v="18"/>
    <m/>
    <d v="2021-09-02T00:00:00"/>
    <m/>
    <m/>
    <m/>
    <m/>
    <m/>
    <m/>
  </r>
  <r>
    <s v="Gebr. van der Lee"/>
    <x v="7"/>
    <m/>
    <n v="67"/>
    <s v="1HRR"/>
    <m/>
    <n v="53.84"/>
    <n v="54.5"/>
    <s v="1V-R"/>
    <m/>
    <n v="53.84"/>
    <n v="54.5"/>
    <x v="18"/>
    <m/>
    <d v="2021-09-02T00:00:00"/>
    <m/>
    <m/>
    <m/>
    <m/>
    <m/>
    <m/>
  </r>
  <r>
    <s v="Gebr. van der Lee"/>
    <x v="7"/>
    <m/>
    <n v="67"/>
    <s v="1HRR"/>
    <m/>
    <n v="58.375"/>
    <n v="58.424999999999997"/>
    <s v="2R-R"/>
    <m/>
    <n v="58.375"/>
    <n v="58.424999999999997"/>
    <x v="9"/>
    <m/>
    <d v="2021-09-02T00:00:00"/>
    <m/>
    <m/>
    <m/>
    <m/>
    <m/>
    <m/>
  </r>
  <r>
    <s v="Gebr. van der Lee"/>
    <x v="7"/>
    <m/>
    <n v="67"/>
    <s v="1HRR"/>
    <m/>
    <n v="58.375"/>
    <n v="58.424999999999997"/>
    <s v="2R-R"/>
    <m/>
    <n v="58.375"/>
    <n v="58.424999999999997"/>
    <x v="18"/>
    <m/>
    <d v="2021-09-02T00:00:00"/>
    <m/>
    <m/>
    <m/>
    <m/>
    <m/>
    <m/>
  </r>
  <r>
    <s v="Gebr. van der Lee"/>
    <x v="7"/>
    <m/>
    <n v="67"/>
    <s v="1HRR"/>
    <m/>
    <n v="58.375"/>
    <n v="58.424999999999997"/>
    <s v="1V-R"/>
    <m/>
    <n v="58.375"/>
    <n v="58.424999999999997"/>
    <x v="18"/>
    <m/>
    <d v="2021-09-02T00:00:00"/>
    <m/>
    <m/>
    <m/>
    <m/>
    <m/>
    <m/>
  </r>
  <r>
    <s v="Gebr. van der Lee"/>
    <x v="7"/>
    <m/>
    <n v="67"/>
    <s v="1HRR"/>
    <m/>
    <n v="58.774999999999999"/>
    <n v="59.4"/>
    <s v="2R-R"/>
    <m/>
    <n v="58.774999999999999"/>
    <n v="59.4"/>
    <x v="9"/>
    <m/>
    <d v="2021-09-02T00:00:00"/>
    <m/>
    <m/>
    <m/>
    <m/>
    <m/>
    <m/>
  </r>
  <r>
    <s v="Gebr. van der Lee"/>
    <x v="7"/>
    <m/>
    <n v="2"/>
    <s v="1HRL"/>
    <m/>
    <n v="228.7"/>
    <n v="228.6"/>
    <s v="1U-L"/>
    <m/>
    <n v="228.6"/>
    <n v="228.7"/>
    <x v="29"/>
    <m/>
    <d v="2021-09-10T00:00:00"/>
    <m/>
    <m/>
    <m/>
    <m/>
    <m/>
    <m/>
  </r>
  <r>
    <s v="Gebr. van der Lee"/>
    <x v="7"/>
    <m/>
    <n v="2"/>
    <s v="1HRL"/>
    <m/>
    <n v="230.023"/>
    <n v="229.9"/>
    <s v="2R-L"/>
    <m/>
    <n v="229.9"/>
    <n v="230.023"/>
    <x v="9"/>
    <m/>
    <d v="2021-09-10T00:00:00"/>
    <m/>
    <m/>
    <m/>
    <m/>
    <m/>
    <m/>
  </r>
  <r>
    <s v="Gebr. van der Lee"/>
    <x v="7"/>
    <m/>
    <n v="2"/>
    <s v="1HRL"/>
    <m/>
    <n v="232.1"/>
    <n v="232.05"/>
    <s v="1I-L"/>
    <m/>
    <n v="232.05"/>
    <n v="232.1"/>
    <x v="9"/>
    <m/>
    <d v="2021-09-10T00:00:00"/>
    <m/>
    <m/>
    <m/>
    <m/>
    <m/>
    <m/>
  </r>
  <r>
    <s v="Gebr. van der Lee"/>
    <x v="7"/>
    <m/>
    <n v="2"/>
    <s v="0VW"/>
    <s v="d"/>
    <n v="232.25"/>
    <n v="232.2"/>
    <s v="1R-L"/>
    <m/>
    <n v="232.2"/>
    <n v="232.25"/>
    <x v="3"/>
    <m/>
    <d v="2021-09-10T00:00:00"/>
    <m/>
    <m/>
    <m/>
    <m/>
    <m/>
    <m/>
  </r>
  <r>
    <s v="Gebr. van der Lee"/>
    <x v="7"/>
    <m/>
    <n v="76"/>
    <s v="1HRR"/>
    <m/>
    <n v="10.75"/>
    <n v="11.7"/>
    <s v="2R-R"/>
    <m/>
    <n v="10.75"/>
    <n v="11.7"/>
    <x v="8"/>
    <m/>
    <d v="2021-09-17T00:00:00"/>
    <m/>
    <m/>
    <m/>
    <m/>
    <m/>
    <m/>
  </r>
  <r>
    <s v="Gebr. van der Lee"/>
    <x v="7"/>
    <m/>
    <n v="76"/>
    <s v="1HRR"/>
    <m/>
    <n v="12.99"/>
    <n v="13.015000000000001"/>
    <s v="1R-R"/>
    <m/>
    <n v="12.99"/>
    <n v="13.015000000000001"/>
    <x v="29"/>
    <m/>
    <d v="2021-09-17T00:00:00"/>
    <m/>
    <m/>
    <m/>
    <m/>
    <m/>
    <m/>
  </r>
  <r>
    <s v="Gebr. van der Lee"/>
    <x v="7"/>
    <m/>
    <n v="76"/>
    <s v="1HRR"/>
    <m/>
    <n v="16.7"/>
    <n v="17.010000000000002"/>
    <s v="2R-R"/>
    <m/>
    <n v="16.7"/>
    <n v="17.010000000000002"/>
    <x v="9"/>
    <m/>
    <d v="2021-09-17T00:00:00"/>
    <m/>
    <m/>
    <m/>
    <m/>
    <m/>
    <m/>
  </r>
  <r>
    <s v="Gebr. van der Lee"/>
    <x v="7"/>
    <m/>
    <n v="2"/>
    <s v="1HRR"/>
    <m/>
    <n v="264.8"/>
    <n v="265.5"/>
    <s v="2R-R"/>
    <m/>
    <n v="264.8"/>
    <n v="265.5"/>
    <x v="9"/>
    <m/>
    <d v="2021-09-20T00:00:00"/>
    <m/>
    <m/>
    <m/>
    <m/>
    <m/>
    <m/>
  </r>
  <r>
    <s v="Gebr. van der Lee"/>
    <x v="7"/>
    <m/>
    <n v="2"/>
    <s v="1HRR"/>
    <m/>
    <n v="264.8"/>
    <n v="265.5"/>
    <s v="1V-R"/>
    <m/>
    <n v="264.8"/>
    <n v="265.5"/>
    <x v="9"/>
    <m/>
    <d v="2021-09-20T00:00:00"/>
    <m/>
    <m/>
    <m/>
    <m/>
    <m/>
    <m/>
  </r>
  <r>
    <s v="Gebr. van der Lee"/>
    <x v="7"/>
    <m/>
    <n v="2"/>
    <s v="1HRR"/>
    <m/>
    <n v="265.39999999999998"/>
    <n v="265.5"/>
    <s v="1I-R"/>
    <m/>
    <n v="265.39999999999998"/>
    <n v="265.5"/>
    <x v="9"/>
    <m/>
    <d v="2021-09-20T00:00:00"/>
    <m/>
    <m/>
    <m/>
    <m/>
    <m/>
    <m/>
  </r>
  <r>
    <s v="Gebr. van der Lee"/>
    <x v="7"/>
    <m/>
    <n v="2"/>
    <s v="1HRR"/>
    <m/>
    <n v="265.8"/>
    <n v="267"/>
    <s v="2R-R"/>
    <m/>
    <n v="265.8"/>
    <n v="267"/>
    <x v="9"/>
    <m/>
    <d v="2021-09-20T00:00:00"/>
    <m/>
    <m/>
    <m/>
    <m/>
    <m/>
    <m/>
  </r>
  <r>
    <s v="Gebr. van der Lee"/>
    <x v="7"/>
    <m/>
    <n v="2"/>
    <s v="1HRR"/>
    <m/>
    <n v="270.14"/>
    <n v="270.16500000000002"/>
    <s v="2R-R"/>
    <m/>
    <n v="270.14"/>
    <n v="270.16500000000002"/>
    <x v="9"/>
    <m/>
    <d v="2021-09-20T00:00:00"/>
    <m/>
    <m/>
    <m/>
    <m/>
    <m/>
    <m/>
  </r>
  <r>
    <s v="Gebr. van der Lee"/>
    <x v="7"/>
    <m/>
    <n v="2"/>
    <s v="1HRR"/>
    <m/>
    <n v="271"/>
    <n v="271.10000000000002"/>
    <s v="1R-R"/>
    <m/>
    <n v="271"/>
    <n v="271.10000000000002"/>
    <x v="9"/>
    <m/>
    <d v="2021-09-20T00:00:00"/>
    <m/>
    <m/>
    <m/>
    <m/>
    <m/>
    <m/>
  </r>
  <r>
    <s v="Gebr. van der Lee"/>
    <x v="7"/>
    <m/>
    <n v="2"/>
    <s v="1HRL"/>
    <m/>
    <n v="265.85000000000002"/>
    <n v="265.39999999999998"/>
    <s v="2R-L"/>
    <m/>
    <n v="265.39999999999998"/>
    <n v="265.85000000000002"/>
    <x v="9"/>
    <m/>
    <d v="2021-09-21T00:00:00"/>
    <m/>
    <m/>
    <m/>
    <m/>
    <m/>
    <m/>
  </r>
  <r>
    <s v="Gebr. van der Lee"/>
    <x v="7"/>
    <m/>
    <n v="2"/>
    <s v="1HRL"/>
    <m/>
    <n v="267.01"/>
    <n v="266.98500000000001"/>
    <s v="2R-L"/>
    <m/>
    <n v="266.98500000000001"/>
    <n v="267.01"/>
    <x v="9"/>
    <m/>
    <d v="2021-09-21T00:00:00"/>
    <m/>
    <m/>
    <m/>
    <m/>
    <m/>
    <m/>
  </r>
  <r>
    <s v="Gebr. van der Lee"/>
    <x v="7"/>
    <m/>
    <n v="2"/>
    <s v="1HRL"/>
    <m/>
    <n v="267.01"/>
    <n v="266.98500000000001"/>
    <s v="1V-L"/>
    <m/>
    <n v="266.98500000000001"/>
    <n v="267.01"/>
    <x v="9"/>
    <m/>
    <d v="2021-09-21T00:00:00"/>
    <m/>
    <m/>
    <m/>
    <m/>
    <m/>
    <m/>
  </r>
  <r>
    <s v="Gebr. van der Lee"/>
    <x v="7"/>
    <m/>
    <n v="2"/>
    <s v="1HRL"/>
    <m/>
    <n v="268.05"/>
    <n v="268.02499999999998"/>
    <s v="2R-L"/>
    <m/>
    <n v="268.02499999999998"/>
    <n v="268.05"/>
    <x v="9"/>
    <m/>
    <d v="2021-09-21T00:00:00"/>
    <m/>
    <m/>
    <m/>
    <m/>
    <m/>
    <m/>
  </r>
  <r>
    <s v="Gebr. van der Lee"/>
    <x v="7"/>
    <m/>
    <n v="2"/>
    <s v="1HRL"/>
    <m/>
    <n v="268.05"/>
    <n v="268.02499999999998"/>
    <s v="1V-L"/>
    <m/>
    <n v="268.02499999999998"/>
    <n v="268.05"/>
    <x v="9"/>
    <m/>
    <d v="2021-09-21T00:00:00"/>
    <m/>
    <m/>
    <m/>
    <m/>
    <m/>
    <m/>
  </r>
  <r>
    <s v="Gebr. van der Lee"/>
    <x v="7"/>
    <m/>
    <n v="2"/>
    <s v="1HRL"/>
    <m/>
    <n v="269.10000000000002"/>
    <n v="268.89999999999998"/>
    <s v="1I-L"/>
    <m/>
    <n v="268.89999999999998"/>
    <n v="269.10000000000002"/>
    <x v="9"/>
    <m/>
    <d v="2021-09-21T00:00:00"/>
    <m/>
    <m/>
    <m/>
    <m/>
    <m/>
    <m/>
  </r>
  <r>
    <s v="Gebr. van der Lee"/>
    <x v="7"/>
    <m/>
    <n v="2"/>
    <s v="1HRL"/>
    <m/>
    <n v="270.125"/>
    <n v="270.10000000000002"/>
    <s v="2R-L"/>
    <m/>
    <n v="270.10000000000002"/>
    <n v="270.125"/>
    <x v="9"/>
    <m/>
    <d v="2021-09-21T00:00:00"/>
    <m/>
    <m/>
    <m/>
    <m/>
    <m/>
    <m/>
  </r>
  <r>
    <s v="Gebr. van der Lee"/>
    <x v="7"/>
    <m/>
    <n v="2"/>
    <s v="1HRL"/>
    <m/>
    <n v="270.125"/>
    <n v="270.10000000000002"/>
    <s v="1V-L"/>
    <m/>
    <n v="270.10000000000002"/>
    <n v="270.125"/>
    <x v="9"/>
    <m/>
    <d v="2021-09-21T00:00:00"/>
    <m/>
    <m/>
    <m/>
    <m/>
    <m/>
    <m/>
  </r>
  <r>
    <s v="Gebr. van der Lee"/>
    <x v="7"/>
    <m/>
    <n v="67"/>
    <s v="1HRL"/>
    <m/>
    <n v="56.4"/>
    <n v="56.375"/>
    <s v="2R-L"/>
    <m/>
    <n v="56.375"/>
    <n v="56.4"/>
    <x v="29"/>
    <m/>
    <d v="2021-09-22T00:00:00"/>
    <m/>
    <m/>
    <m/>
    <m/>
    <m/>
    <m/>
  </r>
  <r>
    <s v="Gebr. van der Lee"/>
    <x v="7"/>
    <m/>
    <n v="67"/>
    <s v="0VW"/>
    <s v="q"/>
    <n v="56.88"/>
    <n v="56.865000000000002"/>
    <s v="1R-L"/>
    <m/>
    <n v="56.865000000000002"/>
    <n v="56.88"/>
    <x v="8"/>
    <m/>
    <d v="2021-09-22T00:00:00"/>
    <m/>
    <m/>
    <m/>
    <m/>
    <m/>
    <m/>
  </r>
  <r>
    <s v="Gebr. van der Lee"/>
    <x v="7"/>
    <m/>
    <n v="67"/>
    <s v="1HRL"/>
    <m/>
    <n v="57.89"/>
    <n v="57.865000000000002"/>
    <s v="2R-L"/>
    <m/>
    <n v="57.865000000000002"/>
    <n v="57.89"/>
    <x v="29"/>
    <m/>
    <d v="2021-09-22T00:00:00"/>
    <m/>
    <m/>
    <m/>
    <m/>
    <m/>
    <m/>
  </r>
  <r>
    <s v="Gebr. van der Lee"/>
    <x v="7"/>
    <m/>
    <n v="67"/>
    <s v="1HRL"/>
    <m/>
    <n v="58.38"/>
    <n v="58.354999999999997"/>
    <s v="2R-L"/>
    <m/>
    <n v="58.354999999999997"/>
    <n v="58.38"/>
    <x v="9"/>
    <m/>
    <d v="2021-09-22T00:00:00"/>
    <m/>
    <m/>
    <m/>
    <m/>
    <m/>
    <m/>
  </r>
  <r>
    <s v="Gebr. van der Lee"/>
    <x v="7"/>
    <m/>
    <n v="67"/>
    <s v="1HRL"/>
    <m/>
    <n v="58.38"/>
    <n v="58.354999999999997"/>
    <s v="1V-L"/>
    <m/>
    <n v="58.354999999999997"/>
    <n v="58.38"/>
    <x v="9"/>
    <m/>
    <d v="2021-09-22T00:00:00"/>
    <m/>
    <m/>
    <m/>
    <m/>
    <m/>
    <m/>
  </r>
  <r>
    <s v="Gebr. van der Lee"/>
    <x v="7"/>
    <m/>
    <n v="2"/>
    <s v="1HRL"/>
    <m/>
    <n v="189.1"/>
    <n v="188.95"/>
    <s v="1U-L"/>
    <m/>
    <n v="188.95"/>
    <n v="189.1"/>
    <x v="9"/>
    <m/>
    <d v="2021-09-23T00:00:00"/>
    <m/>
    <m/>
    <m/>
    <m/>
    <m/>
    <m/>
  </r>
  <r>
    <s v="Gebr. van der Lee"/>
    <x v="7"/>
    <m/>
    <n v="2"/>
    <s v="1HRL"/>
    <m/>
    <n v="194.1"/>
    <n v="193.63"/>
    <s v="1R-L"/>
    <m/>
    <n v="193.63"/>
    <n v="194.1"/>
    <x v="9"/>
    <m/>
    <d v="2021-09-23T00:00:00"/>
    <m/>
    <m/>
    <m/>
    <m/>
    <m/>
    <m/>
  </r>
  <r>
    <s v="Gebr. van der Lee"/>
    <x v="7"/>
    <m/>
    <n v="2"/>
    <s v="1HRL"/>
    <m/>
    <n v="194.3"/>
    <n v="194.1"/>
    <s v="2R-L"/>
    <m/>
    <n v="194.1"/>
    <n v="194.3"/>
    <x v="9"/>
    <m/>
    <d v="2021-09-23T00:00:00"/>
    <m/>
    <m/>
    <m/>
    <m/>
    <m/>
    <m/>
  </r>
  <r>
    <s v="Gebr. van der Lee"/>
    <x v="7"/>
    <m/>
    <n v="2"/>
    <s v="1HRL"/>
    <m/>
    <n v="200.3"/>
    <n v="200"/>
    <s v="1U-L"/>
    <m/>
    <n v="200"/>
    <n v="200.3"/>
    <x v="9"/>
    <m/>
    <d v="2021-09-23T00:00:00"/>
    <m/>
    <m/>
    <m/>
    <m/>
    <m/>
    <m/>
  </r>
  <r>
    <s v="Gebr. van der Lee"/>
    <x v="7"/>
    <m/>
    <n v="2"/>
    <s v="1HRL"/>
    <m/>
    <n v="202.86"/>
    <n v="202.83500000000001"/>
    <s v="1I-L"/>
    <m/>
    <n v="202.83500000000001"/>
    <n v="202.86"/>
    <x v="9"/>
    <m/>
    <d v="2021-09-23T00:00:00"/>
    <m/>
    <m/>
    <m/>
    <m/>
    <m/>
    <m/>
  </r>
  <r>
    <s v="Gebr. van der Lee"/>
    <x v="7"/>
    <m/>
    <n v="2"/>
    <s v="1HRL"/>
    <m/>
    <n v="203.5"/>
    <n v="203.23"/>
    <s v="1U-L"/>
    <m/>
    <n v="203.23"/>
    <n v="203.5"/>
    <x v="9"/>
    <m/>
    <d v="2021-09-23T00:00:00"/>
    <m/>
    <m/>
    <m/>
    <m/>
    <m/>
    <m/>
  </r>
  <r>
    <s v="Gebr. van der Lee"/>
    <x v="7"/>
    <m/>
    <n v="2"/>
    <s v="1HRL"/>
    <m/>
    <n v="204.7"/>
    <n v="204.6"/>
    <s v="2R-L"/>
    <m/>
    <n v="204.6"/>
    <n v="204.7"/>
    <x v="9"/>
    <m/>
    <d v="2021-09-23T00:00:00"/>
    <m/>
    <m/>
    <m/>
    <m/>
    <m/>
    <m/>
  </r>
  <r>
    <s v="Gebr. van der Lee"/>
    <x v="7"/>
    <m/>
    <n v="76"/>
    <s v="1HRR"/>
    <m/>
    <n v="0.375"/>
    <n v="0.4"/>
    <s v="2R-R"/>
    <m/>
    <n v="0.375"/>
    <n v="0.4"/>
    <x v="9"/>
    <m/>
    <d v="2021-09-29T00:00:00"/>
    <m/>
    <m/>
    <m/>
    <m/>
    <m/>
    <m/>
  </r>
  <r>
    <s v="Gebr. van der Lee"/>
    <x v="7"/>
    <m/>
    <n v="76"/>
    <s v="1HRR"/>
    <m/>
    <n v="0.7"/>
    <n v="0.85"/>
    <s v="2R-R"/>
    <m/>
    <n v="0.7"/>
    <n v="0.85"/>
    <x v="9"/>
    <m/>
    <d v="2021-09-29T00:00:00"/>
    <m/>
    <m/>
    <m/>
    <m/>
    <m/>
    <m/>
  </r>
  <r>
    <s v="Gebr. van der Lee"/>
    <x v="7"/>
    <m/>
    <n v="76"/>
    <s v="1HRR"/>
    <m/>
    <n v="0.7"/>
    <n v="0.85"/>
    <s v="1V-R"/>
    <m/>
    <n v="0.7"/>
    <n v="0.85"/>
    <x v="9"/>
    <m/>
    <d v="2021-09-29T00:00:00"/>
    <m/>
    <m/>
    <m/>
    <m/>
    <m/>
    <m/>
  </r>
  <r>
    <s v="Gebr. van der Lee"/>
    <x v="7"/>
    <m/>
    <n v="76"/>
    <s v="1HRR"/>
    <m/>
    <n v="2"/>
    <n v="2.0249999999999999"/>
    <s v="2R-R"/>
    <m/>
    <n v="2"/>
    <n v="2.0249999999999999"/>
    <x v="9"/>
    <m/>
    <d v="2021-09-29T00:00:00"/>
    <m/>
    <m/>
    <m/>
    <m/>
    <m/>
    <m/>
  </r>
  <r>
    <s v="Gebr. van der Lee"/>
    <x v="7"/>
    <m/>
    <n v="76"/>
    <s v="1HRR"/>
    <m/>
    <n v="2"/>
    <n v="2.0249999999999999"/>
    <s v="1V-R"/>
    <m/>
    <n v="2"/>
    <n v="2.0249999999999999"/>
    <x v="9"/>
    <m/>
    <d v="2021-09-29T00:00:00"/>
    <m/>
    <m/>
    <m/>
    <m/>
    <m/>
    <m/>
  </r>
  <r>
    <s v="Gebr. van der Lee"/>
    <x v="7"/>
    <m/>
    <n v="2"/>
    <s v="1HRR"/>
    <m/>
    <n v="220.85"/>
    <n v="221.6"/>
    <s v="2R-R"/>
    <m/>
    <n v="220.85"/>
    <n v="221.6"/>
    <x v="9"/>
    <m/>
    <d v="2021-09-30T00:00:00"/>
    <m/>
    <m/>
    <m/>
    <m/>
    <m/>
    <m/>
  </r>
  <r>
    <s v="Gebr. van der Lee"/>
    <x v="7"/>
    <m/>
    <n v="2"/>
    <s v="1HRR"/>
    <m/>
    <n v="223.6"/>
    <n v="223.7"/>
    <s v="1Q-R"/>
    <m/>
    <n v="223.6"/>
    <n v="223.7"/>
    <x v="3"/>
    <m/>
    <d v="2021-09-30T00:00:00"/>
    <m/>
    <m/>
    <m/>
    <m/>
    <m/>
    <m/>
  </r>
  <r>
    <s v="Gebr. van der Lee"/>
    <x v="7"/>
    <m/>
    <n v="2"/>
    <s v="0VW"/>
    <s v="b"/>
    <n v="224.6"/>
    <n v="224.8"/>
    <s v="1R-R"/>
    <m/>
    <n v="224.6"/>
    <n v="224.8"/>
    <x v="9"/>
    <m/>
    <d v="2021-09-30T00:00:00"/>
    <m/>
    <m/>
    <m/>
    <m/>
    <m/>
    <m/>
  </r>
  <r>
    <s v="Gebr. van der Lee"/>
    <x v="7"/>
    <m/>
    <n v="2"/>
    <s v="1HRR"/>
    <m/>
    <n v="225.5"/>
    <n v="225.8"/>
    <s v="2R-R"/>
    <m/>
    <n v="225.5"/>
    <n v="225.8"/>
    <x v="9"/>
    <m/>
    <d v="2021-09-30T00:00:00"/>
    <m/>
    <m/>
    <m/>
    <m/>
    <m/>
    <m/>
  </r>
  <r>
    <s v="Gebr. van der Lee"/>
    <x v="7"/>
    <m/>
    <n v="2"/>
    <s v="1HRR"/>
    <m/>
    <n v="225.5"/>
    <n v="225.8"/>
    <s v="1Q-R"/>
    <m/>
    <n v="225.5"/>
    <n v="225.8"/>
    <x v="9"/>
    <m/>
    <d v="2021-09-30T00:00:00"/>
    <m/>
    <m/>
    <m/>
    <m/>
    <m/>
    <m/>
  </r>
  <r>
    <s v="Gebr. van der Lee"/>
    <x v="7"/>
    <m/>
    <n v="2"/>
    <s v="1HRR"/>
    <m/>
    <n v="226.4"/>
    <n v="226.5"/>
    <s v="1R-R"/>
    <m/>
    <n v="226.4"/>
    <n v="226.5"/>
    <x v="29"/>
    <m/>
    <d v="2021-09-30T00:00:00"/>
    <m/>
    <m/>
    <m/>
    <m/>
    <m/>
    <m/>
  </r>
  <r>
    <s v="Gebr. van der Lee"/>
    <x v="7"/>
    <m/>
    <n v="2"/>
    <s v="1HRR"/>
    <m/>
    <n v="228.7"/>
    <n v="228.97"/>
    <s v="1U-R"/>
    <m/>
    <n v="228.7"/>
    <n v="228.97"/>
    <x v="3"/>
    <m/>
    <d v="2021-09-30T00:00:00"/>
    <m/>
    <m/>
    <m/>
    <m/>
    <m/>
    <m/>
  </r>
  <r>
    <s v="Gebr. van der Lee"/>
    <x v="7"/>
    <m/>
    <n v="67"/>
    <s v="1HRR"/>
    <m/>
    <n v="70.7"/>
    <n v="71.22"/>
    <m/>
    <s v="ALLE"/>
    <n v="70.7"/>
    <n v="71.22"/>
    <x v="30"/>
    <m/>
    <d v="2021-10-01T00:00:00"/>
    <m/>
    <m/>
    <m/>
    <m/>
    <m/>
    <m/>
  </r>
  <r>
    <s v="Gebr. van der Lee"/>
    <x v="7"/>
    <m/>
    <n v="73"/>
    <s v="1HRR"/>
    <m/>
    <n v="21"/>
    <n v="21.1"/>
    <s v="2R-R"/>
    <m/>
    <n v="21"/>
    <n v="21.1"/>
    <x v="17"/>
    <m/>
    <d v="2021-10-08T00:00:00"/>
    <m/>
    <m/>
    <m/>
    <m/>
    <m/>
    <m/>
  </r>
  <r>
    <s v="Gebr. van der Lee"/>
    <x v="7"/>
    <m/>
    <n v="73"/>
    <s v="1HRL"/>
    <m/>
    <n v="21.3"/>
    <n v="21.2"/>
    <s v="2R-L"/>
    <m/>
    <n v="21.2"/>
    <n v="21.3"/>
    <x v="3"/>
    <m/>
    <d v="2021-10-08T00:00:00"/>
    <m/>
    <m/>
    <m/>
    <m/>
    <m/>
    <m/>
  </r>
  <r>
    <s v="Gebr. van der Lee"/>
    <x v="7"/>
    <m/>
    <n v="73"/>
    <s v="1HRR"/>
    <m/>
    <n v="24.5"/>
    <n v="24.7"/>
    <s v="2R-R"/>
    <m/>
    <n v="24.5"/>
    <n v="24.7"/>
    <x v="17"/>
    <m/>
    <d v="2021-10-08T00:00:00"/>
    <m/>
    <m/>
    <m/>
    <m/>
    <m/>
    <m/>
  </r>
  <r>
    <s v="Gebr. van der Lee"/>
    <x v="7"/>
    <m/>
    <n v="73"/>
    <s v="1HRL"/>
    <m/>
    <n v="28.17"/>
    <n v="27.2"/>
    <s v="2R-L"/>
    <m/>
    <n v="27.2"/>
    <n v="28.17"/>
    <x v="3"/>
    <m/>
    <d v="2021-10-08T00:00:00"/>
    <m/>
    <m/>
    <m/>
    <m/>
    <m/>
    <m/>
  </r>
  <r>
    <s v="Gebr. van der Lee"/>
    <x v="7"/>
    <m/>
    <n v="73"/>
    <s v="1HRL"/>
    <m/>
    <n v="28.175000000000001"/>
    <n v="27.75"/>
    <s v="1I-L "/>
    <m/>
    <n v="27.75"/>
    <n v="28.175000000000001"/>
    <x v="3"/>
    <m/>
    <d v="2021-10-08T00:00:00"/>
    <m/>
    <m/>
    <m/>
    <m/>
    <m/>
    <m/>
  </r>
  <r>
    <s v="Gebr. van der Lee"/>
    <x v="7"/>
    <m/>
    <n v="73"/>
    <s v="1HRL"/>
    <m/>
    <n v="28.175000000000001"/>
    <n v="27.75"/>
    <s v="1V-L"/>
    <m/>
    <n v="27.75"/>
    <n v="28.175000000000001"/>
    <x v="3"/>
    <m/>
    <d v="2021-10-08T00:00:00"/>
    <m/>
    <m/>
    <m/>
    <m/>
    <m/>
    <m/>
  </r>
  <r>
    <s v="Gebr. van der Lee"/>
    <x v="7"/>
    <m/>
    <n v="76"/>
    <s v="0VW"/>
    <s v="y"/>
    <n v="1.85"/>
    <n v="1.7"/>
    <s v="2R-L"/>
    <m/>
    <n v="1.7"/>
    <n v="1.85"/>
    <x v="9"/>
    <m/>
    <d v="2021-10-13T00:00:00"/>
    <m/>
    <m/>
    <m/>
    <m/>
    <m/>
    <m/>
  </r>
  <r>
    <s v="Gebr. van der Lee"/>
    <x v="7"/>
    <m/>
    <n v="76"/>
    <s v="0VW"/>
    <s v="y"/>
    <n v="1.85"/>
    <n v="1.7"/>
    <s v="1R-L"/>
    <m/>
    <n v="1.7"/>
    <n v="1.85"/>
    <x v="9"/>
    <m/>
    <d v="2021-10-13T00:00:00"/>
    <m/>
    <m/>
    <m/>
    <m/>
    <m/>
    <m/>
  </r>
  <r>
    <s v="Gebr. van der Lee"/>
    <x v="7"/>
    <m/>
    <n v="2"/>
    <s v="1HRR"/>
    <m/>
    <n v="234.8"/>
    <n v="235"/>
    <s v="1Q-R"/>
    <m/>
    <n v="234.8"/>
    <n v="235"/>
    <x v="17"/>
    <m/>
    <d v="2021-10-13T00:00:00"/>
    <m/>
    <m/>
    <m/>
    <m/>
    <m/>
    <m/>
  </r>
  <r>
    <s v="Gebr. van der Lee"/>
    <x v="7"/>
    <m/>
    <n v="2"/>
    <s v="1HRR"/>
    <m/>
    <n v="236.7"/>
    <n v="236.8"/>
    <s v="1Q-R"/>
    <m/>
    <n v="236.7"/>
    <n v="236.8"/>
    <x v="17"/>
    <m/>
    <d v="2021-10-13T00:00:00"/>
    <m/>
    <m/>
    <m/>
    <m/>
    <m/>
    <m/>
  </r>
  <r>
    <s v="Gebr. van der Lee"/>
    <x v="7"/>
    <m/>
    <n v="2"/>
    <s v="1HRR"/>
    <m/>
    <n v="237.5"/>
    <n v="237.6"/>
    <s v="1Q-R"/>
    <m/>
    <n v="237.5"/>
    <n v="237.6"/>
    <x v="17"/>
    <m/>
    <d v="2021-10-13T00:00:00"/>
    <m/>
    <m/>
    <m/>
    <m/>
    <m/>
    <m/>
  </r>
  <r>
    <s v="Gebr. van der Lee"/>
    <x v="7"/>
    <m/>
    <n v="2"/>
    <s v="1HRL"/>
    <m/>
    <n v="212.9"/>
    <n v="212.5"/>
    <s v="1I-L"/>
    <m/>
    <n v="212.5"/>
    <n v="212.9"/>
    <x v="9"/>
    <m/>
    <d v="2021-10-14T00:00:00"/>
    <m/>
    <m/>
    <m/>
    <m/>
    <m/>
    <m/>
  </r>
  <r>
    <s v="Gebr. van der Lee"/>
    <x v="7"/>
    <m/>
    <n v="2"/>
    <s v="1HRL"/>
    <m/>
    <n v="212.9"/>
    <n v="212.5"/>
    <s v="1V-L"/>
    <m/>
    <n v="212.5"/>
    <n v="212.9"/>
    <x v="9"/>
    <m/>
    <d v="2021-10-14T00:00:00"/>
    <m/>
    <m/>
    <m/>
    <m/>
    <m/>
    <m/>
  </r>
  <r>
    <s v="Gebr. van der Lee"/>
    <x v="7"/>
    <m/>
    <n v="73"/>
    <s v="1HRR"/>
    <m/>
    <n v="54.375"/>
    <n v="54.44"/>
    <s v="1I-R"/>
    <m/>
    <n v="54.375"/>
    <n v="54.44"/>
    <x v="9"/>
    <m/>
    <d v="2021-10-15T00:00:00"/>
    <m/>
    <m/>
    <m/>
    <m/>
    <m/>
    <m/>
  </r>
  <r>
    <s v="Gebr. van der Lee"/>
    <x v="7"/>
    <m/>
    <n v="73"/>
    <s v="1HRR"/>
    <m/>
    <n v="54.375"/>
    <n v="54.44"/>
    <s v="1V-R"/>
    <m/>
    <n v="54.375"/>
    <n v="54.44"/>
    <x v="9"/>
    <m/>
    <d v="2021-10-15T00:00:00"/>
    <m/>
    <m/>
    <m/>
    <m/>
    <m/>
    <m/>
  </r>
  <r>
    <s v="Gebr. van der Lee"/>
    <x v="7"/>
    <m/>
    <n v="73"/>
    <s v="1HRR"/>
    <m/>
    <n v="54.414999999999999"/>
    <n v="54.44"/>
    <s v="2R-R"/>
    <m/>
    <n v="54.414999999999999"/>
    <n v="54.44"/>
    <x v="9"/>
    <m/>
    <d v="2021-10-15T00:00:00"/>
    <m/>
    <m/>
    <m/>
    <m/>
    <m/>
    <m/>
  </r>
  <r>
    <s v="Gebr. van der Lee"/>
    <x v="7"/>
    <m/>
    <n v="73"/>
    <s v="1HRR"/>
    <m/>
    <n v="54.95"/>
    <n v="55.024999999999999"/>
    <s v="2R-R"/>
    <m/>
    <n v="54.95"/>
    <n v="55.024999999999999"/>
    <x v="18"/>
    <m/>
    <d v="2021-10-15T00:00:00"/>
    <m/>
    <m/>
    <m/>
    <m/>
    <m/>
    <m/>
  </r>
  <r>
    <s v="Gebr. van der Lee"/>
    <x v="7"/>
    <m/>
    <n v="73"/>
    <s v="1HRR"/>
    <m/>
    <n v="54.95"/>
    <n v="55.024999999999999"/>
    <s v="2R-R"/>
    <m/>
    <n v="54.95"/>
    <n v="55.024999999999999"/>
    <x v="9"/>
    <m/>
    <d v="2021-10-15T00:00:00"/>
    <m/>
    <m/>
    <m/>
    <m/>
    <m/>
    <m/>
  </r>
  <r>
    <s v="Gebr. van der Lee"/>
    <x v="7"/>
    <m/>
    <n v="73"/>
    <s v="1HRR"/>
    <m/>
    <n v="54.95"/>
    <n v="55.024999999999999"/>
    <s v="1V-R"/>
    <m/>
    <n v="54.95"/>
    <n v="55.024999999999999"/>
    <x v="9"/>
    <m/>
    <d v="2021-10-15T00:00:00"/>
    <m/>
    <m/>
    <m/>
    <m/>
    <m/>
    <m/>
  </r>
  <r>
    <s v="Gebr. van der Lee"/>
    <x v="7"/>
    <m/>
    <n v="73"/>
    <s v="0VW"/>
    <s v="b"/>
    <n v="56.5"/>
    <n v="56.81"/>
    <s v="1R-R"/>
    <m/>
    <n v="56.5"/>
    <n v="56.81"/>
    <x v="8"/>
    <m/>
    <d v="2021-10-15T00:00:00"/>
    <m/>
    <m/>
    <m/>
    <m/>
    <m/>
    <m/>
  </r>
  <r>
    <s v="Gebr. van der Lee"/>
    <x v="7"/>
    <m/>
    <n v="73"/>
    <s v="1HRR"/>
    <m/>
    <n v="57.35"/>
    <n v="57.4"/>
    <s v="2R-R"/>
    <m/>
    <n v="57.35"/>
    <n v="57.4"/>
    <x v="18"/>
    <m/>
    <d v="2021-10-15T00:00:00"/>
    <m/>
    <m/>
    <m/>
    <m/>
    <m/>
    <m/>
  </r>
  <r>
    <s v="Gebr. van der Lee"/>
    <x v="7"/>
    <m/>
    <n v="73"/>
    <s v="1HRR"/>
    <m/>
    <n v="57.35"/>
    <n v="57.4"/>
    <s v="2R-R"/>
    <m/>
    <n v="57.35"/>
    <n v="57.4"/>
    <x v="9"/>
    <m/>
    <d v="2021-10-15T00:00:00"/>
    <m/>
    <m/>
    <m/>
    <m/>
    <m/>
    <m/>
  </r>
  <r>
    <s v="Gebr. van der Lee"/>
    <x v="7"/>
    <m/>
    <n v="73"/>
    <s v="1HRR"/>
    <m/>
    <n v="57.35"/>
    <n v="57.4"/>
    <s v="1V-R"/>
    <m/>
    <n v="57.35"/>
    <n v="57.4"/>
    <x v="9"/>
    <m/>
    <d v="2021-10-15T00:00:00"/>
    <m/>
    <m/>
    <m/>
    <m/>
    <m/>
    <m/>
  </r>
  <r>
    <s v="Gebr. van der Lee"/>
    <x v="7"/>
    <m/>
    <n v="73"/>
    <s v="1HRR"/>
    <m/>
    <n v="57.875"/>
    <n v="58"/>
    <s v="2R-R"/>
    <m/>
    <n v="57.875"/>
    <n v="58"/>
    <x v="18"/>
    <m/>
    <d v="2021-10-15T00:00:00"/>
    <m/>
    <m/>
    <m/>
    <m/>
    <m/>
    <m/>
  </r>
  <r>
    <s v="Gebr. van der Lee"/>
    <x v="7"/>
    <m/>
    <n v="73"/>
    <s v="1HRR"/>
    <m/>
    <n v="57.875"/>
    <n v="58"/>
    <s v="2R-R"/>
    <m/>
    <n v="57.875"/>
    <n v="58"/>
    <x v="9"/>
    <m/>
    <d v="2021-10-15T00:00:00"/>
    <m/>
    <m/>
    <m/>
    <m/>
    <m/>
    <m/>
  </r>
  <r>
    <s v="Gebr. van der Lee"/>
    <x v="7"/>
    <m/>
    <n v="73"/>
    <s v="1HRR"/>
    <m/>
    <n v="57.875"/>
    <n v="58"/>
    <s v="1V-R"/>
    <m/>
    <n v="57.875"/>
    <n v="58"/>
    <x v="9"/>
    <m/>
    <d v="2021-10-15T00:00:00"/>
    <m/>
    <m/>
    <m/>
    <m/>
    <m/>
    <m/>
  </r>
  <r>
    <s v="Gebr. van der Lee"/>
    <x v="7"/>
    <m/>
    <n v="73"/>
    <s v="1HRR"/>
    <m/>
    <n v="58.25"/>
    <n v="58.274999999999999"/>
    <s v="2R-R"/>
    <m/>
    <n v="58.25"/>
    <n v="58.274999999999999"/>
    <x v="18"/>
    <m/>
    <d v="2021-10-15T00:00:00"/>
    <m/>
    <m/>
    <m/>
    <m/>
    <m/>
    <m/>
  </r>
  <r>
    <s v="Gebr. van der Lee"/>
    <x v="7"/>
    <m/>
    <n v="73"/>
    <s v="1HRR"/>
    <m/>
    <n v="58.25"/>
    <n v="58.274999999999999"/>
    <s v="2R-R"/>
    <m/>
    <n v="58.25"/>
    <n v="58.274999999999999"/>
    <x v="9"/>
    <m/>
    <d v="2021-10-15T00:00:00"/>
    <m/>
    <m/>
    <m/>
    <m/>
    <m/>
    <m/>
  </r>
  <r>
    <s v="Gebr. van der Lee"/>
    <x v="7"/>
    <m/>
    <n v="73"/>
    <s v="1HRR"/>
    <m/>
    <n v="58.25"/>
    <n v="58.274999999999999"/>
    <s v="1V-R"/>
    <m/>
    <n v="58.25"/>
    <n v="58.274999999999999"/>
    <x v="9"/>
    <m/>
    <d v="2021-10-15T00:00:00"/>
    <m/>
    <m/>
    <m/>
    <m/>
    <m/>
    <m/>
  </r>
  <r>
    <s v="Gebr. van der Lee"/>
    <x v="7"/>
    <m/>
    <n v="73"/>
    <s v="1HRR"/>
    <m/>
    <n v="59.05"/>
    <n v="59.075000000000003"/>
    <s v="2R-R"/>
    <m/>
    <n v="59.05"/>
    <n v="59.075000000000003"/>
    <x v="18"/>
    <m/>
    <d v="2021-10-15T00:00:00"/>
    <m/>
    <m/>
    <m/>
    <m/>
    <m/>
    <m/>
  </r>
  <r>
    <s v="Gebr. van der Lee"/>
    <x v="7"/>
    <m/>
    <n v="73"/>
    <s v="1HRR"/>
    <m/>
    <n v="59.05"/>
    <n v="59.075000000000003"/>
    <s v="2R-R"/>
    <m/>
    <n v="59.05"/>
    <n v="59.075000000000003"/>
    <x v="9"/>
    <m/>
    <d v="2021-10-15T00:00:00"/>
    <m/>
    <m/>
    <m/>
    <m/>
    <m/>
    <m/>
  </r>
  <r>
    <s v="Gebr. van der Lee"/>
    <x v="7"/>
    <m/>
    <n v="73"/>
    <s v="1HRR"/>
    <m/>
    <n v="59.05"/>
    <n v="59.075000000000003"/>
    <s v="1V-R"/>
    <m/>
    <n v="59.05"/>
    <n v="59.075000000000003"/>
    <x v="9"/>
    <m/>
    <d v="2021-10-15T00:00:00"/>
    <m/>
    <m/>
    <m/>
    <m/>
    <m/>
    <m/>
  </r>
  <r>
    <s v="Gebr. van der Lee"/>
    <x v="7"/>
    <m/>
    <n v="73"/>
    <s v="1HRR"/>
    <m/>
    <n v="59.72"/>
    <n v="59.744999999999997"/>
    <s v="2R-R"/>
    <m/>
    <n v="59.72"/>
    <n v="59.744999999999997"/>
    <x v="18"/>
    <m/>
    <d v="2021-10-15T00:00:00"/>
    <m/>
    <m/>
    <m/>
    <m/>
    <m/>
    <m/>
  </r>
  <r>
    <s v="Gebr. van der Lee"/>
    <x v="7"/>
    <m/>
    <n v="73"/>
    <s v="1HRR"/>
    <m/>
    <n v="59.72"/>
    <n v="59.744999999999997"/>
    <s v="2R-R"/>
    <m/>
    <n v="59.72"/>
    <n v="59.744999999999997"/>
    <x v="9"/>
    <m/>
    <d v="2021-10-15T00:00:00"/>
    <m/>
    <m/>
    <m/>
    <m/>
    <m/>
    <m/>
  </r>
  <r>
    <s v="Gebr. van der Lee"/>
    <x v="7"/>
    <m/>
    <n v="73"/>
    <s v="1HRR"/>
    <m/>
    <n v="59.72"/>
    <n v="59.744999999999997"/>
    <s v="1V-R"/>
    <m/>
    <n v="59.72"/>
    <n v="59.744999999999997"/>
    <x v="9"/>
    <m/>
    <d v="2021-10-15T00:00:00"/>
    <m/>
    <m/>
    <m/>
    <m/>
    <m/>
    <m/>
  </r>
  <r>
    <s v="Gebr. van der Lee"/>
    <x v="7"/>
    <m/>
    <n v="73"/>
    <s v="1HRR"/>
    <m/>
    <n v="59.85"/>
    <n v="59.875"/>
    <s v="2R-R"/>
    <m/>
    <n v="59.85"/>
    <n v="59.875"/>
    <x v="18"/>
    <m/>
    <d v="2021-10-15T00:00:00"/>
    <m/>
    <m/>
    <m/>
    <m/>
    <m/>
    <m/>
  </r>
  <r>
    <s v="Gebr. van der Lee"/>
    <x v="7"/>
    <m/>
    <n v="73"/>
    <s v="1HRR"/>
    <m/>
    <n v="59.85"/>
    <n v="59.875"/>
    <s v="2R-R"/>
    <m/>
    <n v="59.85"/>
    <n v="59.875"/>
    <x v="9"/>
    <m/>
    <d v="2021-10-15T00:00:00"/>
    <m/>
    <m/>
    <m/>
    <m/>
    <m/>
    <m/>
  </r>
  <r>
    <s v="Gebr. van der Lee"/>
    <x v="7"/>
    <m/>
    <n v="73"/>
    <s v="1HRR"/>
    <m/>
    <n v="59.85"/>
    <n v="59.875"/>
    <s v="1V-R"/>
    <m/>
    <n v="59.85"/>
    <n v="59.875"/>
    <x v="9"/>
    <m/>
    <d v="2021-10-15T00:00:00"/>
    <m/>
    <m/>
    <m/>
    <m/>
    <m/>
    <m/>
  </r>
  <r>
    <s v="Gebr. van der Lee"/>
    <x v="7"/>
    <m/>
    <n v="73"/>
    <s v="1HRR"/>
    <m/>
    <n v="61.36"/>
    <n v="61.3"/>
    <s v="1I-R"/>
    <m/>
    <n v="61.3"/>
    <n v="61.36"/>
    <x v="8"/>
    <m/>
    <d v="2021-10-15T00:00:00"/>
    <m/>
    <m/>
    <m/>
    <m/>
    <m/>
    <m/>
  </r>
  <r>
    <s v="Gebr. van der Lee"/>
    <x v="7"/>
    <m/>
    <n v="73"/>
    <s v="1HRR"/>
    <m/>
    <n v="61.38"/>
    <n v="61.45"/>
    <s v="1I-R"/>
    <m/>
    <n v="61.38"/>
    <n v="61.45"/>
    <x v="9"/>
    <m/>
    <d v="2021-10-15T00:00:00"/>
    <m/>
    <m/>
    <m/>
    <m/>
    <m/>
    <m/>
  </r>
  <r>
    <s v="Gebr. van der Lee"/>
    <x v="7"/>
    <m/>
    <n v="73"/>
    <s v="0VW"/>
    <s v="a"/>
    <n v="63.024999999999999"/>
    <n v="63.05"/>
    <s v="1R-R"/>
    <m/>
    <n v="63.024999999999999"/>
    <n v="63.05"/>
    <x v="8"/>
    <m/>
    <d v="2021-10-15T00:00:00"/>
    <m/>
    <m/>
    <m/>
    <m/>
    <m/>
    <m/>
  </r>
  <r>
    <s v="Gebr. van der Lee"/>
    <x v="7"/>
    <m/>
    <n v="73"/>
    <s v="1HRL"/>
    <m/>
    <n v="56.48"/>
    <n v="56.43"/>
    <s v="2R-L"/>
    <m/>
    <n v="56.43"/>
    <n v="56.48"/>
    <x v="18"/>
    <m/>
    <d v="2021-10-22T00:00:00"/>
    <m/>
    <m/>
    <m/>
    <m/>
    <m/>
    <m/>
  </r>
  <r>
    <s v="Gebr. van der Lee"/>
    <x v="7"/>
    <m/>
    <n v="73"/>
    <s v="1HRL"/>
    <m/>
    <n v="56.48"/>
    <n v="56.43"/>
    <s v="2R-L"/>
    <m/>
    <n v="56.43"/>
    <n v="56.48"/>
    <x v="9"/>
    <m/>
    <d v="2021-10-22T00:00:00"/>
    <m/>
    <m/>
    <m/>
    <m/>
    <m/>
    <m/>
  </r>
  <r>
    <s v="Gebr. van der Lee"/>
    <x v="7"/>
    <m/>
    <n v="73"/>
    <s v="1HRL"/>
    <m/>
    <n v="61.3"/>
    <n v="61.25"/>
    <s v="2R-L"/>
    <m/>
    <n v="61.25"/>
    <n v="61.3"/>
    <x v="9"/>
    <m/>
    <d v="2021-10-22T00:00:00"/>
    <m/>
    <m/>
    <m/>
    <m/>
    <m/>
    <m/>
  </r>
  <r>
    <s v="Gebr. van der Lee"/>
    <x v="7"/>
    <m/>
    <n v="73"/>
    <s v="1HRL"/>
    <m/>
    <n v="61.35"/>
    <n v="61.23"/>
    <s v="1U-L"/>
    <m/>
    <n v="61.23"/>
    <n v="61.35"/>
    <x v="9"/>
    <m/>
    <d v="2021-10-22T00:00:00"/>
    <m/>
    <m/>
    <m/>
    <m/>
    <m/>
    <m/>
  </r>
  <r>
    <s v="Gebr. van der Lee"/>
    <x v="7"/>
    <m/>
    <n v="73"/>
    <s v="0VW"/>
    <s v="d"/>
    <n v="63.39"/>
    <n v="63.365000000000002"/>
    <s v="1R-L"/>
    <m/>
    <n v="63.365000000000002"/>
    <n v="63.39"/>
    <x v="8"/>
    <m/>
    <d v="2021-10-22T00:00:00"/>
    <m/>
    <m/>
    <m/>
    <m/>
    <m/>
    <m/>
  </r>
  <r>
    <s v="Gebr. van der Lee"/>
    <x v="7"/>
    <m/>
    <n v="73"/>
    <s v="1HRL"/>
    <m/>
    <n v="63.65"/>
    <n v="62.4"/>
    <s v="2R-L"/>
    <m/>
    <n v="62.4"/>
    <n v="63.65"/>
    <x v="18"/>
    <m/>
    <d v="2021-10-22T00:00:00"/>
    <m/>
    <m/>
    <m/>
    <m/>
    <m/>
    <m/>
  </r>
  <r>
    <s v="Gebr. van der Lee"/>
    <x v="7"/>
    <m/>
    <n v="73"/>
    <s v="1HRL"/>
    <m/>
    <n v="63.65"/>
    <n v="62.4"/>
    <s v="2R-L"/>
    <m/>
    <n v="62.4"/>
    <n v="63.65"/>
    <x v="9"/>
    <m/>
    <d v="2021-10-22T00:00:00"/>
    <m/>
    <m/>
    <m/>
    <m/>
    <m/>
    <m/>
  </r>
  <r>
    <s v="Gebr. van der Lee"/>
    <x v="7"/>
    <m/>
    <n v="73"/>
    <s v="1HRL"/>
    <m/>
    <n v="63.65"/>
    <n v="62.4"/>
    <s v="1V-L"/>
    <m/>
    <n v="62.4"/>
    <n v="63.65"/>
    <x v="9"/>
    <m/>
    <d v="2021-10-22T00:00:00"/>
    <m/>
    <m/>
    <m/>
    <m/>
    <m/>
    <m/>
  </r>
  <r>
    <s v="Gebr. van der Lee"/>
    <x v="7"/>
    <m/>
    <n v="76"/>
    <s v="1HRL"/>
    <m/>
    <n v="12.24"/>
    <n v="12.14"/>
    <s v="2R-L"/>
    <m/>
    <n v="12.14"/>
    <n v="12.24"/>
    <x v="9"/>
    <m/>
    <d v="2021-10-29T00:00:00"/>
    <m/>
    <m/>
    <m/>
    <m/>
    <m/>
    <m/>
  </r>
  <r>
    <s v="Gebr. van der Lee"/>
    <x v="7"/>
    <m/>
    <n v="76"/>
    <s v="1HRL"/>
    <m/>
    <n v="12.24"/>
    <n v="12.14"/>
    <s v="1V-L"/>
    <m/>
    <n v="12.14"/>
    <n v="12.24"/>
    <x v="9"/>
    <m/>
    <d v="2021-10-29T00:00:00"/>
    <m/>
    <m/>
    <m/>
    <m/>
    <m/>
    <m/>
  </r>
  <r>
    <s v="Gebr. van der Lee"/>
    <x v="7"/>
    <m/>
    <n v="76"/>
    <s v="1HRL"/>
    <m/>
    <n v="13.215"/>
    <n v="13.185"/>
    <m/>
    <s v="ALLE"/>
    <n v="13.185"/>
    <n v="13.215"/>
    <x v="29"/>
    <m/>
    <d v="2021-10-29T00:00:00"/>
    <m/>
    <m/>
    <m/>
    <m/>
    <m/>
    <m/>
  </r>
  <r>
    <s v="Gebr. van der Lee"/>
    <x v="7"/>
    <m/>
    <n v="76"/>
    <s v="1HRL"/>
    <m/>
    <n v="13.86"/>
    <n v="13.835000000000001"/>
    <s v="2R-L"/>
    <m/>
    <n v="13.835000000000001"/>
    <n v="13.86"/>
    <x v="29"/>
    <m/>
    <d v="2021-10-29T00:00:00"/>
    <m/>
    <m/>
    <m/>
    <m/>
    <m/>
    <m/>
  </r>
  <r>
    <s v="Gebr. van der Lee"/>
    <x v="7"/>
    <m/>
    <n v="76"/>
    <s v="1HRL"/>
    <m/>
    <n v="14.324999999999999"/>
    <n v="14.225"/>
    <s v="2R-L"/>
    <m/>
    <n v="14.225"/>
    <n v="14.324999999999999"/>
    <x v="29"/>
    <m/>
    <d v="2021-10-29T00:00:00"/>
    <m/>
    <m/>
    <m/>
    <m/>
    <m/>
    <m/>
  </r>
  <r>
    <s v="Gebr. van der Lee"/>
    <x v="7"/>
    <m/>
    <n v="76"/>
    <s v="1HRL"/>
    <m/>
    <n v="15"/>
    <n v="14.72"/>
    <s v="1R-L"/>
    <m/>
    <n v="14.72"/>
    <n v="15"/>
    <x v="29"/>
    <m/>
    <d v="2021-10-29T00:00:00"/>
    <m/>
    <m/>
    <m/>
    <m/>
    <m/>
    <m/>
  </r>
  <r>
    <s v="Gebr. van der Lee"/>
    <x v="7"/>
    <m/>
    <n v="76"/>
    <s v="1HRL"/>
    <m/>
    <n v="15"/>
    <n v="14.72"/>
    <s v="2R-L"/>
    <m/>
    <n v="14.72"/>
    <n v="15"/>
    <x v="29"/>
    <m/>
    <d v="2021-10-29T00:00:00"/>
    <m/>
    <m/>
    <m/>
    <m/>
    <m/>
    <m/>
  </r>
  <r>
    <s v="Gebr. van der Lee"/>
    <x v="7"/>
    <m/>
    <n v="76"/>
    <s v="1HRL"/>
    <m/>
    <n v="15"/>
    <n v="14.72"/>
    <s v="1V-L"/>
    <m/>
    <n v="14.72"/>
    <n v="15"/>
    <x v="9"/>
    <m/>
    <d v="2021-10-29T00:00:00"/>
    <m/>
    <m/>
    <m/>
    <m/>
    <m/>
    <m/>
  </r>
  <r>
    <s v="Gebr. van der Lee"/>
    <x v="7"/>
    <m/>
    <n v="76"/>
    <s v="1HRL"/>
    <m/>
    <n v="16.260000000000002"/>
    <n v="16.23"/>
    <s v="2R-L"/>
    <m/>
    <n v="16.23"/>
    <n v="16.260000000000002"/>
    <x v="9"/>
    <m/>
    <d v="2021-10-29T00:00:00"/>
    <m/>
    <m/>
    <m/>
    <m/>
    <m/>
    <m/>
  </r>
  <r>
    <s v="Gebr. van der Lee"/>
    <x v="7"/>
    <m/>
    <n v="76"/>
    <s v="1HRL"/>
    <m/>
    <n v="17.625"/>
    <n v="17.600000000000001"/>
    <s v="2R-L"/>
    <m/>
    <n v="17.600000000000001"/>
    <n v="17.625"/>
    <x v="9"/>
    <m/>
    <d v="2021-10-29T00:00:00"/>
    <m/>
    <m/>
    <m/>
    <m/>
    <m/>
    <m/>
  </r>
  <r>
    <s v="Gebr. van der Lee"/>
    <x v="7"/>
    <m/>
    <n v="76"/>
    <s v="1HRL"/>
    <m/>
    <n v="17.625"/>
    <n v="17.600000000000001"/>
    <s v="1V-L"/>
    <m/>
    <n v="17.600000000000001"/>
    <n v="17.625"/>
    <x v="9"/>
    <m/>
    <d v="2021-10-29T00:00:00"/>
    <m/>
    <m/>
    <m/>
    <m/>
    <m/>
    <m/>
  </r>
  <r>
    <s v="Gebr. van der Lee"/>
    <x v="7"/>
    <m/>
    <n v="76"/>
    <s v="1HRL"/>
    <m/>
    <n v="18"/>
    <n v="17.95"/>
    <s v="2R-L"/>
    <m/>
    <n v="17.95"/>
    <n v="18"/>
    <x v="9"/>
    <m/>
    <d v="2021-10-29T00:00:00"/>
    <m/>
    <m/>
    <m/>
    <m/>
    <m/>
    <m/>
  </r>
  <r>
    <s v="Gebr. van der Lee"/>
    <x v="7"/>
    <m/>
    <n v="76"/>
    <s v="1HRL"/>
    <m/>
    <n v="18"/>
    <n v="17.95"/>
    <s v="1V-L"/>
    <m/>
    <n v="17.95"/>
    <n v="18"/>
    <x v="9"/>
    <m/>
    <d v="2021-10-29T00:00:00"/>
    <m/>
    <m/>
    <m/>
    <m/>
    <m/>
    <m/>
  </r>
  <r>
    <s v="Gebr. van der Lee"/>
    <x v="7"/>
    <m/>
    <n v="73"/>
    <s v="0VW"/>
    <s v="x"/>
    <n v="45.1"/>
    <n v="45.125"/>
    <s v="1I-R"/>
    <m/>
    <n v="45.1"/>
    <n v="45.125"/>
    <x v="17"/>
    <m/>
    <d v="2021-11-01T00:00:00"/>
    <m/>
    <m/>
    <m/>
    <m/>
    <m/>
    <m/>
  </r>
  <r>
    <s v="Gebr. van der Lee"/>
    <x v="7"/>
    <m/>
    <n v="73"/>
    <s v="1HRR"/>
    <m/>
    <n v="46.8"/>
    <n v="46.9"/>
    <s v="1R-R"/>
    <m/>
    <n v="46.8"/>
    <n v="46.9"/>
    <x v="17"/>
    <m/>
    <d v="2021-11-01T00:00:00"/>
    <m/>
    <m/>
    <m/>
    <m/>
    <m/>
    <m/>
  </r>
  <r>
    <s v="Gebr. van der Lee"/>
    <x v="7"/>
    <m/>
    <n v="73"/>
    <s v="0VW"/>
    <s v="x"/>
    <n v="44.4"/>
    <n v="44.5"/>
    <s v="1R-R"/>
    <m/>
    <n v="44.4"/>
    <n v="44.5"/>
    <x v="17"/>
    <m/>
    <d v="2021-11-01T00:00:00"/>
    <m/>
    <m/>
    <m/>
    <m/>
    <m/>
    <m/>
  </r>
  <r>
    <s v="Gebr. van der Lee"/>
    <x v="7"/>
    <m/>
    <n v="2"/>
    <s v="1HRL"/>
    <m/>
    <n v="268.76499999999999"/>
    <n v="268.72000000000003"/>
    <m/>
    <s v="ALLE"/>
    <n v="268.72000000000003"/>
    <n v="268.76499999999999"/>
    <x v="9"/>
    <m/>
    <d v="2021-11-01T00:00:00"/>
    <m/>
    <m/>
    <m/>
    <m/>
    <m/>
    <m/>
  </r>
  <r>
    <s v="Gebr. van der Lee"/>
    <x v="7"/>
    <m/>
    <n v="73"/>
    <s v="1HRL"/>
    <m/>
    <n v="46.91"/>
    <n v="46.75"/>
    <s v="2R-L"/>
    <m/>
    <n v="46.75"/>
    <n v="46.91"/>
    <x v="18"/>
    <m/>
    <d v="2021-11-02T00:00:00"/>
    <m/>
    <m/>
    <m/>
    <m/>
    <m/>
    <m/>
  </r>
  <r>
    <s v="Gebr. van der Lee"/>
    <x v="7"/>
    <m/>
    <n v="73"/>
    <s v="1HRL"/>
    <m/>
    <n v="46.91"/>
    <n v="46.75"/>
    <s v="2R-L"/>
    <m/>
    <n v="46.75"/>
    <n v="46.91"/>
    <x v="9"/>
    <m/>
    <d v="2021-11-02T00:00:00"/>
    <m/>
    <m/>
    <m/>
    <m/>
    <m/>
    <m/>
  </r>
  <r>
    <s v="Gebr. van der Lee"/>
    <x v="7"/>
    <m/>
    <n v="73"/>
    <s v="1HRL"/>
    <m/>
    <n v="46.52"/>
    <n v="46.494999999999997"/>
    <s v="2R-L"/>
    <m/>
    <n v="46.494999999999997"/>
    <n v="46.52"/>
    <x v="18"/>
    <m/>
    <d v="2021-11-02T00:00:00"/>
    <m/>
    <m/>
    <m/>
    <m/>
    <m/>
    <m/>
  </r>
  <r>
    <s v="Gebr. van der Lee"/>
    <x v="7"/>
    <m/>
    <n v="73"/>
    <s v="1HRL"/>
    <m/>
    <n v="46.52"/>
    <n v="46.494999999999997"/>
    <s v="2R-L"/>
    <m/>
    <n v="46.494999999999997"/>
    <n v="46.52"/>
    <x v="9"/>
    <m/>
    <d v="2021-11-02T00:00:00"/>
    <m/>
    <m/>
    <m/>
    <m/>
    <m/>
    <m/>
  </r>
  <r>
    <s v="Gebr. van der Lee"/>
    <x v="7"/>
    <m/>
    <n v="73"/>
    <s v="1HRL"/>
    <m/>
    <n v="46.52"/>
    <n v="46.494999999999997"/>
    <s v="1V-L"/>
    <m/>
    <n v="46.494999999999997"/>
    <n v="46.52"/>
    <x v="9"/>
    <m/>
    <d v="2021-11-02T00:00:00"/>
    <m/>
    <m/>
    <m/>
    <m/>
    <m/>
    <m/>
  </r>
  <r>
    <s v="Gebr. van der Lee"/>
    <x v="7"/>
    <m/>
    <n v="73"/>
    <s v="1HRL"/>
    <m/>
    <n v="46.35"/>
    <n v="46"/>
    <s v="2R-L"/>
    <m/>
    <n v="46"/>
    <n v="46.35"/>
    <x v="17"/>
    <m/>
    <d v="2021-11-02T00:00:00"/>
    <m/>
    <m/>
    <m/>
    <m/>
    <m/>
    <m/>
  </r>
  <r>
    <s v="Gebr. van der Lee"/>
    <x v="7"/>
    <m/>
    <n v="2"/>
    <s v="1HRL"/>
    <m/>
    <n v="237.82499999999999"/>
    <n v="237.8"/>
    <s v="1Q-L"/>
    <m/>
    <n v="237.8"/>
    <n v="237.82499999999999"/>
    <x v="9"/>
    <m/>
    <d v="2021-11-03T00:00:00"/>
    <m/>
    <m/>
    <m/>
    <m/>
    <m/>
    <m/>
  </r>
  <r>
    <s v="Gebr. van der Lee"/>
    <x v="7"/>
    <m/>
    <n v="2"/>
    <s v="1HRL"/>
    <m/>
    <n v="234.375"/>
    <n v="234.35"/>
    <s v="1Q-L"/>
    <m/>
    <n v="234.35"/>
    <n v="234.375"/>
    <x v="3"/>
    <m/>
    <d v="2021-11-03T00:00:00"/>
    <m/>
    <m/>
    <m/>
    <m/>
    <m/>
    <m/>
  </r>
  <r>
    <s v="Gebr. van der Lee"/>
    <x v="7"/>
    <m/>
    <n v="2"/>
    <s v="1HRL"/>
    <m/>
    <n v="234.1"/>
    <n v="234"/>
    <s v="1Q-L"/>
    <m/>
    <n v="234"/>
    <n v="234.1"/>
    <x v="3"/>
    <m/>
    <d v="2021-11-03T00:00:00"/>
    <m/>
    <m/>
    <m/>
    <m/>
    <m/>
    <m/>
  </r>
  <r>
    <s v="Gebr. van der Lee"/>
    <x v="7"/>
    <m/>
    <n v="2"/>
    <s v="1HRR"/>
    <m/>
    <n v="191.2"/>
    <n v="191.3"/>
    <s v="1R-R"/>
    <m/>
    <n v="191.2"/>
    <n v="191.3"/>
    <x v="17"/>
    <m/>
    <d v="2021-11-05T00:00:00"/>
    <m/>
    <m/>
    <m/>
    <m/>
    <m/>
    <m/>
  </r>
  <r>
    <s v="Gebr. van der Lee"/>
    <x v="7"/>
    <m/>
    <n v="2"/>
    <s v="1HRR"/>
    <m/>
    <n v="191.9"/>
    <n v="192"/>
    <s v="1R-R"/>
    <m/>
    <n v="191.9"/>
    <n v="192"/>
    <x v="17"/>
    <m/>
    <d v="2021-11-05T00:00:00"/>
    <m/>
    <m/>
    <m/>
    <m/>
    <m/>
    <m/>
  </r>
  <r>
    <s v="Gebr. van der Lee"/>
    <x v="7"/>
    <m/>
    <n v="2"/>
    <s v="1HRR"/>
    <m/>
    <n v="191.9"/>
    <n v="192"/>
    <s v="2R-R"/>
    <m/>
    <n v="191.9"/>
    <n v="192"/>
    <x v="9"/>
    <m/>
    <d v="2021-11-05T00:00:00"/>
    <m/>
    <m/>
    <m/>
    <m/>
    <m/>
    <m/>
  </r>
  <r>
    <s v="Gebr. van der Lee"/>
    <x v="7"/>
    <m/>
    <n v="2"/>
    <s v="1HRR"/>
    <m/>
    <n v="201.5"/>
    <n v="202.6"/>
    <s v="2R-R"/>
    <m/>
    <n v="201.5"/>
    <n v="202.6"/>
    <x v="17"/>
    <m/>
    <d v="2021-11-05T00:00:00"/>
    <m/>
    <m/>
    <m/>
    <m/>
    <m/>
    <m/>
  </r>
  <r>
    <s v="Gebr. van der Lee"/>
    <x v="7"/>
    <m/>
    <n v="2"/>
    <s v="1HRR"/>
    <m/>
    <n v="202.6"/>
    <n v="203.1"/>
    <s v="2R-R"/>
    <m/>
    <n v="202.6"/>
    <n v="203.1"/>
    <x v="9"/>
    <m/>
    <d v="2021-11-05T00:00:00"/>
    <m/>
    <m/>
    <m/>
    <m/>
    <m/>
    <m/>
  </r>
  <r>
    <s v="Gebr. van der Lee"/>
    <x v="7"/>
    <m/>
    <n v="2"/>
    <s v="1HRR"/>
    <m/>
    <n v="203.6"/>
    <n v="204.1"/>
    <s v="2R-R"/>
    <m/>
    <n v="203.6"/>
    <n v="204.1"/>
    <x v="29"/>
    <m/>
    <d v="2021-11-05T00:00:00"/>
    <m/>
    <m/>
    <m/>
    <m/>
    <m/>
    <m/>
  </r>
  <r>
    <s v="Gebr. van der Lee"/>
    <x v="7"/>
    <m/>
    <n v="2"/>
    <s v="1HRR"/>
    <m/>
    <n v="204.1"/>
    <n v="204.5"/>
    <s v="2R-R"/>
    <m/>
    <n v="204.1"/>
    <n v="204.5"/>
    <x v="29"/>
    <m/>
    <d v="2021-11-05T00:00:00"/>
    <m/>
    <m/>
    <m/>
    <m/>
    <m/>
    <m/>
  </r>
  <r>
    <s v="Gebr. van der Lee"/>
    <x v="7"/>
    <m/>
    <n v="2"/>
    <s v="1HRR"/>
    <m/>
    <n v="204.5"/>
    <n v="205"/>
    <s v="2R-R"/>
    <m/>
    <n v="204.5"/>
    <n v="205"/>
    <x v="29"/>
    <m/>
    <d v="2021-11-05T00:00:00"/>
    <m/>
    <m/>
    <m/>
    <m/>
    <m/>
    <m/>
  </r>
  <r>
    <s v="Gebr. van der Lee"/>
    <x v="7"/>
    <m/>
    <n v="2"/>
    <s v="1HRR"/>
    <m/>
    <n v="205"/>
    <n v="205.9"/>
    <s v="2R-R"/>
    <m/>
    <n v="205"/>
    <n v="205.9"/>
    <x v="17"/>
    <m/>
    <d v="2021-11-05T00:00:00"/>
    <m/>
    <m/>
    <m/>
    <m/>
    <m/>
    <m/>
  </r>
  <r>
    <s v="Gebr. van der Lee"/>
    <x v="7"/>
    <m/>
    <n v="2"/>
    <s v="1HRR"/>
    <m/>
    <n v="205.9"/>
    <n v="206.4"/>
    <s v="2R-R"/>
    <m/>
    <n v="205.9"/>
    <n v="206.4"/>
    <x v="17"/>
    <m/>
    <d v="2021-11-05T00:00:00"/>
    <m/>
    <m/>
    <m/>
    <m/>
    <m/>
    <m/>
  </r>
  <r>
    <s v="Gebr. van der Lee"/>
    <x v="7"/>
    <m/>
    <n v="2"/>
    <s v="1HRR"/>
    <m/>
    <n v="206.4"/>
    <n v="206.5"/>
    <s v="2R-R"/>
    <m/>
    <n v="206.4"/>
    <n v="206.5"/>
    <x v="29"/>
    <m/>
    <d v="2021-11-05T00:00:00"/>
    <m/>
    <m/>
    <m/>
    <m/>
    <m/>
    <m/>
  </r>
  <r>
    <s v="Gebr. van der Lee"/>
    <x v="7"/>
    <m/>
    <n v="2"/>
    <s v="1HRR"/>
    <m/>
    <n v="211.7"/>
    <n v="212"/>
    <s v="2R-R"/>
    <m/>
    <n v="211.7"/>
    <n v="212"/>
    <x v="9"/>
    <m/>
    <d v="2021-11-05T00:00:00"/>
    <m/>
    <m/>
    <m/>
    <m/>
    <m/>
    <m/>
  </r>
  <r>
    <s v="Gebr. van der Lee"/>
    <x v="7"/>
    <m/>
    <n v="2"/>
    <s v="1HRR"/>
    <m/>
    <n v="189.41"/>
    <n v="189.43"/>
    <s v="2R-R"/>
    <m/>
    <n v="189.41"/>
    <n v="189.43"/>
    <x v="9"/>
    <m/>
    <d v="2021-11-05T00:00:00"/>
    <m/>
    <m/>
    <m/>
    <m/>
    <m/>
    <m/>
  </r>
  <r>
    <s v="Gebr. van der Lee"/>
    <x v="7"/>
    <m/>
    <n v="2"/>
    <s v="1HRR"/>
    <m/>
    <n v="189.41"/>
    <n v="189.43"/>
    <s v="1V-R"/>
    <m/>
    <n v="189.41"/>
    <n v="189.43"/>
    <x v="9"/>
    <m/>
    <d v="2021-11-05T00:00:00"/>
    <m/>
    <m/>
    <m/>
    <m/>
    <m/>
    <m/>
  </r>
  <r>
    <s v="Gebr. van der Lee"/>
    <x v="7"/>
    <m/>
    <n v="2"/>
    <s v="1HRR"/>
    <m/>
    <n v="193.25"/>
    <n v="193.31"/>
    <m/>
    <s v="ALLE"/>
    <n v="193.25"/>
    <n v="193.31"/>
    <x v="9"/>
    <m/>
    <d v="2021-11-05T00:00:00"/>
    <m/>
    <m/>
    <m/>
    <m/>
    <m/>
    <m/>
  </r>
  <r>
    <s v="Gebr. van der Lee"/>
    <x v="7"/>
    <m/>
    <n v="2"/>
    <s v="1HRR"/>
    <m/>
    <n v="206.18"/>
    <n v="206.5"/>
    <s v="1I-R"/>
    <m/>
    <n v="206.18"/>
    <n v="206.5"/>
    <x v="9"/>
    <m/>
    <d v="2021-11-05T00:00:00"/>
    <m/>
    <m/>
    <m/>
    <m/>
    <m/>
    <m/>
  </r>
  <r>
    <s v="Gebr. van der Lee"/>
    <x v="7"/>
    <m/>
    <n v="2"/>
    <s v="1HRR"/>
    <m/>
    <n v="201.1"/>
    <n v="208.3"/>
    <s v="1I-R"/>
    <m/>
    <n v="201.1"/>
    <n v="208.3"/>
    <x v="9"/>
    <m/>
    <d v="2021-11-05T00:00:00"/>
    <m/>
    <m/>
    <m/>
    <m/>
    <m/>
    <m/>
  </r>
  <r>
    <s v="Gebr. van der Lee"/>
    <x v="7"/>
    <m/>
    <n v="2"/>
    <s v="1HRR"/>
    <m/>
    <n v="209.07499999999999"/>
    <n v="209.1"/>
    <s v="1R-R"/>
    <m/>
    <n v="209.07499999999999"/>
    <n v="209.1"/>
    <x v="9"/>
    <m/>
    <d v="2021-11-05T00:00:00"/>
    <m/>
    <m/>
    <m/>
    <m/>
    <m/>
    <m/>
  </r>
  <r>
    <s v="Gebr. van der Lee"/>
    <x v="7"/>
    <m/>
    <n v="2"/>
    <s v="1HRR"/>
    <m/>
    <n v="209.85"/>
    <n v="209.875"/>
    <s v="2R-R"/>
    <m/>
    <n v="209.85"/>
    <n v="209.875"/>
    <x v="9"/>
    <m/>
    <d v="2021-11-05T00:00:00"/>
    <m/>
    <m/>
    <m/>
    <m/>
    <m/>
    <m/>
  </r>
  <r>
    <s v="Gebr. van der Lee"/>
    <x v="7"/>
    <m/>
    <n v="2"/>
    <s v="1HRR"/>
    <m/>
    <n v="209.85"/>
    <n v="209.875"/>
    <s v="1V-R"/>
    <m/>
    <n v="209.85"/>
    <n v="209.875"/>
    <x v="9"/>
    <m/>
    <d v="2021-11-05T00:00:00"/>
    <m/>
    <m/>
    <m/>
    <m/>
    <m/>
    <m/>
  </r>
  <r>
    <s v="Gebr. van der Lee"/>
    <x v="7"/>
    <m/>
    <n v="73"/>
    <s v="1HRR"/>
    <m/>
    <n v="67.835999999999999"/>
    <n v="67.873000000000005"/>
    <m/>
    <s v="ALLE"/>
    <n v="67.835999999999999"/>
    <n v="67.873000000000005"/>
    <x v="9"/>
    <m/>
    <d v="2021-11-08T00:00:00"/>
    <m/>
    <m/>
    <m/>
    <m/>
    <m/>
    <m/>
  </r>
  <r>
    <s v="Gebr. van der Lee"/>
    <x v="7"/>
    <m/>
    <n v="2"/>
    <s v="1HRL"/>
    <m/>
    <n v="247.6"/>
    <n v="247.3"/>
    <s v="1R-L"/>
    <m/>
    <n v="247.3"/>
    <n v="247.6"/>
    <x v="9"/>
    <m/>
    <d v="2021-11-12T00:00:00"/>
    <m/>
    <m/>
    <m/>
    <m/>
    <m/>
    <m/>
  </r>
  <r>
    <s v="Gebr. van der Lee"/>
    <x v="7"/>
    <m/>
    <n v="2"/>
    <s v="1HRL"/>
    <m/>
    <n v="247"/>
    <n v="246.8"/>
    <s v="1R-L"/>
    <m/>
    <n v="246.8"/>
    <n v="247"/>
    <x v="9"/>
    <m/>
    <d v="2021-11-12T00:00:00"/>
    <m/>
    <m/>
    <m/>
    <m/>
    <m/>
    <m/>
  </r>
  <r>
    <s v="Gebr. van der Lee"/>
    <x v="7"/>
    <m/>
    <n v="2"/>
    <s v="1HRL"/>
    <m/>
    <n v="246.2"/>
    <n v="246.17500000000001"/>
    <s v="2R-L"/>
    <m/>
    <n v="246.17500000000001"/>
    <n v="246.2"/>
    <x v="9"/>
    <m/>
    <d v="2021-11-12T00:00:00"/>
    <m/>
    <m/>
    <m/>
    <m/>
    <m/>
    <m/>
  </r>
  <r>
    <s v="Gebr. van der Lee"/>
    <x v="7"/>
    <m/>
    <n v="2"/>
    <s v="0VW"/>
    <s v="d"/>
    <n v="246.2"/>
    <n v="246.15"/>
    <s v="1R-L"/>
    <m/>
    <n v="246.15"/>
    <n v="246.2"/>
    <x v="8"/>
    <m/>
    <d v="2021-11-12T00:00:00"/>
    <m/>
    <m/>
    <m/>
    <m/>
    <m/>
    <m/>
  </r>
  <r>
    <s v="Gebr. van der Lee"/>
    <x v="7"/>
    <m/>
    <n v="2"/>
    <s v="1HRL"/>
    <m/>
    <n v="245.79"/>
    <n v="245.76"/>
    <s v="2R-L"/>
    <m/>
    <n v="245.76"/>
    <n v="245.79"/>
    <x v="9"/>
    <m/>
    <d v="2021-11-12T00:00:00"/>
    <m/>
    <m/>
    <m/>
    <m/>
    <m/>
    <m/>
  </r>
  <r>
    <s v="Gebr. van der Lee"/>
    <x v="7"/>
    <m/>
    <n v="2"/>
    <s v="1HRL"/>
    <m/>
    <n v="245.76"/>
    <n v="245.73500000000001"/>
    <s v="1R-L"/>
    <m/>
    <n v="245.73500000000001"/>
    <n v="245.76"/>
    <x v="9"/>
    <m/>
    <d v="2021-11-12T00:00:00"/>
    <m/>
    <m/>
    <m/>
    <m/>
    <m/>
    <m/>
  </r>
  <r>
    <s v="Gebr. van der Lee"/>
    <x v="7"/>
    <m/>
    <n v="2"/>
    <s v="1HRL"/>
    <m/>
    <n v="245.45"/>
    <n v="245.4"/>
    <s v="2R-L"/>
    <m/>
    <n v="245.4"/>
    <n v="245.45"/>
    <x v="9"/>
    <m/>
    <d v="2021-11-12T00:00:00"/>
    <m/>
    <m/>
    <m/>
    <m/>
    <m/>
    <m/>
  </r>
  <r>
    <s v="Gebr. van der Lee"/>
    <x v="7"/>
    <m/>
    <n v="2"/>
    <s v="1HRL"/>
    <m/>
    <n v="245.45"/>
    <n v="245.4"/>
    <s v="1V-L"/>
    <m/>
    <n v="245.4"/>
    <n v="245.45"/>
    <x v="9"/>
    <m/>
    <d v="2021-11-12T00:00:00"/>
    <m/>
    <m/>
    <m/>
    <m/>
    <m/>
    <m/>
  </r>
  <r>
    <s v="Gebr. van der Lee"/>
    <x v="7"/>
    <m/>
    <n v="2"/>
    <s v="1HRL"/>
    <m/>
    <n v="242.02500000000001"/>
    <n v="241.52"/>
    <s v="2R-L"/>
    <m/>
    <n v="241.52"/>
    <n v="242.02500000000001"/>
    <x v="9"/>
    <m/>
    <d v="2021-11-12T00:00:00"/>
    <m/>
    <m/>
    <m/>
    <m/>
    <m/>
    <m/>
  </r>
  <r>
    <s v="Gebr. van der Lee"/>
    <x v="7"/>
    <m/>
    <n v="2"/>
    <s v="1HRL"/>
    <m/>
    <n v="244.23500000000001"/>
    <n v="244.18"/>
    <m/>
    <s v="ALLE"/>
    <n v="244.18"/>
    <n v="244.23500000000001"/>
    <x v="31"/>
    <m/>
    <d v="2021-11-12T00:00:00"/>
    <m/>
    <m/>
    <m/>
    <m/>
    <m/>
    <m/>
  </r>
  <r>
    <s v="Gebr. van der Lee"/>
    <x v="7"/>
    <m/>
    <n v="2"/>
    <s v="1HRL"/>
    <m/>
    <n v="244.26"/>
    <n v="244.16"/>
    <m/>
    <s v="ALLE"/>
    <n v="244.16"/>
    <n v="244.26"/>
    <x v="9"/>
    <m/>
    <d v="2021-11-12T00:00:00"/>
    <m/>
    <m/>
    <m/>
    <m/>
    <m/>
    <m/>
  </r>
  <r>
    <s v="Gebr. van der Lee"/>
    <x v="7"/>
    <m/>
    <n v="2"/>
    <s v="1HRL"/>
    <m/>
    <n v="240.66"/>
    <n v="240.61"/>
    <s v="2R-L"/>
    <m/>
    <n v="240.61"/>
    <n v="240.66"/>
    <x v="9"/>
    <m/>
    <d v="2021-11-12T00:00:00"/>
    <m/>
    <m/>
    <m/>
    <m/>
    <m/>
    <m/>
  </r>
  <r>
    <s v="Gebr. van der Lee"/>
    <x v="7"/>
    <m/>
    <n v="2"/>
    <s v="1HRL"/>
    <m/>
    <n v="251.7"/>
    <n v="251.45"/>
    <s v="1U-L"/>
    <m/>
    <n v="251.45"/>
    <n v="251.7"/>
    <x v="9"/>
    <m/>
    <d v="2021-11-12T00:00:00"/>
    <m/>
    <m/>
    <m/>
    <m/>
    <m/>
    <m/>
  </r>
  <r>
    <s v="Gebr. van der Lee"/>
    <x v="7"/>
    <m/>
    <n v="2"/>
    <s v="1HRL"/>
    <m/>
    <n v="250.73"/>
    <n v="250.6"/>
    <s v="1U-L"/>
    <m/>
    <n v="250.6"/>
    <n v="250.73"/>
    <x v="9"/>
    <m/>
    <d v="2021-11-12T00:00:00"/>
    <m/>
    <m/>
    <m/>
    <m/>
    <m/>
    <m/>
  </r>
  <r>
    <s v="Gebr. van der Lee"/>
    <x v="7"/>
    <m/>
    <n v="73"/>
    <s v="1HRL"/>
    <m/>
    <n v="11.88"/>
    <n v="11.9"/>
    <s v="2R-L"/>
    <m/>
    <n v="11.88"/>
    <n v="11.9"/>
    <x v="32"/>
    <m/>
    <d v="2021-11-12T00:00:00"/>
    <m/>
    <m/>
    <m/>
    <m/>
    <m/>
    <m/>
  </r>
  <r>
    <s v="Gebr. van der Lee"/>
    <x v="7"/>
    <m/>
    <n v="76"/>
    <s v="1HRR"/>
    <m/>
    <n v="9.1"/>
    <n v="9.98"/>
    <s v="2R-R"/>
    <m/>
    <n v="9.1"/>
    <n v="9.98"/>
    <x v="9"/>
    <m/>
    <d v="2021-11-15T00:00:00"/>
    <m/>
    <m/>
    <m/>
    <m/>
    <m/>
    <m/>
  </r>
  <r>
    <s v="Gebr. van der Lee"/>
    <x v="7"/>
    <m/>
    <n v="76"/>
    <s v="1HRR"/>
    <m/>
    <n v="9.86"/>
    <n v="9.8849999999999998"/>
    <s v="1R-R"/>
    <m/>
    <n v="9.86"/>
    <n v="9.8849999999999998"/>
    <x v="9"/>
    <m/>
    <d v="2021-11-15T00:00:00"/>
    <m/>
    <m/>
    <m/>
    <m/>
    <m/>
    <m/>
  </r>
  <r>
    <s v="Gebr. van der Lee"/>
    <x v="7"/>
    <m/>
    <n v="76"/>
    <s v="1HRR"/>
    <m/>
    <n v="10.3"/>
    <n v="10.4"/>
    <s v="1R-R"/>
    <m/>
    <n v="10.3"/>
    <n v="10.4"/>
    <x v="9"/>
    <m/>
    <d v="2021-11-16T00:00:00"/>
    <m/>
    <m/>
    <m/>
    <m/>
    <m/>
    <m/>
  </r>
  <r>
    <s v="Gebr. van der Lee"/>
    <x v="7"/>
    <m/>
    <n v="76"/>
    <s v="0VW"/>
    <s v="b"/>
    <n v="6.98"/>
    <n v="7.0449999999999999"/>
    <m/>
    <s v="ALLE"/>
    <n v="6.98"/>
    <n v="7.0449999999999999"/>
    <x v="8"/>
    <m/>
    <d v="2021-11-16T00:00:00"/>
    <m/>
    <m/>
    <m/>
    <m/>
    <m/>
    <m/>
  </r>
  <r>
    <s v="Gebr. van der Lee"/>
    <x v="7"/>
    <m/>
    <n v="2"/>
    <s v="1HRR"/>
    <m/>
    <n v="264"/>
    <n v="264.10000000000002"/>
    <s v="2R-R"/>
    <m/>
    <n v="264"/>
    <n v="264.10000000000002"/>
    <x v="9"/>
    <m/>
    <d v="2021-11-17T00:00:00"/>
    <m/>
    <m/>
    <m/>
    <m/>
    <m/>
    <m/>
  </r>
  <r>
    <s v="Gebr. van der Lee"/>
    <x v="7"/>
    <m/>
    <n v="2"/>
    <s v="1HRR"/>
    <m/>
    <n v="258.3"/>
    <n v="263.3"/>
    <s v="2R-R"/>
    <m/>
    <n v="258.3"/>
    <n v="263.3"/>
    <x v="9"/>
    <m/>
    <d v="2021-11-17T00:00:00"/>
    <m/>
    <m/>
    <m/>
    <m/>
    <m/>
    <m/>
  </r>
  <r>
    <s v="Gebr. van der Lee"/>
    <x v="7"/>
    <m/>
    <n v="2"/>
    <s v="1HRL"/>
    <m/>
    <n v="263.60000000000002"/>
    <n v="263.5"/>
    <s v="2R-L"/>
    <m/>
    <n v="263.5"/>
    <n v="263.60000000000002"/>
    <x v="17"/>
    <m/>
    <d v="2021-11-18T00:00:00"/>
    <m/>
    <m/>
    <m/>
    <m/>
    <m/>
    <m/>
  </r>
  <r>
    <s v="Gebr. van der Lee"/>
    <x v="7"/>
    <m/>
    <n v="2"/>
    <s v="1HRL"/>
    <m/>
    <n v="264.8"/>
    <n v="264.10000000000002"/>
    <s v="2R-L"/>
    <m/>
    <n v="264.10000000000002"/>
    <n v="264.8"/>
    <x v="9"/>
    <m/>
    <d v="2021-11-18T00:00:00"/>
    <m/>
    <m/>
    <m/>
    <m/>
    <m/>
    <m/>
  </r>
  <r>
    <s v="Gebr. van der Lee"/>
    <x v="7"/>
    <m/>
    <n v="73"/>
    <s v="0VW"/>
    <s v="b"/>
    <n v="35.75"/>
    <n v="35.92"/>
    <m/>
    <s v="ALLE"/>
    <n v="35.75"/>
    <n v="35.92"/>
    <x v="8"/>
    <m/>
    <d v="2021-11-20T00:00:00"/>
    <m/>
    <m/>
    <m/>
    <m/>
    <m/>
    <m/>
  </r>
  <r>
    <s v="Gebr. van der Lee"/>
    <x v="7"/>
    <m/>
    <n v="73"/>
    <s v="0VW"/>
    <s v="b"/>
    <n v="35.92"/>
    <n v="36"/>
    <m/>
    <s v="ALLE"/>
    <n v="35.92"/>
    <n v="36"/>
    <x v="9"/>
    <m/>
    <d v="2021-11-20T00:00:00"/>
    <m/>
    <m/>
    <m/>
    <m/>
    <m/>
    <m/>
  </r>
  <r>
    <s v="Gebr. van der Lee"/>
    <x v="7"/>
    <m/>
    <n v="73"/>
    <s v="1HRR"/>
    <m/>
    <n v="39.6"/>
    <n v="39.664999999999999"/>
    <s v="2R-R"/>
    <m/>
    <n v="39.6"/>
    <n v="39.664999999999999"/>
    <x v="17"/>
    <m/>
    <d v="2021-11-20T00:00:00"/>
    <m/>
    <m/>
    <m/>
    <m/>
    <m/>
    <m/>
  </r>
  <r>
    <s v="Gebr. van der Lee"/>
    <x v="7"/>
    <m/>
    <n v="73"/>
    <s v="1HRR"/>
    <m/>
    <n v="39.664999999999999"/>
    <n v="39.72"/>
    <m/>
    <s v="ALLE"/>
    <n v="39.664999999999999"/>
    <n v="39.72"/>
    <x v="3"/>
    <m/>
    <d v="2021-11-20T00:00:00"/>
    <m/>
    <m/>
    <m/>
    <m/>
    <m/>
    <m/>
  </r>
  <r>
    <s v="Gebr. van der Lee"/>
    <x v="7"/>
    <m/>
    <n v="73"/>
    <s v="1HRR"/>
    <m/>
    <n v="39.72"/>
    <n v="39.85"/>
    <s v="2R-R"/>
    <m/>
    <n v="39.72"/>
    <n v="39.85"/>
    <x v="3"/>
    <m/>
    <d v="2021-11-20T00:00:00"/>
    <m/>
    <m/>
    <m/>
    <m/>
    <m/>
    <m/>
  </r>
  <r>
    <s v="Gebr. van der Lee"/>
    <x v="7"/>
    <m/>
    <n v="73"/>
    <s v="1HRR"/>
    <m/>
    <n v="40.975000000000001"/>
    <n v="41.3"/>
    <m/>
    <s v="ALLE"/>
    <n v="40.975000000000001"/>
    <n v="41.3"/>
    <x v="33"/>
    <m/>
    <d v="2021-11-20T00:00:00"/>
    <m/>
    <m/>
    <m/>
    <m/>
    <m/>
    <m/>
  </r>
  <r>
    <s v="Gebr. van der Lee"/>
    <x v="7"/>
    <m/>
    <n v="74"/>
    <s v="1HRR"/>
    <m/>
    <n v="99.89"/>
    <n v="99.915000000000006"/>
    <s v="2R-R"/>
    <m/>
    <n v="99.89"/>
    <n v="99.915000000000006"/>
    <x v="17"/>
    <m/>
    <d v="2021-11-20T00:00:00"/>
    <m/>
    <m/>
    <m/>
    <m/>
    <m/>
    <m/>
  </r>
  <r>
    <s v="Gebr. van der Lee"/>
    <x v="7"/>
    <m/>
    <n v="74"/>
    <s v="1HRR"/>
    <m/>
    <n v="100.14"/>
    <n v="100.16500000000001"/>
    <s v="2R-R"/>
    <m/>
    <n v="100.14"/>
    <n v="100.16500000000001"/>
    <x v="17"/>
    <m/>
    <d v="2021-11-20T00:00:00"/>
    <m/>
    <m/>
    <m/>
    <m/>
    <m/>
    <m/>
  </r>
  <r>
    <s v="Gebr. van der Lee"/>
    <x v="7"/>
    <m/>
    <n v="74"/>
    <s v="1HRR"/>
    <m/>
    <n v="100.41"/>
    <n v="100.435"/>
    <s v="2R-R"/>
    <m/>
    <n v="100.41"/>
    <n v="100.435"/>
    <x v="17"/>
    <m/>
    <d v="2021-11-20T00:00:00"/>
    <m/>
    <m/>
    <m/>
    <m/>
    <m/>
    <m/>
  </r>
  <r>
    <s v="Gebr. van der Lee"/>
    <x v="7"/>
    <m/>
    <n v="74"/>
    <s v="1HRR"/>
    <m/>
    <n v="100.65"/>
    <n v="100.675"/>
    <s v="2R-R"/>
    <m/>
    <n v="100.65"/>
    <n v="100.675"/>
    <x v="17"/>
    <m/>
    <d v="2021-11-20T00:00:00"/>
    <m/>
    <m/>
    <m/>
    <m/>
    <m/>
    <m/>
  </r>
  <r>
    <s v="Gebr. van der Lee"/>
    <x v="7"/>
    <m/>
    <n v="74"/>
    <s v="1HRR"/>
    <m/>
    <n v="101.375"/>
    <n v="101.4"/>
    <s v="2R-R"/>
    <m/>
    <n v="101.375"/>
    <n v="101.4"/>
    <x v="17"/>
    <m/>
    <d v="2021-11-20T00:00:00"/>
    <m/>
    <m/>
    <m/>
    <m/>
    <m/>
    <m/>
  </r>
  <r>
    <s v="Gebr. van der Lee"/>
    <x v="7"/>
    <m/>
    <n v="73"/>
    <s v="1HRR"/>
    <m/>
    <n v="30.96"/>
    <n v="31"/>
    <m/>
    <s v="ALLE"/>
    <n v="30.96"/>
    <n v="31"/>
    <x v="3"/>
    <m/>
    <d v="2021-11-20T00:00:00"/>
    <m/>
    <m/>
    <m/>
    <m/>
    <m/>
    <m/>
  </r>
  <r>
    <s v="Gebr. van der Lee"/>
    <x v="7"/>
    <m/>
    <n v="76"/>
    <s v="1HRR"/>
    <m/>
    <n v="1.375"/>
    <n v="1.5249999999999999"/>
    <s v="2R-R"/>
    <m/>
    <n v="1.375"/>
    <n v="1.5249999999999999"/>
    <x v="9"/>
    <m/>
    <d v="2021-11-24T00:00:00"/>
    <m/>
    <m/>
    <m/>
    <m/>
    <m/>
    <m/>
  </r>
  <r>
    <s v="Gebr. van der Lee"/>
    <x v="7"/>
    <m/>
    <n v="76"/>
    <s v="1HRR"/>
    <m/>
    <n v="1.375"/>
    <n v="1.5249999999999999"/>
    <s v="1V-R"/>
    <m/>
    <n v="1.375"/>
    <n v="1.5249999999999999"/>
    <x v="9"/>
    <m/>
    <d v="2021-11-24T00:00:00"/>
    <m/>
    <m/>
    <m/>
    <m/>
    <m/>
    <m/>
  </r>
  <r>
    <s v="Gebr. van der Lee"/>
    <x v="7"/>
    <m/>
    <n v="76"/>
    <s v="1HRR"/>
    <m/>
    <n v="3.02"/>
    <n v="3.05"/>
    <s v="2R-R"/>
    <m/>
    <n v="3.02"/>
    <n v="3.05"/>
    <x v="29"/>
    <m/>
    <d v="2021-11-24T00:00:00"/>
    <m/>
    <m/>
    <m/>
    <m/>
    <m/>
    <m/>
  </r>
  <r>
    <s v="Gebr. van der Lee"/>
    <x v="7"/>
    <m/>
    <n v="76"/>
    <s v="1HRR"/>
    <m/>
    <n v="3.02"/>
    <n v="3.05"/>
    <s v="1V-R"/>
    <m/>
    <n v="3.02"/>
    <n v="3.05"/>
    <x v="29"/>
    <m/>
    <d v="2021-11-24T00:00:00"/>
    <m/>
    <m/>
    <m/>
    <m/>
    <m/>
    <m/>
  </r>
  <r>
    <s v="Gebr. van der Lee"/>
    <x v="7"/>
    <m/>
    <n v="2"/>
    <s v="1HRL"/>
    <m/>
    <n v="272.68"/>
    <n v="272.3"/>
    <s v="2R-L"/>
    <m/>
    <n v="272.3"/>
    <n v="272.68"/>
    <x v="9"/>
    <m/>
    <d v="2021-11-25T00:00:00"/>
    <m/>
    <m/>
    <m/>
    <m/>
    <m/>
    <m/>
  </r>
  <r>
    <s v="Gebr. van der Lee"/>
    <x v="7"/>
    <m/>
    <n v="2"/>
    <s v="1HRL"/>
    <m/>
    <n v="271.73500000000001"/>
    <n v="271.70999999999998"/>
    <s v="2R-L"/>
    <m/>
    <n v="271.70999999999998"/>
    <n v="271.73500000000001"/>
    <x v="9"/>
    <m/>
    <d v="2021-11-25T00:00:00"/>
    <m/>
    <m/>
    <m/>
    <m/>
    <m/>
    <m/>
  </r>
  <r>
    <s v="Gebr. van der Lee"/>
    <x v="7"/>
    <m/>
    <n v="2"/>
    <s v="1HRL"/>
    <m/>
    <n v="271.73500000000001"/>
    <n v="271.70999999999998"/>
    <s v="1V-L"/>
    <m/>
    <n v="271.70999999999998"/>
    <n v="271.73500000000001"/>
    <x v="9"/>
    <m/>
    <d v="2021-11-25T00:00:00"/>
    <m/>
    <m/>
    <m/>
    <m/>
    <m/>
    <m/>
  </r>
  <r>
    <s v="Gebr. van der Lee"/>
    <x v="7"/>
    <m/>
    <n v="2"/>
    <s v="1HRR"/>
    <m/>
    <n v="234.05"/>
    <n v="234.15"/>
    <s v="1Q-R"/>
    <m/>
    <n v="234.05"/>
    <n v="234.15"/>
    <x v="3"/>
    <m/>
    <d v="2021-11-25T00:00:00"/>
    <m/>
    <m/>
    <m/>
    <m/>
    <m/>
    <m/>
  </r>
  <r>
    <s v="Gebr. van der Lee"/>
    <x v="7"/>
    <m/>
    <n v="67"/>
    <s v="0VW"/>
    <s v="d"/>
    <n v="65.41"/>
    <n v="65.385000000000005"/>
    <s v="1R-L"/>
    <m/>
    <n v="65.385000000000005"/>
    <n v="65.41"/>
    <x v="8"/>
    <m/>
    <d v="2021-12-01T00:00:00"/>
    <m/>
    <m/>
    <m/>
    <m/>
    <m/>
    <m/>
  </r>
  <r>
    <s v="Gebr. van der Lee"/>
    <x v="7"/>
    <m/>
    <n v="73"/>
    <s v="1HRL"/>
    <m/>
    <n v="54.87"/>
    <n v="54.844999999999999"/>
    <m/>
    <s v="ALLE"/>
    <n v="54.844999999999999"/>
    <n v="54.87"/>
    <x v="9"/>
    <m/>
    <d v="2021-12-01T00:00:00"/>
    <m/>
    <m/>
    <m/>
    <m/>
    <m/>
    <m/>
  </r>
  <r>
    <s v="Gebr. van der Lee"/>
    <x v="7"/>
    <m/>
    <n v="73"/>
    <s v="0VW"/>
    <s v="w"/>
    <n v="45.89"/>
    <n v="46.1"/>
    <s v="1R-L"/>
    <m/>
    <n v="45.89"/>
    <n v="46.1"/>
    <x v="8"/>
    <m/>
    <d v="2021-12-02T00:00:00"/>
    <m/>
    <m/>
    <m/>
    <m/>
    <m/>
    <m/>
  </r>
  <r>
    <s v="Gebr. van der Lee"/>
    <x v="7"/>
    <m/>
    <n v="67"/>
    <s v="1HRL"/>
    <m/>
    <n v="59.023000000000003"/>
    <n v="59"/>
    <s v="1U-L"/>
    <m/>
    <n v="59"/>
    <n v="59.023000000000003"/>
    <x v="9"/>
    <m/>
    <d v="2021-12-02T00:00:00"/>
    <m/>
    <m/>
    <m/>
    <m/>
    <m/>
    <m/>
  </r>
  <r>
    <s v="Gebr. van der Lee"/>
    <x v="7"/>
    <m/>
    <n v="67"/>
    <s v="1HRL"/>
    <m/>
    <n v="59.023000000000003"/>
    <n v="59"/>
    <s v="1V-L"/>
    <m/>
    <n v="59"/>
    <n v="59.023000000000003"/>
    <x v="9"/>
    <m/>
    <d v="2021-12-02T00:00:00"/>
    <m/>
    <m/>
    <m/>
    <m/>
    <m/>
    <m/>
  </r>
  <r>
    <s v="Gebr. van der Lee"/>
    <x v="7"/>
    <m/>
    <n v="2"/>
    <s v="1HRR"/>
    <m/>
    <n v="220.25"/>
    <n v="220.85"/>
    <m/>
    <s v="ALLE"/>
    <n v="220.25"/>
    <n v="220.85"/>
    <x v="9"/>
    <m/>
    <d v="2021-12-03T00:00:00"/>
    <m/>
    <m/>
    <m/>
    <m/>
    <m/>
    <m/>
  </r>
  <r>
    <s v="Gebr. van der Lee"/>
    <x v="7"/>
    <m/>
    <n v="2"/>
    <s v="1HRL"/>
    <m/>
    <n v="238.66"/>
    <n v="238.4"/>
    <s v="1I-L"/>
    <m/>
    <n v="238.4"/>
    <n v="238.66"/>
    <x v="9"/>
    <m/>
    <d v="2021-12-10T00:00:00"/>
    <m/>
    <m/>
    <m/>
    <m/>
    <m/>
    <m/>
  </r>
  <r>
    <s v="Gebr. van der Lee"/>
    <x v="7"/>
    <m/>
    <n v="2"/>
    <s v="1HRL"/>
    <m/>
    <n v="237.72"/>
    <n v="237.69499999999999"/>
    <s v="2R-L"/>
    <m/>
    <n v="237.69499999999999"/>
    <n v="237.72"/>
    <x v="9"/>
    <m/>
    <d v="2021-12-10T00:00:00"/>
    <m/>
    <m/>
    <m/>
    <m/>
    <m/>
    <m/>
  </r>
  <r>
    <s v="Gebr. van der Lee"/>
    <x v="7"/>
    <m/>
    <n v="2"/>
    <s v="1HRL"/>
    <m/>
    <n v="237.55"/>
    <n v="237.5"/>
    <s v="2R-L"/>
    <m/>
    <n v="237.5"/>
    <n v="237.55"/>
    <x v="9"/>
    <m/>
    <d v="2021-12-10T00:00:00"/>
    <m/>
    <m/>
    <m/>
    <m/>
    <m/>
    <m/>
  </r>
  <r>
    <s v="Gebr. van der Lee"/>
    <x v="7"/>
    <m/>
    <n v="2"/>
    <s v="1HRL"/>
    <m/>
    <n v="237.55"/>
    <n v="237.5"/>
    <s v="1Q-L"/>
    <m/>
    <n v="237.5"/>
    <n v="237.55"/>
    <x v="9"/>
    <m/>
    <d v="2021-12-10T00:00:00"/>
    <m/>
    <m/>
    <m/>
    <m/>
    <m/>
    <m/>
  </r>
  <r>
    <s v="Gebr. van der Lee"/>
    <x v="7"/>
    <m/>
    <n v="2"/>
    <s v="1HRL"/>
    <m/>
    <n v="237.315"/>
    <n v="237.29"/>
    <s v="2R-L"/>
    <m/>
    <n v="237.29"/>
    <n v="237.315"/>
    <x v="9"/>
    <m/>
    <d v="2021-12-10T00:00:00"/>
    <m/>
    <m/>
    <m/>
    <m/>
    <m/>
    <m/>
  </r>
  <r>
    <s v="Gebr. van der Lee"/>
    <x v="7"/>
    <m/>
    <n v="2"/>
    <s v="1HRL"/>
    <m/>
    <n v="236.83"/>
    <n v="236.78"/>
    <s v="2R-L"/>
    <m/>
    <n v="236.78"/>
    <n v="236.83"/>
    <x v="9"/>
    <m/>
    <d v="2021-12-10T00:00:00"/>
    <m/>
    <m/>
    <m/>
    <m/>
    <m/>
    <m/>
  </r>
  <r>
    <s v="Gebr. van der Lee"/>
    <x v="7"/>
    <m/>
    <n v="2"/>
    <s v="1HRL"/>
    <m/>
    <n v="236.83"/>
    <n v="236.78"/>
    <s v="1Q-L"/>
    <m/>
    <n v="236.78"/>
    <n v="236.83"/>
    <x v="9"/>
    <m/>
    <d v="2021-12-10T00:00:00"/>
    <m/>
    <m/>
    <m/>
    <m/>
    <m/>
    <m/>
  </r>
  <r>
    <s v="Gebr. van der Lee"/>
    <x v="7"/>
    <m/>
    <n v="2"/>
    <s v="1HRL"/>
    <m/>
    <n v="235.38"/>
    <n v="235.35499999999999"/>
    <s v="2R-L"/>
    <m/>
    <n v="235.35499999999999"/>
    <n v="235.38"/>
    <x v="9"/>
    <m/>
    <d v="2021-12-10T00:00:00"/>
    <m/>
    <m/>
    <m/>
    <m/>
    <m/>
    <m/>
  </r>
  <r>
    <s v="Gebr. van der Lee"/>
    <x v="7"/>
    <m/>
    <n v="2"/>
    <s v="1HRL"/>
    <m/>
    <n v="235.05"/>
    <n v="234.94"/>
    <s v="2R-L"/>
    <m/>
    <n v="234.94"/>
    <n v="235.05"/>
    <x v="9"/>
    <m/>
    <d v="2021-12-10T00:00:00"/>
    <m/>
    <m/>
    <m/>
    <m/>
    <m/>
    <m/>
  </r>
  <r>
    <s v="Gebr. van der Lee"/>
    <x v="7"/>
    <m/>
    <n v="2"/>
    <s v="1HRL"/>
    <m/>
    <n v="234.66"/>
    <n v="234.63499999999999"/>
    <s v="2R-L"/>
    <m/>
    <n v="234.63499999999999"/>
    <n v="234.66"/>
    <x v="9"/>
    <m/>
    <d v="2021-12-10T00:00:00"/>
    <m/>
    <m/>
    <m/>
    <m/>
    <m/>
    <m/>
  </r>
  <r>
    <s v="Gebr. van der Lee"/>
    <x v="7"/>
    <m/>
    <n v="2"/>
    <s v="0VW"/>
    <s v="c"/>
    <n v="232.53"/>
    <n v="232.48"/>
    <s v="2RL"/>
    <m/>
    <n v="232.48"/>
    <n v="232.53"/>
    <x v="34"/>
    <m/>
    <d v="2021-12-10T00:00:00"/>
    <m/>
    <m/>
    <m/>
    <m/>
    <m/>
    <m/>
  </r>
  <r>
    <s v="Gebr. van der Lee"/>
    <x v="7"/>
    <m/>
    <n v="2"/>
    <s v="0VW"/>
    <s v="c"/>
    <n v="232.53"/>
    <n v="232.48"/>
    <s v="3R-L"/>
    <m/>
    <n v="232.48"/>
    <n v="232.53"/>
    <x v="34"/>
    <m/>
    <d v="2021-12-10T00:00:00"/>
    <m/>
    <m/>
    <m/>
    <m/>
    <m/>
    <m/>
  </r>
  <r>
    <s v="Gebr. van der Lee"/>
    <x v="7"/>
    <m/>
    <n v="73"/>
    <s v="1HRL"/>
    <m/>
    <n v="16.3"/>
    <n v="16.399999999999999"/>
    <s v="2R-L"/>
    <m/>
    <n v="16.3"/>
    <n v="16.399999999999999"/>
    <x v="35"/>
    <m/>
    <d v="2021-12-10T00:00:00"/>
    <m/>
    <m/>
    <m/>
    <m/>
    <m/>
    <m/>
  </r>
  <r>
    <s v="Gebr. van der Lee"/>
    <x v="7"/>
    <m/>
    <n v="67"/>
    <s v="1HRR"/>
    <m/>
    <n v="60.2"/>
    <n v="61.5"/>
    <s v="2R-R"/>
    <m/>
    <n v="60.2"/>
    <n v="61.5"/>
    <x v="18"/>
    <m/>
    <d v="2021-10-17T00:00:00"/>
    <m/>
    <m/>
    <m/>
    <m/>
    <m/>
    <m/>
  </r>
  <r>
    <s v="Gebr. van der Lee"/>
    <x v="7"/>
    <m/>
    <n v="67"/>
    <s v="1HRR"/>
    <m/>
    <n v="60.2"/>
    <n v="61.5"/>
    <s v="2R-R"/>
    <m/>
    <n v="60.2"/>
    <n v="61.5"/>
    <x v="9"/>
    <m/>
    <d v="2021-10-17T00:00:00"/>
    <m/>
    <m/>
    <m/>
    <m/>
    <m/>
    <m/>
  </r>
  <r>
    <s v="Gebr. van der Lee"/>
    <x v="7"/>
    <m/>
    <n v="67"/>
    <s v="1HRR"/>
    <m/>
    <n v="60.2"/>
    <n v="61.5"/>
    <s v="1V-R"/>
    <m/>
    <n v="60.2"/>
    <n v="61.5"/>
    <x v="9"/>
    <m/>
    <d v="2021-10-17T00:00:00"/>
    <m/>
    <m/>
    <m/>
    <m/>
    <m/>
    <m/>
  </r>
  <r>
    <s v="Gebr. van der Lee"/>
    <x v="7"/>
    <m/>
    <n v="67"/>
    <s v="1HRR"/>
    <m/>
    <n v="61.5"/>
    <n v="61.8"/>
    <s v="2R-R"/>
    <m/>
    <n v="61.5"/>
    <n v="61.8"/>
    <x v="18"/>
    <m/>
    <d v="2021-10-17T00:00:00"/>
    <m/>
    <m/>
    <m/>
    <m/>
    <m/>
    <m/>
  </r>
  <r>
    <s v="Gebr. van der Lee"/>
    <x v="7"/>
    <m/>
    <n v="67"/>
    <s v="1HRR"/>
    <m/>
    <n v="61.5"/>
    <n v="61.8"/>
    <s v="2R-R"/>
    <m/>
    <n v="61.5"/>
    <n v="61.8"/>
    <x v="9"/>
    <m/>
    <d v="2021-10-17T00:00:00"/>
    <m/>
    <m/>
    <m/>
    <m/>
    <m/>
    <m/>
  </r>
  <r>
    <s v="Gebr. van der Lee"/>
    <x v="7"/>
    <m/>
    <n v="67"/>
    <s v="1HRR"/>
    <m/>
    <n v="61.5"/>
    <n v="61.8"/>
    <s v="1U-R"/>
    <m/>
    <n v="61.5"/>
    <n v="61.8"/>
    <x v="9"/>
    <m/>
    <d v="2021-10-17T00:00:00"/>
    <m/>
    <m/>
    <m/>
    <m/>
    <m/>
    <m/>
  </r>
  <r>
    <s v="Gebr. van der Lee"/>
    <x v="7"/>
    <m/>
    <n v="67"/>
    <s v="1HRR"/>
    <m/>
    <n v="65.2"/>
    <n v="65.55"/>
    <s v="2R-R"/>
    <m/>
    <n v="65.2"/>
    <n v="65.55"/>
    <x v="18"/>
    <m/>
    <d v="2021-10-17T00:00:00"/>
    <m/>
    <m/>
    <m/>
    <m/>
    <m/>
    <m/>
  </r>
  <r>
    <s v="Gebr. van der Lee"/>
    <x v="7"/>
    <m/>
    <n v="67"/>
    <s v="1HRR"/>
    <m/>
    <n v="65.2"/>
    <n v="65.45"/>
    <s v="2R-R"/>
    <m/>
    <n v="65.2"/>
    <n v="65.45"/>
    <x v="9"/>
    <m/>
    <d v="2021-10-17T00:00:00"/>
    <m/>
    <m/>
    <m/>
    <m/>
    <m/>
    <m/>
  </r>
  <r>
    <s v="Gebr. van der Lee"/>
    <x v="7"/>
    <m/>
    <n v="67"/>
    <s v="1HRR"/>
    <m/>
    <n v="65.2"/>
    <n v="65.45"/>
    <s v="1V-R"/>
    <m/>
    <n v="65.2"/>
    <n v="65.45"/>
    <x v="9"/>
    <m/>
    <d v="2021-10-17T00:00:00"/>
    <m/>
    <m/>
    <m/>
    <m/>
    <m/>
    <m/>
  </r>
  <r>
    <s v="Gebr. van der Lee"/>
    <x v="7"/>
    <m/>
    <n v="67"/>
    <s v="1HRR"/>
    <m/>
    <n v="65.45"/>
    <n v="65.55"/>
    <s v="2R-R"/>
    <m/>
    <n v="65.45"/>
    <n v="65.55"/>
    <x v="9"/>
    <m/>
    <d v="2021-10-17T00:00:00"/>
    <m/>
    <m/>
    <m/>
    <m/>
    <m/>
    <m/>
  </r>
  <r>
    <s v="Gebr. van der Lee"/>
    <x v="7"/>
    <m/>
    <n v="67"/>
    <s v="0VW"/>
    <s v="j"/>
    <n v="69.094999999999999"/>
    <n v="69.125"/>
    <s v="1R-R"/>
    <m/>
    <n v="69.094999999999999"/>
    <n v="69.125"/>
    <x v="3"/>
    <m/>
    <d v="2021-10-17T00:00:00"/>
    <m/>
    <m/>
    <m/>
    <m/>
    <m/>
    <m/>
  </r>
  <r>
    <s v="BAM"/>
    <x v="7"/>
    <m/>
    <n v="67"/>
    <s v="1HRR"/>
    <m/>
    <n v="67.525000000000006"/>
    <n v="67.924999999999997"/>
    <m/>
    <s v="ALLE"/>
    <n v="67.525000000000006"/>
    <n v="67.924999999999997"/>
    <x v="9"/>
    <m/>
    <d v="1905-07-13T00:00:00"/>
    <m/>
    <m/>
    <m/>
    <m/>
    <m/>
    <m/>
  </r>
  <r>
    <s v="BAM"/>
    <x v="7"/>
    <m/>
    <n v="67"/>
    <s v="1HRR"/>
    <m/>
    <n v="67.3"/>
    <n v="69.194000000000003"/>
    <m/>
    <s v="ALLE"/>
    <n v="67.3"/>
    <n v="69.194000000000003"/>
    <x v="9"/>
    <m/>
    <d v="1905-07-13T00:00:00"/>
    <m/>
    <m/>
    <m/>
    <m/>
    <m/>
    <m/>
  </r>
  <r>
    <s v="BAM"/>
    <x v="7"/>
    <m/>
    <n v="67"/>
    <s v="1HRR"/>
    <m/>
    <n v="69.692999999999998"/>
    <n v="70.307000000000002"/>
    <m/>
    <s v="ALLE"/>
    <n v="69.692999999999998"/>
    <n v="70.307000000000002"/>
    <x v="9"/>
    <m/>
    <d v="1905-07-13T00:00:00"/>
    <m/>
    <m/>
    <m/>
    <m/>
    <m/>
    <m/>
  </r>
  <r>
    <s v="Via Optimum"/>
    <x v="8"/>
    <m/>
    <n v="59"/>
    <s v="1HRR"/>
    <m/>
    <n v="124.4"/>
    <n v="124.5"/>
    <s v="2R-R"/>
    <m/>
    <n v="124.4"/>
    <n v="124.5"/>
    <x v="1"/>
    <m/>
    <d v="2021-02-19T00:00:00"/>
    <m/>
    <s v="750D002"/>
    <s v="APN"/>
    <m/>
    <m/>
    <m/>
  </r>
  <r>
    <s v="Via Optimum"/>
    <x v="8"/>
    <m/>
    <n v="59"/>
    <s v="1HRR"/>
    <m/>
    <n v="124.6"/>
    <n v="125.1"/>
    <s v="2R-R"/>
    <m/>
    <n v="124.6"/>
    <n v="125.1"/>
    <x v="1"/>
    <m/>
    <d v="2021-02-19T00:00:00"/>
    <m/>
    <s v="750D002"/>
    <s v="APN"/>
    <m/>
    <m/>
    <m/>
  </r>
  <r>
    <s v="Via Optimum"/>
    <x v="8"/>
    <m/>
    <n v="59"/>
    <s v="1HRR"/>
    <m/>
    <n v="125.84"/>
    <n v="125.86499999999999"/>
    <s v="2R-R"/>
    <m/>
    <n v="125.84"/>
    <n v="125.86499999999999"/>
    <x v="1"/>
    <m/>
    <d v="2021-02-19T00:00:00"/>
    <m/>
    <s v="750D002"/>
    <s v="APN"/>
    <m/>
    <m/>
    <m/>
  </r>
  <r>
    <s v="Via Optimum"/>
    <x v="8"/>
    <m/>
    <n v="59"/>
    <s v="1HRR"/>
    <m/>
    <n v="126.6"/>
    <n v="126.7"/>
    <s v="2R-R"/>
    <m/>
    <n v="126.6"/>
    <n v="126.7"/>
    <x v="1"/>
    <m/>
    <d v="2021-02-20T00:00:00"/>
    <m/>
    <s v="750D002"/>
    <s v="APN"/>
    <m/>
    <m/>
    <m/>
  </r>
  <r>
    <s v="Via Optimum"/>
    <x v="8"/>
    <m/>
    <n v="59"/>
    <s v="1HRR"/>
    <m/>
    <n v="126.8"/>
    <n v="126.9"/>
    <s v="2R-R"/>
    <m/>
    <n v="126.8"/>
    <n v="126.9"/>
    <x v="1"/>
    <m/>
    <d v="2021-02-20T00:00:00"/>
    <m/>
    <s v="750D002"/>
    <s v="APN"/>
    <m/>
    <m/>
    <m/>
  </r>
  <r>
    <s v="Via Optimum"/>
    <x v="8"/>
    <m/>
    <n v="59"/>
    <s v="1HRR"/>
    <m/>
    <n v="126.8"/>
    <m/>
    <s v="2R-R"/>
    <m/>
    <n v="126.8"/>
    <n v="126.8"/>
    <x v="1"/>
    <m/>
    <d v="2021-02-20T00:00:00"/>
    <m/>
    <s v="750D002"/>
    <s v="APN"/>
    <m/>
    <m/>
    <m/>
  </r>
  <r>
    <s v="Via Optimum"/>
    <x v="8"/>
    <m/>
    <n v="59"/>
    <s v="1HRR"/>
    <m/>
    <n v="127.65"/>
    <n v="127.8"/>
    <s v="1I-R"/>
    <m/>
    <n v="127.65"/>
    <n v="127.8"/>
    <x v="1"/>
    <m/>
    <d v="2021-02-20T00:00:00"/>
    <m/>
    <s v="750D002"/>
    <s v="APN"/>
    <m/>
    <m/>
    <m/>
  </r>
  <r>
    <s v="Via Optimum"/>
    <x v="8"/>
    <m/>
    <n v="2"/>
    <s v="1HRR"/>
    <m/>
    <n v="183.3"/>
    <n v="183.8"/>
    <s v="2R-R"/>
    <m/>
    <n v="183.3"/>
    <n v="183.8"/>
    <x v="1"/>
    <m/>
    <d v="2021-02-22T00:00:00"/>
    <m/>
    <s v="750D002"/>
    <s v="APN"/>
    <m/>
    <m/>
    <m/>
  </r>
  <r>
    <s v="Via Optimum"/>
    <x v="8"/>
    <m/>
    <n v="2"/>
    <s v="1HRR"/>
    <m/>
    <n v="182.8"/>
    <n v="183.3"/>
    <s v="2R-R"/>
    <m/>
    <n v="182.8"/>
    <n v="183.3"/>
    <x v="1"/>
    <m/>
    <d v="2021-02-23T00:00:00"/>
    <m/>
    <s v="750D002"/>
    <s v="APN"/>
    <m/>
    <m/>
    <m/>
  </r>
  <r>
    <s v="Via Optimum"/>
    <x v="8"/>
    <m/>
    <n v="67"/>
    <s v="1HRL"/>
    <m/>
    <n v="49.6"/>
    <n v="49.5"/>
    <s v="1I-L"/>
    <m/>
    <n v="49.5"/>
    <n v="49.6"/>
    <x v="1"/>
    <m/>
    <d v="2021-02-24T00:00:00"/>
    <m/>
    <s v="450D000"/>
    <s v="APN"/>
    <m/>
    <m/>
    <m/>
  </r>
  <r>
    <s v="Via Optimum"/>
    <x v="8"/>
    <m/>
    <n v="2"/>
    <s v="1HRL"/>
    <m/>
    <n v="169.9"/>
    <n v="169.6"/>
    <s v="ALL"/>
    <s v="ALLE"/>
    <n v="169.6"/>
    <n v="169.9"/>
    <x v="36"/>
    <m/>
    <d v="2021-03-07T00:00:00"/>
    <m/>
    <s v="730D001"/>
    <s v="APN"/>
    <m/>
    <m/>
    <m/>
  </r>
  <r>
    <s v="Via Optimum"/>
    <x v="8"/>
    <m/>
    <n v="58"/>
    <s v="1HRR"/>
    <m/>
    <n v="15.35"/>
    <n v="13.45"/>
    <s v="3R-R"/>
    <m/>
    <n v="13.45"/>
    <n v="15.35"/>
    <x v="37"/>
    <m/>
    <d v="2021-03-20T00:00:00"/>
    <m/>
    <s v="165D006"/>
    <s v="APN"/>
    <m/>
    <m/>
    <m/>
  </r>
  <r>
    <s v="Via Optimum"/>
    <x v="8"/>
    <m/>
    <n v="58"/>
    <s v="1HRR"/>
    <m/>
    <n v="16.25"/>
    <n v="17.725000000000001"/>
    <s v="3R-R"/>
    <m/>
    <n v="16.25"/>
    <n v="17.725000000000001"/>
    <x v="37"/>
    <m/>
    <d v="2021-03-20T00:00:00"/>
    <m/>
    <s v="165D006"/>
    <s v="APN"/>
    <m/>
    <m/>
    <m/>
  </r>
  <r>
    <s v="Via Optimum"/>
    <x v="8"/>
    <m/>
    <n v="58"/>
    <s v="1HRR"/>
    <m/>
    <n v="16.25"/>
    <n v="17.725000000000001"/>
    <s v="1I-R"/>
    <m/>
    <n v="16.25"/>
    <n v="17.725000000000001"/>
    <x v="37"/>
    <m/>
    <d v="2021-03-20T00:00:00"/>
    <m/>
    <s v="165D006"/>
    <s v="APN"/>
    <m/>
    <m/>
    <m/>
  </r>
  <r>
    <s v="Via Optimum"/>
    <x v="8"/>
    <m/>
    <n v="58"/>
    <s v="1HRR"/>
    <m/>
    <n v="20.72"/>
    <n v="20.82"/>
    <s v="2R-R"/>
    <m/>
    <n v="20.72"/>
    <n v="20.82"/>
    <x v="3"/>
    <m/>
    <d v="2021-03-20T00:00:00"/>
    <m/>
    <s v="750D000"/>
    <s v="APN"/>
    <m/>
    <m/>
    <m/>
  </r>
  <r>
    <s v="Via Optimum"/>
    <x v="8"/>
    <m/>
    <n v="58"/>
    <s v="1HRR"/>
    <m/>
    <n v="20.72"/>
    <n v="20.82"/>
    <s v="2R-R"/>
    <m/>
    <n v="20.72"/>
    <n v="20.82"/>
    <x v="3"/>
    <m/>
    <d v="2021-03-20T00:00:00"/>
    <m/>
    <s v="730D001"/>
    <s v="APN"/>
    <m/>
    <m/>
    <m/>
  </r>
  <r>
    <s v="Via Optimum"/>
    <x v="8"/>
    <m/>
    <n v="58"/>
    <s v="1HRR"/>
    <m/>
    <n v="24.364999999999998"/>
    <n v="24.39"/>
    <s v="2R-R"/>
    <m/>
    <n v="24.364999999999998"/>
    <n v="24.39"/>
    <x v="3"/>
    <m/>
    <d v="2021-03-20T00:00:00"/>
    <m/>
    <s v="730D001"/>
    <s v="APN"/>
    <m/>
    <m/>
    <m/>
  </r>
  <r>
    <s v="Via Optimum"/>
    <x v="8"/>
    <m/>
    <n v="58"/>
    <s v="1HRR"/>
    <m/>
    <n v="15.115"/>
    <n v="15.2"/>
    <s v="3R-R"/>
    <m/>
    <n v="15.115"/>
    <n v="15.2"/>
    <x v="38"/>
    <m/>
    <d v="2021-03-21T00:00:00"/>
    <m/>
    <s v="750D002"/>
    <s v="APN"/>
    <m/>
    <m/>
    <m/>
  </r>
  <r>
    <s v="Via Optimum"/>
    <x v="8"/>
    <m/>
    <n v="58"/>
    <s v="1HRR"/>
    <m/>
    <n v="15.35"/>
    <n v="15.45"/>
    <s v="3R-R"/>
    <m/>
    <n v="15.35"/>
    <n v="15.45"/>
    <x v="38"/>
    <m/>
    <d v="2021-03-21T00:00:00"/>
    <m/>
    <s v="750D002"/>
    <s v="APN"/>
    <m/>
    <m/>
    <m/>
  </r>
  <r>
    <s v="Via Optimum"/>
    <x v="8"/>
    <m/>
    <n v="58"/>
    <s v="1HRR"/>
    <m/>
    <n v="16.2"/>
    <n v="17.725000000000001"/>
    <s v="3R-R"/>
    <m/>
    <n v="16.2"/>
    <n v="17.725000000000001"/>
    <x v="38"/>
    <m/>
    <d v="2021-03-21T00:00:00"/>
    <m/>
    <s v="750D002"/>
    <s v="APN"/>
    <m/>
    <m/>
    <m/>
  </r>
  <r>
    <s v="Via Optimum"/>
    <x v="8"/>
    <m/>
    <n v="58"/>
    <s v="1HRR"/>
    <m/>
    <n v="16.2"/>
    <n v="17.725000000000001"/>
    <s v="1I-R"/>
    <m/>
    <n v="16.2"/>
    <n v="17.725000000000001"/>
    <x v="38"/>
    <m/>
    <d v="2021-03-21T00:00:00"/>
    <m/>
    <s v="750D002"/>
    <s v="APN"/>
    <m/>
    <m/>
    <m/>
  </r>
  <r>
    <s v="Via Optimum"/>
    <x v="8"/>
    <m/>
    <n v="58"/>
    <s v="1HRR"/>
    <m/>
    <n v="13.3"/>
    <n v="13.5"/>
    <s v="3R-R"/>
    <m/>
    <n v="13.3"/>
    <n v="13.5"/>
    <x v="36"/>
    <m/>
    <d v="2021-03-21T00:00:00"/>
    <m/>
    <s v="730D001"/>
    <s v="APN"/>
    <m/>
    <m/>
    <m/>
  </r>
  <r>
    <s v="Via Optimum"/>
    <x v="8"/>
    <m/>
    <n v="58"/>
    <s v="1HRR"/>
    <m/>
    <n v="13.31"/>
    <n v="13.4"/>
    <s v="1I-R"/>
    <m/>
    <n v="13.31"/>
    <n v="13.4"/>
    <x v="36"/>
    <m/>
    <d v="2021-03-21T00:00:00"/>
    <m/>
    <s v="730D001"/>
    <s v="APN"/>
    <m/>
    <m/>
    <m/>
  </r>
  <r>
    <s v="Via Optimum"/>
    <x v="8"/>
    <m/>
    <n v="58"/>
    <s v="1HRR"/>
    <m/>
    <n v="18.899999999999999"/>
    <n v="19.2"/>
    <s v="1U-R"/>
    <m/>
    <n v="18.899999999999999"/>
    <n v="19.2"/>
    <x v="36"/>
    <m/>
    <d v="2021-03-21T00:00:00"/>
    <m/>
    <s v="730D001"/>
    <s v="APN"/>
    <m/>
    <m/>
    <m/>
  </r>
  <r>
    <s v="Via Optimum"/>
    <x v="8"/>
    <m/>
    <n v="67"/>
    <s v="1HRR"/>
    <m/>
    <n v="4"/>
    <n v="4.5750000000000002"/>
    <s v="2R-R"/>
    <m/>
    <n v="4"/>
    <n v="4.5750000000000002"/>
    <x v="39"/>
    <m/>
    <d v="2021-03-22T00:00:00"/>
    <m/>
    <s v="750D002"/>
    <s v="APN"/>
    <m/>
    <m/>
    <m/>
  </r>
  <r>
    <s v="Via Optimum"/>
    <x v="8"/>
    <m/>
    <n v="67"/>
    <s v="1HRR"/>
    <m/>
    <n v="4.5750000000000002"/>
    <n v="5.125"/>
    <s v="2R-R"/>
    <m/>
    <n v="4.5750000000000002"/>
    <n v="5.125"/>
    <x v="39"/>
    <m/>
    <d v="2021-03-23T00:00:00"/>
    <m/>
    <s v="750D002"/>
    <s v="APN"/>
    <m/>
    <m/>
    <m/>
  </r>
  <r>
    <s v="Via Optimum"/>
    <x v="8"/>
    <m/>
    <n v="67"/>
    <s v="1HRR"/>
    <m/>
    <n v="4.9000000000000004"/>
    <n v="4.9249999999999998"/>
    <s v="1R-R"/>
    <m/>
    <n v="4.9000000000000004"/>
    <n v="4.9249999999999998"/>
    <x v="39"/>
    <m/>
    <d v="2021-03-23T00:00:00"/>
    <m/>
    <s v="750D002"/>
    <s v="APN"/>
    <m/>
    <m/>
    <m/>
  </r>
  <r>
    <s v="Via Optimum"/>
    <x v="8"/>
    <m/>
    <n v="67"/>
    <s v="1HRR"/>
    <m/>
    <n v="5.125"/>
    <n v="5.7"/>
    <s v="2R-R"/>
    <m/>
    <n v="5.125"/>
    <n v="5.7"/>
    <x v="39"/>
    <m/>
    <d v="2021-03-24T00:00:00"/>
    <m/>
    <s v="750D002"/>
    <s v="APN"/>
    <m/>
    <m/>
    <m/>
  </r>
  <r>
    <s v="Via Optimum"/>
    <x v="8"/>
    <m/>
    <n v="67"/>
    <s v="1HRR"/>
    <m/>
    <n v="5.7"/>
    <n v="6.1"/>
    <s v="2R-R"/>
    <m/>
    <n v="5.7"/>
    <n v="6.1"/>
    <x v="39"/>
    <m/>
    <d v="2021-03-25T00:00:00"/>
    <m/>
    <s v="750D002"/>
    <s v="APN"/>
    <m/>
    <m/>
    <m/>
  </r>
  <r>
    <s v="Via Optimum"/>
    <x v="8"/>
    <m/>
    <n v="67"/>
    <s v="1HRL"/>
    <m/>
    <n v="7.3"/>
    <n v="7.1"/>
    <s v="2R-L"/>
    <m/>
    <n v="7.1"/>
    <n v="7.3"/>
    <x v="39"/>
    <m/>
    <d v="2021-03-29T00:00:00"/>
    <m/>
    <s v="750D002"/>
    <s v="APN"/>
    <m/>
    <m/>
    <m/>
  </r>
  <r>
    <s v="Via Optimum"/>
    <x v="8"/>
    <m/>
    <n v="67"/>
    <s v="1HRL"/>
    <m/>
    <n v="7.1"/>
    <n v="7"/>
    <s v="2R-L"/>
    <m/>
    <n v="7"/>
    <n v="7.1"/>
    <x v="39"/>
    <m/>
    <d v="2021-03-29T00:00:00"/>
    <m/>
    <s v="750D002"/>
    <s v="APN"/>
    <m/>
    <m/>
    <m/>
  </r>
  <r>
    <s v="Via Optimum"/>
    <x v="8"/>
    <m/>
    <n v="67"/>
    <s v="1HRL"/>
    <m/>
    <n v="7.7"/>
    <n v="7.5"/>
    <s v="2R-L"/>
    <m/>
    <n v="7.5"/>
    <n v="7.7"/>
    <x v="39"/>
    <m/>
    <d v="2021-03-30T00:00:00"/>
    <m/>
    <s v="750D002"/>
    <s v="APN"/>
    <m/>
    <m/>
    <m/>
  </r>
  <r>
    <s v="Via Optimum"/>
    <x v="8"/>
    <m/>
    <n v="67"/>
    <s v="1HRL"/>
    <m/>
    <n v="7.5"/>
    <n v="7.3"/>
    <s v="2R-L"/>
    <m/>
    <n v="7.3"/>
    <n v="7.5"/>
    <x v="39"/>
    <m/>
    <d v="2021-03-30T00:00:00"/>
    <m/>
    <s v="750D002"/>
    <s v="APN"/>
    <m/>
    <m/>
    <m/>
  </r>
  <r>
    <s v="Via Optimum"/>
    <x v="8"/>
    <m/>
    <n v="2"/>
    <s v="1HRL "/>
    <m/>
    <n v="166.7"/>
    <n v="166.5"/>
    <s v="2R-L"/>
    <m/>
    <n v="166.5"/>
    <n v="166.7"/>
    <x v="36"/>
    <m/>
    <d v="2021-03-31T00:00:00"/>
    <m/>
    <s v="750D001"/>
    <s v="APN"/>
    <m/>
    <m/>
    <m/>
  </r>
  <r>
    <s v="Via Optimum"/>
    <x v="8"/>
    <m/>
    <n v="67"/>
    <s v="1HRR"/>
    <m/>
    <n v="36.76"/>
    <n v="36.9"/>
    <s v="2R-R"/>
    <m/>
    <n v="36.76"/>
    <n v="36.9"/>
    <x v="39"/>
    <m/>
    <d v="2021-04-10T00:00:00"/>
    <m/>
    <s v="750D002"/>
    <s v="APN"/>
    <m/>
    <m/>
    <m/>
  </r>
  <r>
    <s v="Via Optimum"/>
    <x v="8"/>
    <m/>
    <n v="67"/>
    <s v="1HRR"/>
    <m/>
    <n v="28.75"/>
    <n v="28.85"/>
    <s v="2R-R"/>
    <m/>
    <n v="28.75"/>
    <n v="28.85"/>
    <x v="39"/>
    <m/>
    <d v="2021-04-10T00:00:00"/>
    <m/>
    <s v="750D002"/>
    <s v="APN"/>
    <m/>
    <m/>
    <m/>
  </r>
  <r>
    <s v="Via Optimum"/>
    <x v="8"/>
    <m/>
    <n v="67"/>
    <s v="1HRR"/>
    <m/>
    <n v="25.024999999999999"/>
    <n v="25.125"/>
    <s v="ALL"/>
    <s v="ALLE"/>
    <n v="25.024999999999999"/>
    <n v="25.125"/>
    <x v="40"/>
    <m/>
    <d v="2021-04-11T00:00:00"/>
    <m/>
    <s v="165D006"/>
    <s v="APN"/>
    <m/>
    <m/>
    <m/>
  </r>
  <r>
    <s v="Via Optimum"/>
    <x v="8"/>
    <m/>
    <n v="67"/>
    <s v="1HRR"/>
    <m/>
    <n v="24.85"/>
    <n v="25.125"/>
    <s v="ALL"/>
    <s v="ALLE"/>
    <n v="24.85"/>
    <n v="25.125"/>
    <x v="39"/>
    <m/>
    <d v="2021-04-11T00:00:00"/>
    <m/>
    <s v="750D002"/>
    <s v="APN"/>
    <m/>
    <m/>
    <m/>
  </r>
  <r>
    <s v="Via Optimum"/>
    <x v="8"/>
    <m/>
    <n v="65"/>
    <s v="1HRL"/>
    <m/>
    <n v="11.2"/>
    <n v="10.9"/>
    <s v="2R-L"/>
    <m/>
    <n v="10.9"/>
    <n v="11.2"/>
    <x v="41"/>
    <m/>
    <d v="2021-04-15T00:00:00"/>
    <m/>
    <s v="640D000"/>
    <s v="APN"/>
    <m/>
    <m/>
    <m/>
  </r>
  <r>
    <s v="Via Optimum"/>
    <x v="8"/>
    <m/>
    <n v="50"/>
    <s v="1HRR"/>
    <m/>
    <n v="133"/>
    <n v="133.19999999999999"/>
    <s v="2R-R"/>
    <m/>
    <n v="133"/>
    <n v="133.19999999999999"/>
    <x v="39"/>
    <m/>
    <d v="2021-04-21T00:00:00"/>
    <m/>
    <s v="750D002"/>
    <s v="APN"/>
    <m/>
    <m/>
    <m/>
  </r>
  <r>
    <s v="Via Optimum"/>
    <x v="8"/>
    <m/>
    <n v="50"/>
    <s v="1HRR"/>
    <m/>
    <n v="132.1"/>
    <n v="132.30000000000001"/>
    <s v="2R-R"/>
    <m/>
    <n v="132.1"/>
    <n v="132.30000000000001"/>
    <x v="39"/>
    <m/>
    <d v="2021-04-21T00:00:00"/>
    <m/>
    <s v="750D002"/>
    <s v="APN"/>
    <m/>
    <m/>
    <m/>
  </r>
  <r>
    <s v="Via Optimum"/>
    <x v="8"/>
    <m/>
    <n v="67"/>
    <s v="1HRL"/>
    <m/>
    <n v="37.4"/>
    <n v="37.5"/>
    <s v="1R-L"/>
    <m/>
    <n v="37.4"/>
    <n v="37.5"/>
    <x v="39"/>
    <m/>
    <d v="2021-04-25T00:00:00"/>
    <m/>
    <s v="750D002"/>
    <s v="APN"/>
    <m/>
    <m/>
    <m/>
  </r>
  <r>
    <s v="Via Optimum"/>
    <x v="8"/>
    <m/>
    <n v="67"/>
    <s v="1HRL"/>
    <m/>
    <n v="38.15"/>
    <n v="38"/>
    <s v="2R-L"/>
    <m/>
    <n v="38"/>
    <n v="38.15"/>
    <x v="39"/>
    <m/>
    <d v="2021-04-25T00:00:00"/>
    <m/>
    <s v="750D002"/>
    <s v="APN"/>
    <m/>
    <m/>
    <m/>
  </r>
  <r>
    <s v="Via Optimum"/>
    <x v="8"/>
    <m/>
    <n v="67"/>
    <s v="1HRL"/>
    <m/>
    <n v="36.15"/>
    <n v="36.25"/>
    <s v="ALL"/>
    <m/>
    <n v="36.15"/>
    <n v="36.25"/>
    <x v="42"/>
    <m/>
    <d v="2021-04-24T00:00:00"/>
    <m/>
    <s v="165D006"/>
    <s v="APN"/>
    <m/>
    <m/>
    <m/>
  </r>
  <r>
    <s v="Via Optimum"/>
    <x v="8"/>
    <m/>
    <n v="67"/>
    <s v="1HRL"/>
    <m/>
    <n v="36.15"/>
    <n v="36.454999999999998"/>
    <s v="ALL"/>
    <m/>
    <n v="36.15"/>
    <n v="36.454999999999998"/>
    <x v="39"/>
    <m/>
    <d v="2021-04-24T00:00:00"/>
    <m/>
    <s v="750D002"/>
    <s v="APN"/>
    <m/>
    <m/>
    <m/>
  </r>
  <r>
    <s v="Via Optimum"/>
    <x v="8"/>
    <m/>
    <n v="65"/>
    <s v="1HRR"/>
    <m/>
    <n v="10.199999999999999"/>
    <n v="10.4"/>
    <s v="2R-R"/>
    <m/>
    <n v="10.199999999999999"/>
    <n v="10.4"/>
    <x v="43"/>
    <m/>
    <d v="2021-05-09T00:00:00"/>
    <m/>
    <s v="450D000"/>
    <s v="APN"/>
    <m/>
    <m/>
    <m/>
  </r>
  <r>
    <s v="Via Optimum"/>
    <x v="8"/>
    <m/>
    <n v="65"/>
    <s v="1HRR"/>
    <m/>
    <n v="12"/>
    <n v="12.1"/>
    <s v="2R-R"/>
    <m/>
    <n v="12"/>
    <n v="12.1"/>
    <x v="43"/>
    <m/>
    <d v="2021-05-09T00:00:00"/>
    <m/>
    <s v="450D000"/>
    <s v="APN"/>
    <m/>
    <m/>
    <m/>
  </r>
  <r>
    <s v="Via Optimum"/>
    <x v="8"/>
    <m/>
    <n v="65"/>
    <s v="1HRR"/>
    <m/>
    <n v="13.5"/>
    <n v="13.6"/>
    <s v="2R-R"/>
    <m/>
    <n v="13.5"/>
    <n v="13.6"/>
    <x v="43"/>
    <m/>
    <d v="2021-05-09T00:00:00"/>
    <m/>
    <s v="450D000"/>
    <s v="APN"/>
    <m/>
    <m/>
    <m/>
  </r>
  <r>
    <s v="Via Optimum"/>
    <x v="8"/>
    <m/>
    <n v="65"/>
    <s v="1HRR"/>
    <m/>
    <n v="13.9"/>
    <n v="14"/>
    <s v="2R-R"/>
    <m/>
    <n v="13.9"/>
    <n v="14"/>
    <x v="43"/>
    <m/>
    <d v="2021-05-09T00:00:00"/>
    <m/>
    <s v="450D000"/>
    <s v="APN"/>
    <m/>
    <m/>
    <m/>
  </r>
  <r>
    <s v="Via Optimum"/>
    <x v="8"/>
    <m/>
    <n v="65"/>
    <s v="1HRR"/>
    <m/>
    <n v="5.3"/>
    <n v="5.5"/>
    <s v="1R-R"/>
    <m/>
    <n v="5.3"/>
    <n v="5.5"/>
    <x v="44"/>
    <m/>
    <d v="2021-05-09T00:00:00"/>
    <m/>
    <s v="520D000"/>
    <s v="APN"/>
    <m/>
    <m/>
    <m/>
  </r>
  <r>
    <s v="Via Optimum"/>
    <x v="8"/>
    <m/>
    <n v="65"/>
    <s v="1HRR"/>
    <m/>
    <n v="5.5"/>
    <n v="5.6"/>
    <s v="1R-R"/>
    <m/>
    <n v="5.5"/>
    <n v="5.6"/>
    <x v="41"/>
    <m/>
    <d v="2021-05-09T00:00:00"/>
    <m/>
    <s v="640D000"/>
    <s v="APN"/>
    <m/>
    <m/>
    <m/>
  </r>
  <r>
    <s v="Via Optimum"/>
    <x v="8"/>
    <m/>
    <n v="65"/>
    <s v="1HRR"/>
    <m/>
    <n v="5.5"/>
    <n v="5.6"/>
    <s v="2R-R"/>
    <m/>
    <n v="5.5"/>
    <n v="5.6"/>
    <x v="41"/>
    <m/>
    <d v="2021-05-09T00:00:00"/>
    <m/>
    <s v="640D000"/>
    <s v="APN"/>
    <m/>
    <m/>
    <m/>
  </r>
  <r>
    <s v="Via Optimum"/>
    <x v="8"/>
    <m/>
    <n v="65"/>
    <s v="1HRR"/>
    <m/>
    <n v="8.1999999999999993"/>
    <n v="8.3000000000000007"/>
    <s v="1R-R"/>
    <m/>
    <n v="8.1999999999999993"/>
    <n v="8.3000000000000007"/>
    <x v="44"/>
    <m/>
    <d v="2021-05-09T00:00:00"/>
    <m/>
    <s v="520D000"/>
    <s v="APN"/>
    <m/>
    <m/>
    <m/>
  </r>
  <r>
    <s v="Via Optimum"/>
    <x v="8"/>
    <m/>
    <n v="65"/>
    <s v="1HRR"/>
    <m/>
    <n v="9.6999999999999993"/>
    <n v="9.8000000000000007"/>
    <s v="1R-R"/>
    <m/>
    <n v="9.6999999999999993"/>
    <n v="9.8000000000000007"/>
    <x v="44"/>
    <m/>
    <d v="2021-05-09T00:00:00"/>
    <m/>
    <s v="520D000"/>
    <s v="APN"/>
    <m/>
    <m/>
    <m/>
  </r>
  <r>
    <s v="Via Optimum"/>
    <x v="8"/>
    <m/>
    <n v="65"/>
    <s v="1HRR"/>
    <m/>
    <n v="9.9"/>
    <n v="10"/>
    <s v="1R-R"/>
    <m/>
    <n v="9.9"/>
    <n v="10"/>
    <x v="44"/>
    <m/>
    <d v="2021-05-09T00:00:00"/>
    <m/>
    <s v="520D000"/>
    <s v="APN"/>
    <m/>
    <m/>
    <m/>
  </r>
  <r>
    <s v="Via Optimum"/>
    <x v="8"/>
    <m/>
    <n v="65"/>
    <s v="1HRR"/>
    <m/>
    <n v="10.1"/>
    <n v="10.199999999999999"/>
    <s v="1R-R"/>
    <m/>
    <n v="10.1"/>
    <n v="10.199999999999999"/>
    <x v="44"/>
    <m/>
    <d v="2021-05-09T00:00:00"/>
    <m/>
    <s v="520D000"/>
    <s v="APN"/>
    <m/>
    <m/>
    <m/>
  </r>
  <r>
    <s v="Via Optimum"/>
    <x v="8"/>
    <m/>
    <n v="65"/>
    <s v="1HRR"/>
    <m/>
    <n v="10.1"/>
    <n v="10.199999999999999"/>
    <s v="2R-R"/>
    <m/>
    <n v="10.1"/>
    <n v="10.199999999999999"/>
    <x v="44"/>
    <m/>
    <d v="2021-05-09T00:00:00"/>
    <m/>
    <s v="520D000"/>
    <s v="APN"/>
    <m/>
    <m/>
    <m/>
  </r>
  <r>
    <s v="Via Optimum"/>
    <x v="8"/>
    <m/>
    <n v="73"/>
    <s v="1HRL"/>
    <m/>
    <n v="92.9"/>
    <n v="92.87"/>
    <s v="1R-L"/>
    <m/>
    <n v="92.87"/>
    <n v="92.9"/>
    <x v="39"/>
    <m/>
    <d v="2021-05-29T00:00:00"/>
    <m/>
    <s v="750D002"/>
    <s v="APN"/>
    <m/>
    <m/>
    <m/>
  </r>
  <r>
    <s v="Via Optimum"/>
    <x v="8"/>
    <m/>
    <n v="73"/>
    <s v="1HRL"/>
    <m/>
    <n v="92.9"/>
    <n v="92.82"/>
    <s v="2R-L"/>
    <m/>
    <n v="92.82"/>
    <n v="92.9"/>
    <x v="39"/>
    <m/>
    <d v="2021-05-29T00:00:00"/>
    <m/>
    <s v="750D002"/>
    <s v="APN"/>
    <m/>
    <m/>
    <m/>
  </r>
  <r>
    <s v="Via Optimum"/>
    <x v="8"/>
    <m/>
    <n v="73"/>
    <s v="1HRL"/>
    <m/>
    <n v="92.4"/>
    <n v="92.55"/>
    <s v="1R-L"/>
    <m/>
    <n v="92.4"/>
    <n v="92.55"/>
    <x v="39"/>
    <m/>
    <d v="2021-05-29T00:00:00"/>
    <m/>
    <s v="750D002"/>
    <s v="APN"/>
    <m/>
    <m/>
    <m/>
  </r>
  <r>
    <s v="Via Optimum"/>
    <x v="8"/>
    <m/>
    <n v="73"/>
    <s v="1HRL"/>
    <m/>
    <n v="92.4"/>
    <n v="92.55"/>
    <s v="2R-L"/>
    <m/>
    <n v="92.4"/>
    <n v="92.55"/>
    <x v="39"/>
    <m/>
    <d v="2021-05-29T00:00:00"/>
    <m/>
    <s v="750D002"/>
    <s v="APN"/>
    <m/>
    <m/>
    <m/>
  </r>
  <r>
    <s v="Via Optimum"/>
    <x v="8"/>
    <m/>
    <n v="73"/>
    <s v="1HRL"/>
    <m/>
    <n v="92.4"/>
    <n v="92.55"/>
    <s v="1V-L"/>
    <m/>
    <n v="92.4"/>
    <n v="92.55"/>
    <x v="39"/>
    <m/>
    <d v="2021-05-29T00:00:00"/>
    <m/>
    <s v="750D002"/>
    <s v="APN"/>
    <m/>
    <m/>
    <m/>
  </r>
  <r>
    <s v="Via Optimum"/>
    <x v="8"/>
    <m/>
    <n v="73"/>
    <s v="1HRL"/>
    <m/>
    <n v="91.95"/>
    <n v="91.85"/>
    <s v="1R-L"/>
    <m/>
    <n v="91.85"/>
    <n v="91.95"/>
    <x v="39"/>
    <m/>
    <d v="2021-05-29T00:00:00"/>
    <m/>
    <s v="750D002"/>
    <s v="APN"/>
    <m/>
    <m/>
    <m/>
  </r>
  <r>
    <s v="Via Optimum"/>
    <x v="8"/>
    <m/>
    <n v="73"/>
    <s v="1HRL"/>
    <m/>
    <n v="90.3"/>
    <n v="90.25"/>
    <s v="1R-L"/>
    <m/>
    <n v="90.25"/>
    <n v="90.3"/>
    <x v="39"/>
    <m/>
    <d v="2021-05-29T00:00:00"/>
    <m/>
    <s v="750D002"/>
    <s v="APN"/>
    <m/>
    <m/>
    <m/>
  </r>
  <r>
    <s v="Via Optimum"/>
    <x v="8"/>
    <m/>
    <n v="73"/>
    <s v="1HRL"/>
    <m/>
    <n v="90.3"/>
    <n v="90.25"/>
    <s v="2R-L"/>
    <m/>
    <n v="90.25"/>
    <n v="90.3"/>
    <x v="39"/>
    <m/>
    <d v="2021-05-29T00:00:00"/>
    <m/>
    <s v="750D002"/>
    <s v="APN"/>
    <m/>
    <m/>
    <m/>
  </r>
  <r>
    <s v="Via Optimum"/>
    <x v="8"/>
    <m/>
    <n v="73"/>
    <s v="1HRL"/>
    <m/>
    <n v="90"/>
    <n v="89.85"/>
    <s v="1I-L"/>
    <m/>
    <n v="89.85"/>
    <n v="90"/>
    <x v="39"/>
    <m/>
    <d v="2021-05-29T00:00:00"/>
    <m/>
    <s v="750D002"/>
    <s v="APN"/>
    <m/>
    <m/>
    <m/>
  </r>
  <r>
    <s v="Via Optimum"/>
    <x v="8"/>
    <m/>
    <n v="73"/>
    <s v="1HRL"/>
    <m/>
    <n v="88.39"/>
    <n v="88.397999999999996"/>
    <s v="2R-L"/>
    <m/>
    <n v="88.39"/>
    <n v="88.397999999999996"/>
    <x v="39"/>
    <m/>
    <d v="2021-05-29T00:00:00"/>
    <m/>
    <s v="750D002"/>
    <s v="APN"/>
    <m/>
    <m/>
    <m/>
  </r>
  <r>
    <s v="Via Optimum"/>
    <x v="8"/>
    <m/>
    <n v="73"/>
    <s v="1HRL"/>
    <m/>
    <n v="82.6"/>
    <n v="82.3"/>
    <s v="1W-L"/>
    <m/>
    <n v="82.3"/>
    <n v="82.6"/>
    <x v="36"/>
    <m/>
    <d v="2021-05-29T00:00:00"/>
    <m/>
    <s v="750D001"/>
    <s v="APN"/>
    <m/>
    <m/>
    <m/>
  </r>
  <r>
    <s v="Via Optimum"/>
    <x v="8"/>
    <m/>
    <n v="73"/>
    <s v="1HRL"/>
    <m/>
    <n v="82.6"/>
    <n v="82.3"/>
    <s v="2R-L"/>
    <m/>
    <n v="82.3"/>
    <n v="82.6"/>
    <x v="36"/>
    <m/>
    <d v="2021-05-29T00:00:00"/>
    <m/>
    <s v="750D001"/>
    <s v="APN"/>
    <m/>
    <m/>
    <m/>
  </r>
  <r>
    <s v="Via Optimum"/>
    <x v="8"/>
    <m/>
    <n v="73"/>
    <s v="1HRL"/>
    <m/>
    <n v="82.7"/>
    <n v="82.6"/>
    <s v="1R-L"/>
    <m/>
    <n v="82.6"/>
    <n v="82.7"/>
    <x v="36"/>
    <m/>
    <d v="2021-05-29T00:00:00"/>
    <m/>
    <s v="750D001"/>
    <s v="APN"/>
    <m/>
    <m/>
    <m/>
  </r>
  <r>
    <s v="Via Optimum"/>
    <x v="8"/>
    <m/>
    <n v="73"/>
    <s v="1HRL"/>
    <m/>
    <n v="82.6"/>
    <n v="82.3"/>
    <s v="1R-L"/>
    <m/>
    <n v="82.3"/>
    <n v="82.6"/>
    <x v="36"/>
    <m/>
    <d v="2021-05-29T00:00:00"/>
    <m/>
    <s v="750D001"/>
    <s v="APN"/>
    <m/>
    <m/>
    <m/>
  </r>
  <r>
    <s v="Via Optimum"/>
    <x v="8"/>
    <m/>
    <n v="73"/>
    <s v="1HRL"/>
    <m/>
    <n v="82.3"/>
    <n v="82"/>
    <s v="1R-L"/>
    <m/>
    <n v="82"/>
    <n v="82.3"/>
    <x v="36"/>
    <m/>
    <d v="2021-05-29T00:00:00"/>
    <m/>
    <s v="750D001"/>
    <s v="APN"/>
    <m/>
    <m/>
    <m/>
  </r>
  <r>
    <s v="Via Optimum"/>
    <x v="8"/>
    <m/>
    <n v="73"/>
    <s v="1HRL"/>
    <m/>
    <n v="81.599999999999994"/>
    <n v="81.599999999999994"/>
    <s v="2R-L"/>
    <m/>
    <n v="81.599999999999994"/>
    <n v="81.599999999999994"/>
    <x v="39"/>
    <m/>
    <d v="2021-05-29T00:00:00"/>
    <m/>
    <s v="750D002"/>
    <s v="APN"/>
    <m/>
    <m/>
    <m/>
  </r>
  <r>
    <s v="Via Optimum"/>
    <x v="8"/>
    <m/>
    <n v="73"/>
    <s v="1HRR"/>
    <m/>
    <n v="81.8"/>
    <n v="81.900000000000006"/>
    <s v="2R-R"/>
    <m/>
    <n v="81.8"/>
    <n v="81.900000000000006"/>
    <x v="39"/>
    <m/>
    <d v="2021-06-05T00:00:00"/>
    <m/>
    <s v="750D002"/>
    <s v="APN"/>
    <m/>
    <m/>
    <m/>
  </r>
  <r>
    <s v="Via Optimum"/>
    <x v="8"/>
    <m/>
    <n v="73"/>
    <s v="1HRR"/>
    <m/>
    <n v="82.05"/>
    <n v="82.1"/>
    <s v="2R-R"/>
    <m/>
    <n v="82.05"/>
    <n v="82.1"/>
    <x v="39"/>
    <m/>
    <d v="2021-06-05T00:00:00"/>
    <m/>
    <s v="750D002"/>
    <s v="APN"/>
    <m/>
    <m/>
    <m/>
  </r>
  <r>
    <s v="Via Optimum"/>
    <x v="8"/>
    <m/>
    <n v="73"/>
    <s v="1HRR"/>
    <m/>
    <n v="82.9"/>
    <n v="83"/>
    <s v="2R-R"/>
    <m/>
    <n v="82.9"/>
    <n v="83"/>
    <x v="39"/>
    <m/>
    <d v="2021-06-05T00:00:00"/>
    <m/>
    <s v="750D002"/>
    <s v="APN"/>
    <m/>
    <m/>
    <m/>
  </r>
  <r>
    <s v="Via Optimum"/>
    <x v="8"/>
    <m/>
    <n v="73"/>
    <s v="1HRR"/>
    <m/>
    <n v="83"/>
    <n v="83.2"/>
    <s v="2R-R"/>
    <m/>
    <n v="83"/>
    <n v="83.2"/>
    <x v="39"/>
    <m/>
    <d v="2021-06-05T00:00:00"/>
    <m/>
    <s v="750D002"/>
    <s v="APN"/>
    <m/>
    <m/>
    <m/>
  </r>
  <r>
    <s v="Via Optimum"/>
    <x v="8"/>
    <m/>
    <n v="73"/>
    <s v="1HRR"/>
    <m/>
    <n v="83.45"/>
    <n v="83.55"/>
    <s v="2R-R"/>
    <m/>
    <n v="83.45"/>
    <n v="83.55"/>
    <x v="39"/>
    <m/>
    <d v="2021-06-05T00:00:00"/>
    <m/>
    <s v="750D002"/>
    <s v="APN"/>
    <m/>
    <m/>
    <m/>
  </r>
  <r>
    <s v="Via Optimum"/>
    <x v="8"/>
    <m/>
    <n v="73"/>
    <s v="1HRR"/>
    <m/>
    <n v="85.05"/>
    <n v="85.1"/>
    <s v="2R-R"/>
    <m/>
    <n v="85.05"/>
    <n v="85.1"/>
    <x v="39"/>
    <m/>
    <d v="2021-06-05T00:00:00"/>
    <m/>
    <s v="750D002"/>
    <s v="APN"/>
    <m/>
    <m/>
    <m/>
  </r>
  <r>
    <s v="Via Optimum"/>
    <x v="8"/>
    <m/>
    <n v="73"/>
    <s v="1HRR"/>
    <m/>
    <n v="86.2"/>
    <n v="86.2"/>
    <s v="2R-R"/>
    <m/>
    <n v="86.2"/>
    <n v="86.2"/>
    <x v="39"/>
    <m/>
    <d v="2021-06-05T00:00:00"/>
    <m/>
    <s v="750D002"/>
    <s v="APN"/>
    <m/>
    <m/>
    <m/>
  </r>
  <r>
    <s v="Via Optimum"/>
    <x v="8"/>
    <m/>
    <n v="73"/>
    <s v="1HRR"/>
    <m/>
    <n v="86.2"/>
    <n v="86.2"/>
    <s v="1V-R"/>
    <m/>
    <n v="86.2"/>
    <n v="86.2"/>
    <x v="39"/>
    <m/>
    <d v="2021-06-05T00:00:00"/>
    <m/>
    <s v="750D002"/>
    <s v="APN"/>
    <m/>
    <m/>
    <m/>
  </r>
  <r>
    <s v="Via Optimum"/>
    <x v="8"/>
    <m/>
    <n v="73"/>
    <s v="1HRR"/>
    <m/>
    <n v="87.7"/>
    <n v="87.8"/>
    <s v="2R-R"/>
    <m/>
    <n v="87.7"/>
    <n v="87.8"/>
    <x v="39"/>
    <m/>
    <d v="2021-06-05T00:00:00"/>
    <m/>
    <s v="750D002"/>
    <s v="APN"/>
    <m/>
    <m/>
    <m/>
  </r>
  <r>
    <s v="Via Optimum"/>
    <x v="8"/>
    <m/>
    <n v="73"/>
    <s v="1HRR"/>
    <m/>
    <n v="88.4"/>
    <n v="88.5"/>
    <s v="2R-R"/>
    <m/>
    <n v="88.4"/>
    <n v="88.5"/>
    <x v="39"/>
    <m/>
    <d v="2021-06-05T00:00:00"/>
    <m/>
    <s v="750D002"/>
    <s v="APN"/>
    <m/>
    <m/>
    <m/>
  </r>
  <r>
    <s v="Via Optimum"/>
    <x v="8"/>
    <m/>
    <n v="73"/>
    <s v="1HRR"/>
    <m/>
    <n v="90.55"/>
    <n v="90.6"/>
    <s v="2R-R"/>
    <m/>
    <n v="90.55"/>
    <n v="90.6"/>
    <x v="39"/>
    <m/>
    <d v="2021-06-05T00:00:00"/>
    <m/>
    <s v="750D002"/>
    <s v="APN"/>
    <m/>
    <m/>
    <m/>
  </r>
  <r>
    <s v="Via Optimum"/>
    <x v="8"/>
    <m/>
    <n v="73"/>
    <s v="1HRR"/>
    <m/>
    <n v="92.6"/>
    <n v="92.7"/>
    <s v="1R-R"/>
    <m/>
    <n v="92.6"/>
    <n v="92.7"/>
    <x v="39"/>
    <m/>
    <d v="2021-06-05T00:00:00"/>
    <m/>
    <s v="750D002"/>
    <s v="APN"/>
    <m/>
    <m/>
    <m/>
  </r>
  <r>
    <s v="Via Optimum"/>
    <x v="8"/>
    <m/>
    <n v="73"/>
    <s v="1HRR"/>
    <m/>
    <n v="92.6"/>
    <n v="92.7"/>
    <s v="2R-R"/>
    <m/>
    <n v="92.6"/>
    <n v="92.7"/>
    <x v="39"/>
    <m/>
    <d v="2021-06-05T00:00:00"/>
    <m/>
    <s v="750D002"/>
    <s v="APN"/>
    <m/>
    <m/>
    <m/>
  </r>
  <r>
    <s v="Via Optimum"/>
    <x v="8"/>
    <m/>
    <n v="73"/>
    <s v="1HRR"/>
    <m/>
    <n v="92.6"/>
    <n v="92.7"/>
    <s v="1V-R"/>
    <m/>
    <n v="92.6"/>
    <n v="92.7"/>
    <x v="39"/>
    <m/>
    <d v="2021-06-05T00:00:00"/>
    <m/>
    <s v="750D002"/>
    <s v="APN"/>
    <m/>
    <m/>
    <m/>
  </r>
  <r>
    <s v="Via Optimum"/>
    <x v="8"/>
    <m/>
    <n v="73"/>
    <s v="1HRR"/>
    <m/>
    <n v="68.599999999999994"/>
    <n v="68.650000000000006"/>
    <s v="2R-R"/>
    <m/>
    <n v="68.599999999999994"/>
    <n v="68.650000000000006"/>
    <x v="39"/>
    <m/>
    <d v="2021-06-12T00:00:00"/>
    <m/>
    <s v="750D002"/>
    <s v="APN"/>
    <m/>
    <m/>
    <m/>
  </r>
  <r>
    <s v="Via Optimum"/>
    <x v="8"/>
    <m/>
    <n v="73"/>
    <s v="1HRR"/>
    <m/>
    <n v="69"/>
    <n v="69.2"/>
    <s v="2R-R"/>
    <m/>
    <n v="69"/>
    <n v="69.2"/>
    <x v="39"/>
    <m/>
    <d v="2021-06-12T00:00:00"/>
    <m/>
    <s v="750D002"/>
    <s v="APN"/>
    <m/>
    <m/>
    <m/>
  </r>
  <r>
    <s v="Via Optimum"/>
    <x v="8"/>
    <m/>
    <n v="73"/>
    <s v="1HRR"/>
    <m/>
    <n v="69.400000000000006"/>
    <n v="69.5"/>
    <s v="2R-R"/>
    <m/>
    <n v="69.400000000000006"/>
    <n v="69.5"/>
    <x v="39"/>
    <m/>
    <d v="2021-06-12T00:00:00"/>
    <m/>
    <s v="750D002"/>
    <s v="APN"/>
    <m/>
    <m/>
    <m/>
  </r>
  <r>
    <s v="Via Optimum"/>
    <x v="8"/>
    <m/>
    <n v="73"/>
    <s v="1HRR"/>
    <m/>
    <n v="69.8"/>
    <n v="69.900000000000006"/>
    <s v="2R-R"/>
    <m/>
    <n v="69.8"/>
    <n v="69.900000000000006"/>
    <x v="39"/>
    <m/>
    <d v="2021-06-12T00:00:00"/>
    <m/>
    <s v="750D002"/>
    <s v="APN"/>
    <m/>
    <m/>
    <m/>
  </r>
  <r>
    <s v="Via Optimum"/>
    <x v="8"/>
    <m/>
    <n v="73"/>
    <s v="1HRR"/>
    <m/>
    <n v="69.95"/>
    <n v="70"/>
    <s v="2R-R"/>
    <m/>
    <n v="69.95"/>
    <n v="70"/>
    <x v="39"/>
    <m/>
    <d v="2021-06-12T00:00:00"/>
    <m/>
    <s v="750D002"/>
    <s v="APN"/>
    <m/>
    <m/>
    <m/>
  </r>
  <r>
    <s v="Via Optimum"/>
    <x v="8"/>
    <m/>
    <n v="73"/>
    <s v="1HRR"/>
    <m/>
    <n v="70.05"/>
    <n v="70.099999999999994"/>
    <s v="2R-R"/>
    <m/>
    <n v="70.05"/>
    <n v="70.099999999999994"/>
    <x v="39"/>
    <m/>
    <d v="2021-06-12T00:00:00"/>
    <m/>
    <s v="750D002"/>
    <s v="APN"/>
    <m/>
    <m/>
    <m/>
  </r>
  <r>
    <s v="Via Optimum"/>
    <x v="8"/>
    <m/>
    <n v="73"/>
    <s v="1HRR"/>
    <m/>
    <n v="70.150000000000006"/>
    <n v="70.224999999999994"/>
    <s v="2R-R"/>
    <m/>
    <n v="70.150000000000006"/>
    <n v="70.224999999999994"/>
    <x v="39"/>
    <m/>
    <d v="2021-06-12T00:00:00"/>
    <m/>
    <s v="750D002"/>
    <s v="APN"/>
    <m/>
    <m/>
    <m/>
  </r>
  <r>
    <s v="Via Optimum"/>
    <x v="8"/>
    <m/>
    <n v="73"/>
    <s v="1HRR"/>
    <m/>
    <n v="70.400000000000006"/>
    <n v="70.599999999999994"/>
    <s v="2R-R"/>
    <m/>
    <n v="70.400000000000006"/>
    <n v="70.599999999999994"/>
    <x v="39"/>
    <m/>
    <d v="2021-06-12T00:00:00"/>
    <m/>
    <s v="750D002"/>
    <s v="APN"/>
    <m/>
    <m/>
    <m/>
  </r>
  <r>
    <s v="Via Optimum"/>
    <x v="8"/>
    <m/>
    <n v="73"/>
    <s v="1HRR"/>
    <m/>
    <n v="70.599999999999994"/>
    <n v="70.650000000000006"/>
    <s v="2R-R"/>
    <m/>
    <n v="70.599999999999994"/>
    <n v="70.650000000000006"/>
    <x v="39"/>
    <m/>
    <d v="2021-06-12T00:00:00"/>
    <m/>
    <s v="750D002"/>
    <s v="APN"/>
    <m/>
    <m/>
    <m/>
  </r>
  <r>
    <s v="Via Optimum"/>
    <x v="8"/>
    <m/>
    <n v="73"/>
    <s v="1HRR"/>
    <m/>
    <n v="70.650000000000006"/>
    <n v="71.5"/>
    <s v="2R-R"/>
    <m/>
    <n v="70.650000000000006"/>
    <n v="71.5"/>
    <x v="39"/>
    <m/>
    <d v="2021-06-12T00:00:00"/>
    <m/>
    <s v="750D002"/>
    <s v="APN"/>
    <m/>
    <m/>
    <m/>
  </r>
  <r>
    <s v="Via Optimum"/>
    <x v="8"/>
    <m/>
    <n v="73"/>
    <s v="1HRR"/>
    <m/>
    <n v="72.3"/>
    <n v="72.599999999999994"/>
    <s v="2R-R"/>
    <m/>
    <n v="72.3"/>
    <n v="72.599999999999994"/>
    <x v="39"/>
    <m/>
    <d v="2021-06-12T00:00:00"/>
    <m/>
    <s v="750D002"/>
    <s v="APN"/>
    <m/>
    <m/>
    <m/>
  </r>
  <r>
    <s v="Via Optimum"/>
    <x v="8"/>
    <m/>
    <n v="73"/>
    <s v="1HRR"/>
    <m/>
    <n v="72.8"/>
    <n v="73.099999999999994"/>
    <s v="2R-R"/>
    <m/>
    <n v="72.8"/>
    <n v="73.099999999999994"/>
    <x v="39"/>
    <m/>
    <d v="2021-06-12T00:00:00"/>
    <m/>
    <s v="750D002"/>
    <s v="APN"/>
    <m/>
    <m/>
    <m/>
  </r>
  <r>
    <s v="Via Optimum"/>
    <x v="8"/>
    <m/>
    <n v="73"/>
    <s v="1HRR"/>
    <m/>
    <n v="73.2"/>
    <n v="73.25"/>
    <s v="2R-R"/>
    <m/>
    <n v="73.2"/>
    <n v="73.25"/>
    <x v="39"/>
    <m/>
    <d v="2021-06-12T00:00:00"/>
    <m/>
    <s v="750D002"/>
    <s v="APN"/>
    <m/>
    <m/>
    <m/>
  </r>
  <r>
    <s v="Via Optimum"/>
    <x v="8"/>
    <m/>
    <n v="73"/>
    <s v="1HRR"/>
    <m/>
    <n v="73.5"/>
    <n v="73.7"/>
    <s v="2R-R"/>
    <m/>
    <n v="73.5"/>
    <n v="73.7"/>
    <x v="39"/>
    <m/>
    <d v="2021-06-12T00:00:00"/>
    <m/>
    <s v="750D002"/>
    <s v="APN"/>
    <m/>
    <m/>
    <m/>
  </r>
  <r>
    <s v="Via Optimum"/>
    <x v="8"/>
    <m/>
    <n v="73"/>
    <s v="1HRR"/>
    <m/>
    <n v="73.75"/>
    <n v="73.8"/>
    <s v="2R-R"/>
    <m/>
    <n v="73.75"/>
    <n v="73.8"/>
    <x v="39"/>
    <m/>
    <d v="2021-06-12T00:00:00"/>
    <m/>
    <s v="750D002"/>
    <s v="APN"/>
    <m/>
    <m/>
    <m/>
  </r>
  <r>
    <s v="Via Optimum"/>
    <x v="8"/>
    <m/>
    <n v="73"/>
    <s v="1HRR"/>
    <m/>
    <n v="74.2"/>
    <n v="74.25"/>
    <s v="2R-R"/>
    <m/>
    <n v="74.2"/>
    <n v="74.25"/>
    <x v="39"/>
    <m/>
    <d v="2021-06-12T00:00:00"/>
    <m/>
    <s v="750D002"/>
    <s v="APN"/>
    <m/>
    <m/>
    <m/>
  </r>
  <r>
    <s v="Via Optimum"/>
    <x v="8"/>
    <m/>
    <n v="73"/>
    <s v="1HRR"/>
    <m/>
    <n v="74.344999999999999"/>
    <n v="74.37"/>
    <s v="2R-R"/>
    <m/>
    <n v="74.344999999999999"/>
    <n v="74.37"/>
    <x v="39"/>
    <m/>
    <d v="2021-06-12T00:00:00"/>
    <m/>
    <s v="750D002"/>
    <s v="APN"/>
    <m/>
    <m/>
    <m/>
  </r>
  <r>
    <s v="Via Optimum"/>
    <x v="8"/>
    <m/>
    <n v="73"/>
    <s v="1HRR"/>
    <m/>
    <n v="74.400000000000006"/>
    <n v="74.45"/>
    <s v="2R-R"/>
    <m/>
    <n v="74.400000000000006"/>
    <n v="74.45"/>
    <x v="39"/>
    <m/>
    <d v="2021-06-12T00:00:00"/>
    <m/>
    <s v="750D002"/>
    <s v="APN"/>
    <m/>
    <m/>
    <m/>
  </r>
  <r>
    <s v="Via Optimum"/>
    <x v="8"/>
    <m/>
    <n v="73"/>
    <s v="1HRR"/>
    <m/>
    <n v="74.7"/>
    <n v="74.900000000000006"/>
    <s v="2R-R"/>
    <m/>
    <n v="74.7"/>
    <n v="74.900000000000006"/>
    <x v="39"/>
    <m/>
    <d v="2021-06-12T00:00:00"/>
    <m/>
    <s v="750D002"/>
    <s v="APN"/>
    <m/>
    <m/>
    <m/>
  </r>
  <r>
    <s v="Via Optimum"/>
    <x v="8"/>
    <m/>
    <n v="73"/>
    <s v="1HRR"/>
    <m/>
    <n v="75.33"/>
    <n v="75.61"/>
    <s v="2R-R"/>
    <m/>
    <n v="75.33"/>
    <n v="75.61"/>
    <x v="39"/>
    <m/>
    <d v="2021-06-12T00:00:00"/>
    <m/>
    <s v="750D002"/>
    <s v="APN"/>
    <m/>
    <m/>
    <m/>
  </r>
  <r>
    <s v="Via Optimum"/>
    <x v="8"/>
    <m/>
    <n v="73"/>
    <s v="1HRR"/>
    <m/>
    <n v="75.7"/>
    <n v="75.75"/>
    <s v="1R-R"/>
    <m/>
    <n v="75.7"/>
    <n v="75.75"/>
    <x v="39"/>
    <m/>
    <d v="2021-06-12T00:00:00"/>
    <m/>
    <s v="750D002"/>
    <s v="APN"/>
    <m/>
    <m/>
    <m/>
  </r>
  <r>
    <s v="Via Optimum"/>
    <x v="8"/>
    <m/>
    <n v="73"/>
    <s v="1HRR"/>
    <m/>
    <n v="75.7"/>
    <n v="75.75"/>
    <s v="2R-R"/>
    <m/>
    <n v="75.7"/>
    <n v="75.75"/>
    <x v="39"/>
    <m/>
    <d v="2021-06-12T00:00:00"/>
    <m/>
    <s v="750D002"/>
    <s v="APN"/>
    <m/>
    <m/>
    <m/>
  </r>
  <r>
    <s v="Via Optimum"/>
    <x v="8"/>
    <m/>
    <n v="73"/>
    <s v="1HRR"/>
    <m/>
    <n v="75.7"/>
    <n v="75.75"/>
    <s v="1V-R"/>
    <m/>
    <n v="75.7"/>
    <n v="75.75"/>
    <x v="39"/>
    <m/>
    <d v="2021-06-12T00:00:00"/>
    <m/>
    <s v="750D002"/>
    <s v="APN"/>
    <m/>
    <m/>
    <m/>
  </r>
  <r>
    <s v="Via Optimum"/>
    <x v="8"/>
    <m/>
    <n v="73"/>
    <s v="1HRR"/>
    <m/>
    <n v="75.7"/>
    <n v="75.75"/>
    <s v="2R-R"/>
    <m/>
    <n v="75.7"/>
    <n v="75.75"/>
    <x v="39"/>
    <m/>
    <d v="2021-06-12T00:00:00"/>
    <m/>
    <s v="750D002"/>
    <s v="APN"/>
    <m/>
    <m/>
    <m/>
  </r>
  <r>
    <s v="Via Optimum"/>
    <x v="8"/>
    <m/>
    <n v="73"/>
    <s v="1HRR"/>
    <m/>
    <n v="75.75"/>
    <n v="76"/>
    <s v="2R-R"/>
    <m/>
    <n v="75.75"/>
    <n v="76"/>
    <x v="39"/>
    <m/>
    <d v="2021-06-12T00:00:00"/>
    <m/>
    <s v="750D002"/>
    <s v="APN"/>
    <m/>
    <m/>
    <m/>
  </r>
  <r>
    <s v="Via Optimum"/>
    <x v="8"/>
    <m/>
    <n v="73"/>
    <s v="1HRR"/>
    <m/>
    <n v="76.400000000000006"/>
    <n v="76.5"/>
    <s v="2R-R"/>
    <m/>
    <n v="76.400000000000006"/>
    <n v="76.5"/>
    <x v="39"/>
    <m/>
    <d v="2021-06-12T00:00:00"/>
    <m/>
    <s v="750D002"/>
    <s v="APN"/>
    <m/>
    <m/>
    <m/>
  </r>
  <r>
    <s v="Via Optimum"/>
    <x v="8"/>
    <m/>
    <n v="73"/>
    <s v="1HRR"/>
    <m/>
    <n v="80.8"/>
    <n v="80.849999999999994"/>
    <s v="2R-R"/>
    <m/>
    <n v="80.8"/>
    <n v="80.849999999999994"/>
    <x v="39"/>
    <m/>
    <d v="2021-06-12T00:00:00"/>
    <m/>
    <s v="750D002"/>
    <s v="APN"/>
    <m/>
    <m/>
    <m/>
  </r>
  <r>
    <s v="Via Optimum"/>
    <x v="8"/>
    <m/>
    <n v="73"/>
    <s v="1HRR"/>
    <m/>
    <n v="81.05"/>
    <n v="81.099999999999994"/>
    <s v="1U-R"/>
    <m/>
    <n v="81.05"/>
    <n v="81.099999999999994"/>
    <x v="39"/>
    <m/>
    <d v="2021-06-12T00:00:00"/>
    <m/>
    <s v="750D002"/>
    <s v="APN"/>
    <m/>
    <m/>
    <m/>
  </r>
  <r>
    <s v="Via Optimum"/>
    <x v="8"/>
    <m/>
    <n v="73"/>
    <s v="1HRR"/>
    <m/>
    <n v="69.046999999999997"/>
    <n v="69.051999999999992"/>
    <s v="2R-R"/>
    <m/>
    <n v="69.046999999999997"/>
    <n v="69.051999999999992"/>
    <x v="45"/>
    <m/>
    <d v="2021-06-12T00:00:00"/>
    <m/>
    <n v="527400"/>
    <s v="APN"/>
    <m/>
    <m/>
    <m/>
  </r>
  <r>
    <s v="Via Optimum"/>
    <x v="8"/>
    <m/>
    <n v="73"/>
    <s v="1HRR"/>
    <m/>
    <n v="69.156000000000006"/>
    <n v="69.161000000000001"/>
    <s v="2R-R"/>
    <m/>
    <n v="69.156000000000006"/>
    <n v="69.161000000000001"/>
    <x v="45"/>
    <m/>
    <d v="2021-06-12T00:00:00"/>
    <m/>
    <n v="527401"/>
    <s v="APN"/>
    <m/>
    <m/>
    <m/>
  </r>
  <r>
    <s v="Via Optimum"/>
    <x v="8"/>
    <m/>
    <n v="73"/>
    <s v="1HRR"/>
    <m/>
    <n v="69.459999999999994"/>
    <n v="69.464999999999989"/>
    <s v="2R-R"/>
    <m/>
    <n v="69.459999999999994"/>
    <n v="69.464999999999989"/>
    <x v="45"/>
    <m/>
    <d v="2021-06-12T00:00:00"/>
    <m/>
    <n v="527402"/>
    <s v="APN"/>
    <m/>
    <m/>
    <m/>
  </r>
  <r>
    <s v="Via Optimum"/>
    <x v="8"/>
    <m/>
    <n v="73"/>
    <s v="1HRR"/>
    <m/>
    <n v="69.849999999999994"/>
    <n v="69.85499999999999"/>
    <s v="2R-R"/>
    <m/>
    <n v="69.849999999999994"/>
    <n v="69.85499999999999"/>
    <x v="45"/>
    <m/>
    <d v="2021-06-12T00:00:00"/>
    <m/>
    <n v="527403"/>
    <s v="APN"/>
    <m/>
    <m/>
    <m/>
  </r>
  <r>
    <s v="Via Optimum"/>
    <x v="8"/>
    <m/>
    <n v="73"/>
    <s v="1HRR"/>
    <m/>
    <n v="64.97"/>
    <n v="64.974999999999994"/>
    <s v="2R-R"/>
    <m/>
    <n v="64.97"/>
    <n v="64.974999999999994"/>
    <x v="45"/>
    <m/>
    <d v="2021-06-12T00:00:00"/>
    <m/>
    <n v="527404"/>
    <s v="APN"/>
    <m/>
    <m/>
    <m/>
  </r>
  <r>
    <s v="Via Optimum"/>
    <x v="8"/>
    <m/>
    <n v="73"/>
    <s v="1HRR"/>
    <m/>
    <n v="70.081999999999994"/>
    <n v="70.086999999999989"/>
    <s v="2R-R"/>
    <m/>
    <n v="70.081999999999994"/>
    <n v="70.086999999999989"/>
    <x v="45"/>
    <m/>
    <d v="2021-06-12T00:00:00"/>
    <m/>
    <n v="527405"/>
    <s v="APN"/>
    <m/>
    <m/>
    <m/>
  </r>
  <r>
    <s v="Via Optimum"/>
    <x v="8"/>
    <m/>
    <n v="73"/>
    <s v="1HRR"/>
    <m/>
    <n v="70.209999999999994"/>
    <n v="70.214999999999989"/>
    <s v="2R-R"/>
    <m/>
    <n v="70.209999999999994"/>
    <n v="70.214999999999989"/>
    <x v="45"/>
    <m/>
    <d v="2021-06-12T00:00:00"/>
    <m/>
    <n v="527406"/>
    <s v="APN"/>
    <m/>
    <m/>
    <m/>
  </r>
  <r>
    <s v="Via Optimum"/>
    <x v="8"/>
    <m/>
    <n v="73"/>
    <s v="1HRR"/>
    <m/>
    <n v="70.421000000000006"/>
    <n v="70.426000000000002"/>
    <s v="2R-R"/>
    <m/>
    <n v="70.421000000000006"/>
    <n v="70.426000000000002"/>
    <x v="45"/>
    <m/>
    <d v="2021-06-12T00:00:00"/>
    <m/>
    <n v="527407"/>
    <s v="APN"/>
    <m/>
    <m/>
    <m/>
  </r>
  <r>
    <s v="Via Optimum"/>
    <x v="8"/>
    <m/>
    <n v="73"/>
    <s v="1HRR"/>
    <m/>
    <n v="70.457999999999998"/>
    <n v="70.462999999999994"/>
    <s v="2R-R"/>
    <m/>
    <n v="70.457999999999998"/>
    <n v="70.462999999999994"/>
    <x v="45"/>
    <m/>
    <d v="2021-06-12T00:00:00"/>
    <m/>
    <n v="527408"/>
    <s v="APN"/>
    <m/>
    <m/>
    <m/>
  </r>
  <r>
    <s v="Via Optimum"/>
    <x v="8"/>
    <m/>
    <n v="73"/>
    <s v="1HRR"/>
    <m/>
    <n v="70.58"/>
    <n v="70.584999999999994"/>
    <s v="2R-R"/>
    <m/>
    <n v="70.58"/>
    <n v="70.584999999999994"/>
    <x v="45"/>
    <m/>
    <d v="2021-06-12T00:00:00"/>
    <m/>
    <n v="527409"/>
    <s v="APN"/>
    <m/>
    <m/>
    <m/>
  </r>
  <r>
    <s v="Via Optimum"/>
    <x v="8"/>
    <m/>
    <n v="73"/>
    <s v="1HRR"/>
    <m/>
    <n v="70.603999999999999"/>
    <n v="70.608999999999995"/>
    <s v="2R-R"/>
    <m/>
    <n v="70.603999999999999"/>
    <n v="70.608999999999995"/>
    <x v="45"/>
    <m/>
    <d v="2021-06-12T00:00:00"/>
    <m/>
    <n v="527410"/>
    <s v="APN"/>
    <m/>
    <m/>
    <m/>
  </r>
  <r>
    <s v="Via Optimum"/>
    <x v="8"/>
    <m/>
    <n v="73"/>
    <s v="1HRR"/>
    <m/>
    <n v="70.626999999999995"/>
    <n v="70.631999999999991"/>
    <s v="2R-R"/>
    <m/>
    <n v="70.626999999999995"/>
    <n v="70.631999999999991"/>
    <x v="45"/>
    <m/>
    <d v="2021-06-12T00:00:00"/>
    <m/>
    <n v="527411"/>
    <s v="APN"/>
    <m/>
    <m/>
    <m/>
  </r>
  <r>
    <s v="Via Optimum"/>
    <x v="8"/>
    <m/>
    <n v="73"/>
    <s v="1HRR"/>
    <m/>
    <n v="70.671000000000006"/>
    <n v="70.676000000000002"/>
    <s v="2R-R"/>
    <m/>
    <n v="70.671000000000006"/>
    <n v="70.676000000000002"/>
    <x v="45"/>
    <m/>
    <d v="2021-06-12T00:00:00"/>
    <m/>
    <n v="527412"/>
    <s v="APN"/>
    <m/>
    <m/>
    <m/>
  </r>
  <r>
    <s v="Via Optimum"/>
    <x v="8"/>
    <m/>
    <n v="73"/>
    <s v="1HRR"/>
    <m/>
    <n v="70.875"/>
    <n v="70.88"/>
    <s v="2R-R"/>
    <m/>
    <n v="70.875"/>
    <n v="70.88"/>
    <x v="45"/>
    <m/>
    <d v="2021-06-12T00:00:00"/>
    <m/>
    <n v="527413"/>
    <s v="APN"/>
    <m/>
    <m/>
    <m/>
  </r>
  <r>
    <s v="Via Optimum"/>
    <x v="8"/>
    <m/>
    <n v="73"/>
    <s v="1HRR"/>
    <m/>
    <n v="71.122"/>
    <n v="71.126999999999995"/>
    <s v="2R-R"/>
    <m/>
    <n v="71.122"/>
    <n v="71.126999999999995"/>
    <x v="45"/>
    <m/>
    <d v="2021-06-12T00:00:00"/>
    <m/>
    <n v="527414"/>
    <s v="APN"/>
    <m/>
    <m/>
    <m/>
  </r>
  <r>
    <s v="Via Optimum"/>
    <x v="8"/>
    <m/>
    <n v="73"/>
    <s v="1HRR"/>
    <m/>
    <n v="71.242000000000004"/>
    <n v="71.247"/>
    <s v="2R-R"/>
    <m/>
    <n v="71.242000000000004"/>
    <n v="71.247"/>
    <x v="45"/>
    <m/>
    <d v="2021-06-12T00:00:00"/>
    <m/>
    <n v="527415"/>
    <s v="APN"/>
    <m/>
    <m/>
    <m/>
  </r>
  <r>
    <s v="Via Optimum"/>
    <x v="8"/>
    <m/>
    <n v="73"/>
    <s v="1HRR"/>
    <m/>
    <n v="71.325000000000003"/>
    <n v="71.33"/>
    <s v="2R-R"/>
    <m/>
    <n v="71.325000000000003"/>
    <n v="71.33"/>
    <x v="45"/>
    <m/>
    <d v="2021-06-12T00:00:00"/>
    <m/>
    <n v="527416"/>
    <s v="APN"/>
    <m/>
    <m/>
    <m/>
  </r>
  <r>
    <s v="Via Optimum"/>
    <x v="8"/>
    <m/>
    <n v="73"/>
    <s v="1HRR"/>
    <m/>
    <n v="71.465000000000003"/>
    <n v="71.47"/>
    <s v="2R-R"/>
    <m/>
    <n v="71.465000000000003"/>
    <n v="71.47"/>
    <x v="45"/>
    <m/>
    <d v="2021-06-12T00:00:00"/>
    <m/>
    <n v="527417"/>
    <s v="APN"/>
    <m/>
    <m/>
    <m/>
  </r>
  <r>
    <s v="Via Optimum"/>
    <x v="8"/>
    <m/>
    <n v="73"/>
    <s v="1HRR"/>
    <m/>
    <n v="72.302000000000007"/>
    <n v="72.307000000000002"/>
    <s v="2R-R"/>
    <m/>
    <n v="72.302000000000007"/>
    <n v="72.307000000000002"/>
    <x v="45"/>
    <m/>
    <d v="2021-06-12T00:00:00"/>
    <m/>
    <n v="527418"/>
    <s v="APN"/>
    <m/>
    <m/>
    <m/>
  </r>
  <r>
    <s v="Via Optimum"/>
    <x v="8"/>
    <m/>
    <n v="73"/>
    <s v="1HRR"/>
    <m/>
    <n v="72.497"/>
    <n v="72.501999999999995"/>
    <s v="2R-R"/>
    <m/>
    <n v="72.497"/>
    <n v="72.501999999999995"/>
    <x v="45"/>
    <m/>
    <d v="2021-06-12T00:00:00"/>
    <m/>
    <n v="527419"/>
    <s v="APN"/>
    <m/>
    <m/>
    <m/>
  </r>
  <r>
    <s v="Via Optimum"/>
    <x v="8"/>
    <m/>
    <n v="73"/>
    <s v="1HRR"/>
    <m/>
    <n v="72.591999999999999"/>
    <n v="72.596999999999994"/>
    <s v="2R-R"/>
    <m/>
    <n v="72.591999999999999"/>
    <n v="72.596999999999994"/>
    <x v="45"/>
    <m/>
    <d v="2021-06-12T00:00:00"/>
    <m/>
    <n v="527420"/>
    <s v="APN"/>
    <m/>
    <m/>
    <m/>
  </r>
  <r>
    <s v="Via Optimum"/>
    <x v="8"/>
    <m/>
    <n v="73"/>
    <s v="1HRR"/>
    <m/>
    <n v="72.802000000000007"/>
    <n v="72.807000000000002"/>
    <s v="2R-R"/>
    <m/>
    <n v="72.802000000000007"/>
    <n v="72.807000000000002"/>
    <x v="45"/>
    <m/>
    <d v="2021-06-12T00:00:00"/>
    <m/>
    <n v="527421"/>
    <s v="APN"/>
    <m/>
    <m/>
    <m/>
  </r>
  <r>
    <s v="Via Optimum"/>
    <x v="8"/>
    <m/>
    <n v="73"/>
    <s v="1HRR"/>
    <m/>
    <n v="72.942999999999998"/>
    <n v="72.947999999999993"/>
    <s v="2R-R"/>
    <m/>
    <n v="72.942999999999998"/>
    <n v="72.947999999999993"/>
    <x v="45"/>
    <m/>
    <d v="2021-06-12T00:00:00"/>
    <m/>
    <n v="527422"/>
    <s v="APN"/>
    <m/>
    <m/>
    <m/>
  </r>
  <r>
    <s v="Via Optimum"/>
    <x v="8"/>
    <m/>
    <n v="73"/>
    <s v="1HRR"/>
    <m/>
    <n v="73.055000000000007"/>
    <n v="73.06"/>
    <s v="2R-R"/>
    <m/>
    <n v="73.055000000000007"/>
    <n v="73.06"/>
    <x v="45"/>
    <m/>
    <d v="2021-06-12T00:00:00"/>
    <m/>
    <n v="527423"/>
    <s v="APN"/>
    <m/>
    <m/>
    <m/>
  </r>
  <r>
    <s v="Via Optimum"/>
    <x v="8"/>
    <m/>
    <n v="73"/>
    <s v="1HRR"/>
    <m/>
    <n v="73.75"/>
    <n v="73.754999999999995"/>
    <s v="2R-R"/>
    <m/>
    <n v="73.75"/>
    <n v="73.754999999999995"/>
    <x v="45"/>
    <m/>
    <d v="2021-06-12T00:00:00"/>
    <m/>
    <n v="527424"/>
    <s v="APN"/>
    <m/>
    <m/>
    <m/>
  </r>
  <r>
    <s v="Via Optimum"/>
    <x v="8"/>
    <m/>
    <n v="73"/>
    <s v="1HRR"/>
    <m/>
    <n v="74.84"/>
    <n v="74.844999999999999"/>
    <s v="2R-R"/>
    <m/>
    <n v="74.84"/>
    <n v="74.844999999999999"/>
    <x v="45"/>
    <m/>
    <d v="2021-06-12T00:00:00"/>
    <m/>
    <n v="527425"/>
    <s v="APN"/>
    <m/>
    <m/>
    <m/>
  </r>
  <r>
    <s v="Via Optimum"/>
    <x v="8"/>
    <m/>
    <n v="73"/>
    <s v="1HRR"/>
    <m/>
    <n v="75.346999999999994"/>
    <n v="75.35199999999999"/>
    <s v="2R-R"/>
    <m/>
    <n v="75.346999999999994"/>
    <n v="75.35199999999999"/>
    <x v="45"/>
    <m/>
    <d v="2021-06-12T00:00:00"/>
    <m/>
    <n v="527426"/>
    <s v="APN"/>
    <m/>
    <m/>
    <m/>
  </r>
  <r>
    <s v="Via Optimum"/>
    <x v="8"/>
    <m/>
    <n v="73"/>
    <s v="1HRR"/>
    <m/>
    <n v="75.396000000000001"/>
    <n v="75.400999999999996"/>
    <s v="2R-R"/>
    <m/>
    <n v="75.396000000000001"/>
    <n v="75.400999999999996"/>
    <x v="45"/>
    <m/>
    <d v="2021-06-12T00:00:00"/>
    <m/>
    <n v="527427"/>
    <s v="APN"/>
    <m/>
    <m/>
    <m/>
  </r>
  <r>
    <s v="Via Optimum"/>
    <x v="8"/>
    <m/>
    <n v="73"/>
    <s v="1HRR"/>
    <m/>
    <n v="75.445999999999998"/>
    <n v="75.450999999999993"/>
    <s v="2R-R"/>
    <m/>
    <n v="75.445999999999998"/>
    <n v="75.450999999999993"/>
    <x v="45"/>
    <m/>
    <d v="2021-06-12T00:00:00"/>
    <m/>
    <n v="527428"/>
    <s v="APN"/>
    <m/>
    <m/>
    <m/>
  </r>
  <r>
    <s v="Via Optimum"/>
    <x v="8"/>
    <m/>
    <n v="73"/>
    <s v="1HRR"/>
    <m/>
    <n v="75.540000000000006"/>
    <n v="75.545000000000002"/>
    <s v="2R-R"/>
    <m/>
    <n v="75.540000000000006"/>
    <n v="75.545000000000002"/>
    <x v="45"/>
    <m/>
    <d v="2021-06-12T00:00:00"/>
    <m/>
    <n v="527429"/>
    <s v="APN"/>
    <m/>
    <m/>
    <m/>
  </r>
  <r>
    <s v="Via Optimum"/>
    <x v="8"/>
    <m/>
    <n v="73"/>
    <s v="1HRR"/>
    <m/>
    <n v="75.841999999999999"/>
    <n v="75.846999999999994"/>
    <s v="2R-R"/>
    <m/>
    <n v="75.841999999999999"/>
    <n v="75.846999999999994"/>
    <x v="45"/>
    <m/>
    <d v="2021-06-12T00:00:00"/>
    <m/>
    <n v="527430"/>
    <s v="APN"/>
    <m/>
    <m/>
    <m/>
  </r>
  <r>
    <s v="Via Optimum"/>
    <x v="8"/>
    <m/>
    <n v="73"/>
    <s v="1HRR"/>
    <m/>
    <n v="75.861999999999995"/>
    <n v="75.86699999999999"/>
    <s v="2R-R"/>
    <m/>
    <n v="75.861999999999995"/>
    <n v="75.86699999999999"/>
    <x v="45"/>
    <m/>
    <d v="2021-06-12T00:00:00"/>
    <m/>
    <n v="527431"/>
    <s v="APN"/>
    <m/>
    <m/>
    <m/>
  </r>
  <r>
    <s v="Via Optimum"/>
    <x v="8"/>
    <m/>
    <n v="73"/>
    <s v="1HRR"/>
    <m/>
    <n v="75.986000000000004"/>
    <n v="75.991"/>
    <s v="2R-R"/>
    <m/>
    <n v="75.986000000000004"/>
    <n v="75.991"/>
    <x v="45"/>
    <m/>
    <d v="2021-06-12T00:00:00"/>
    <m/>
    <n v="527432"/>
    <s v="APN"/>
    <m/>
    <m/>
    <m/>
  </r>
  <r>
    <s v="Via Optimum"/>
    <x v="8"/>
    <m/>
    <n v="65"/>
    <s v="1HRL"/>
    <m/>
    <n v="9.9"/>
    <n v="9.6999999999999993"/>
    <s v="1R-L"/>
    <m/>
    <n v="9.6999999999999993"/>
    <n v="9.9"/>
    <x v="46"/>
    <m/>
    <d v="2021-06-17T00:00:00"/>
    <m/>
    <s v="520D000"/>
    <s v="APN"/>
    <m/>
    <m/>
    <m/>
  </r>
  <r>
    <s v="Via Optimum"/>
    <x v="8"/>
    <m/>
    <n v="65"/>
    <s v="1HRL"/>
    <m/>
    <n v="9.9"/>
    <n v="9.6999999999999993"/>
    <s v="2R-L"/>
    <m/>
    <n v="9.6999999999999993"/>
    <n v="9.9"/>
    <x v="46"/>
    <m/>
    <d v="2021-06-17T00:00:00"/>
    <m/>
    <s v="520D000"/>
    <s v="APN"/>
    <m/>
    <m/>
    <m/>
  </r>
  <r>
    <s v="Via Optimum"/>
    <x v="8"/>
    <m/>
    <n v="65"/>
    <s v="1HRL"/>
    <m/>
    <n v="10.050000000000001"/>
    <n v="9.9"/>
    <s v="1R-L"/>
    <m/>
    <n v="9.9"/>
    <n v="10.050000000000001"/>
    <x v="46"/>
    <m/>
    <d v="2021-06-17T00:00:00"/>
    <m/>
    <s v="520D000"/>
    <s v="APN"/>
    <m/>
    <m/>
    <m/>
  </r>
  <r>
    <s v="Via Optimum"/>
    <x v="8"/>
    <m/>
    <n v="65"/>
    <s v="1HRL"/>
    <m/>
    <n v="10.050000000000001"/>
    <n v="9.9"/>
    <s v="2R-L"/>
    <m/>
    <n v="9.9"/>
    <n v="10.050000000000001"/>
    <x v="46"/>
    <m/>
    <d v="2021-06-17T00:00:00"/>
    <m/>
    <s v="520D000"/>
    <s v="APN"/>
    <m/>
    <m/>
    <m/>
  </r>
  <r>
    <s v="Via Optimum"/>
    <x v="8"/>
    <m/>
    <n v="65"/>
    <s v="1HRL"/>
    <m/>
    <n v="10.050000000000001"/>
    <n v="9.9"/>
    <s v="1U-L"/>
    <m/>
    <n v="9.9"/>
    <n v="10.050000000000001"/>
    <x v="46"/>
    <m/>
    <d v="2021-06-17T00:00:00"/>
    <m/>
    <s v="520D000"/>
    <s v="APN"/>
    <m/>
    <m/>
    <m/>
  </r>
  <r>
    <s v="Via Optimum"/>
    <x v="8"/>
    <m/>
    <n v="65"/>
    <s v="1HRL"/>
    <m/>
    <n v="10.199999999999999"/>
    <n v="10.050000000000001"/>
    <s v="1R-L"/>
    <m/>
    <n v="10.050000000000001"/>
    <n v="10.199999999999999"/>
    <x v="46"/>
    <m/>
    <d v="2021-06-17T00:00:00"/>
    <m/>
    <s v="520D000"/>
    <s v="APN"/>
    <m/>
    <m/>
    <m/>
  </r>
  <r>
    <s v="Via Optimum"/>
    <x v="8"/>
    <m/>
    <n v="65"/>
    <s v="1HRL"/>
    <m/>
    <n v="10.199999999999999"/>
    <n v="10.050000000000001"/>
    <s v="2R-L"/>
    <m/>
    <n v="10.050000000000001"/>
    <n v="10.199999999999999"/>
    <x v="46"/>
    <m/>
    <d v="2021-06-17T00:00:00"/>
    <m/>
    <s v="520D000"/>
    <s v="APN"/>
    <m/>
    <m/>
    <m/>
  </r>
  <r>
    <s v="Via Optimum"/>
    <x v="8"/>
    <m/>
    <n v="65"/>
    <s v="1HRL"/>
    <m/>
    <n v="4.5999999999999996"/>
    <n v="4.5"/>
    <s v="2R-L"/>
    <m/>
    <n v="4.5"/>
    <n v="4.5999999999999996"/>
    <x v="4"/>
    <m/>
    <d v="2021-06-17T00:00:00"/>
    <m/>
    <s v="640D000"/>
    <s v="APN"/>
    <m/>
    <m/>
    <m/>
  </r>
  <r>
    <s v="Via Optimum"/>
    <x v="8"/>
    <m/>
    <n v="65"/>
    <s v="1HRL"/>
    <m/>
    <n v="4.7300000000000004"/>
    <n v="4.5999999999999996"/>
    <s v="1R-L"/>
    <m/>
    <n v="4.5999999999999996"/>
    <n v="4.7300000000000004"/>
    <x v="46"/>
    <m/>
    <d v="2021-06-17T00:00:00"/>
    <m/>
    <s v="520D000"/>
    <s v="APN"/>
    <m/>
    <m/>
    <m/>
  </r>
  <r>
    <s v="Via Optimum"/>
    <x v="8"/>
    <m/>
    <n v="65"/>
    <s v="1HRL"/>
    <m/>
    <n v="4.7300000000000004"/>
    <n v="4.5999999999999996"/>
    <s v="2R-L"/>
    <m/>
    <n v="4.5999999999999996"/>
    <n v="4.7300000000000004"/>
    <x v="46"/>
    <m/>
    <d v="2021-06-17T00:00:00"/>
    <m/>
    <s v="520D000"/>
    <s v="APN"/>
    <m/>
    <m/>
    <m/>
  </r>
  <r>
    <s v="Via Optimum"/>
    <x v="8"/>
    <m/>
    <n v="2"/>
    <s v="1HRL"/>
    <m/>
    <n v="160.69999999999999"/>
    <n v="160.5"/>
    <s v="2R-L"/>
    <m/>
    <n v="160.5"/>
    <n v="160.69999999999999"/>
    <x v="36"/>
    <s v="0/8"/>
    <d v="2021-06-21T00:00:00"/>
    <m/>
    <s v="730D001"/>
    <s v="APN"/>
    <m/>
    <m/>
    <m/>
  </r>
  <r>
    <s v="Via Optimum"/>
    <x v="8"/>
    <m/>
    <n v="2"/>
    <s v="1HRL"/>
    <m/>
    <n v="163.1"/>
    <n v="162.9"/>
    <s v="2R-L"/>
    <m/>
    <n v="162.9"/>
    <n v="163.1"/>
    <x v="36"/>
    <s v="0/8"/>
    <d v="2021-06-21T00:00:00"/>
    <m/>
    <s v="730D001"/>
    <s v="APN"/>
    <m/>
    <m/>
    <m/>
  </r>
  <r>
    <s v="Via Optimum"/>
    <x v="8"/>
    <m/>
    <n v="2"/>
    <s v="1HRL"/>
    <m/>
    <n v="165.5"/>
    <n v="165.3"/>
    <s v="2R-L"/>
    <m/>
    <n v="165.3"/>
    <n v="165.5"/>
    <x v="36"/>
    <s v="0/8"/>
    <d v="2021-06-22T00:00:00"/>
    <m/>
    <s v="730D001"/>
    <s v="APN"/>
    <m/>
    <m/>
    <m/>
  </r>
  <r>
    <s v="Via Optimum"/>
    <x v="8"/>
    <m/>
    <n v="2"/>
    <s v="1HRR"/>
    <m/>
    <n v="132.22499999999999"/>
    <n v="132.27500000000001"/>
    <s v="1I-R"/>
    <m/>
    <n v="132.22499999999999"/>
    <n v="132.27500000000001"/>
    <x v="36"/>
    <s v="0/8"/>
    <d v="2021-06-23T00:00:00"/>
    <m/>
    <s v="730D001"/>
    <s v="APN"/>
    <m/>
    <m/>
    <m/>
  </r>
  <r>
    <s v="Via Optimum"/>
    <x v="8"/>
    <m/>
    <n v="50"/>
    <s v="1HRR"/>
    <m/>
    <n v="116.4"/>
    <n v="116.5"/>
    <m/>
    <s v="ALLE"/>
    <n v="116.4"/>
    <n v="116.5"/>
    <x v="36"/>
    <s v="0/8"/>
    <d v="2021-06-23T00:00:00"/>
    <m/>
    <s v="730D001"/>
    <s v="APN"/>
    <m/>
    <m/>
    <m/>
  </r>
  <r>
    <s v="Via Optimum"/>
    <x v="8"/>
    <m/>
    <n v="2"/>
    <s v="1HRL"/>
    <m/>
    <n v="160"/>
    <n v="159.5"/>
    <s v="4R-L"/>
    <m/>
    <n v="159.5"/>
    <n v="160"/>
    <x v="36"/>
    <s v="0/8"/>
    <d v="2021-06-24T00:00:00"/>
    <m/>
    <s v="730D001"/>
    <s v="APN"/>
    <m/>
    <m/>
    <m/>
  </r>
  <r>
    <s v="Via Optimum"/>
    <x v="8"/>
    <m/>
    <n v="2"/>
    <s v="1HRL"/>
    <m/>
    <n v="160"/>
    <n v="159.6"/>
    <s v="3R-L"/>
    <m/>
    <n v="159.6"/>
    <n v="160"/>
    <x v="36"/>
    <s v="0/8"/>
    <d v="2021-06-24T00:00:00"/>
    <m/>
    <s v="730D001"/>
    <s v="APN"/>
    <m/>
    <m/>
    <m/>
  </r>
  <r>
    <s v="Via Optimum"/>
    <x v="8"/>
    <m/>
    <n v="2"/>
    <s v="0VW"/>
    <s v="e"/>
    <n v="143.24"/>
    <n v="143.34"/>
    <s v="2R-R"/>
    <m/>
    <n v="143.24"/>
    <n v="143.34"/>
    <x v="36"/>
    <s v="0/8"/>
    <d v="2021-06-28T00:00:00"/>
    <m/>
    <s v="730D001"/>
    <s v="APN"/>
    <m/>
    <m/>
    <m/>
  </r>
  <r>
    <s v="Via Optimum"/>
    <x v="8"/>
    <m/>
    <n v="2"/>
    <s v="1HRR"/>
    <m/>
    <n v="141.68"/>
    <n v="141.72999999999999"/>
    <s v="4R-R"/>
    <m/>
    <n v="141.68"/>
    <n v="141.72999999999999"/>
    <x v="36"/>
    <s v="0/8"/>
    <d v="2021-06-28T00:00:00"/>
    <m/>
    <s v="730D001"/>
    <s v="APN"/>
    <m/>
    <m/>
    <m/>
  </r>
  <r>
    <s v="Via Optimum"/>
    <x v="8"/>
    <m/>
    <n v="58"/>
    <s v="0VW"/>
    <s v="u"/>
    <n v="13.2"/>
    <n v="13.1"/>
    <s v="1R-L"/>
    <m/>
    <n v="13.1"/>
    <n v="13.2"/>
    <x v="36"/>
    <s v="0/8"/>
    <d v="2021-06-29T00:00:00"/>
    <m/>
    <s v="730D001"/>
    <s v="APN"/>
    <m/>
    <m/>
    <m/>
  </r>
  <r>
    <s v="Via Optimum"/>
    <x v="8"/>
    <m/>
    <n v="58"/>
    <s v="1HRL"/>
    <m/>
    <n v="13.65"/>
    <n v="13.4"/>
    <s v="1W-L"/>
    <m/>
    <n v="13.4"/>
    <n v="13.65"/>
    <x v="36"/>
    <s v="0/8"/>
    <d v="2021-06-29T00:00:00"/>
    <m/>
    <s v="730D001"/>
    <s v="APN"/>
    <m/>
    <m/>
    <m/>
  </r>
  <r>
    <s v="Via Optimum"/>
    <x v="8"/>
    <m/>
    <n v="58"/>
    <s v="1HRL"/>
    <m/>
    <n v="13.2"/>
    <n v="13"/>
    <s v="1R-L"/>
    <m/>
    <n v="13"/>
    <n v="13.2"/>
    <x v="36"/>
    <s v="0/8"/>
    <d v="2021-06-30T00:00:00"/>
    <m/>
    <s v="730D001"/>
    <s v="APN"/>
    <m/>
    <m/>
    <m/>
  </r>
  <r>
    <s v="Via Optimum"/>
    <x v="8"/>
    <m/>
    <n v="58"/>
    <s v="1HRL"/>
    <m/>
    <n v="13"/>
    <n v="12.9"/>
    <s v="1R-L"/>
    <m/>
    <n v="12.9"/>
    <n v="13"/>
    <x v="36"/>
    <s v="0/8"/>
    <d v="2021-06-30T00:00:00"/>
    <m/>
    <s v="730D001"/>
    <s v="APN"/>
    <m/>
    <m/>
    <m/>
  </r>
  <r>
    <s v="Via Optimum"/>
    <x v="8"/>
    <m/>
    <n v="58"/>
    <s v="1HRL"/>
    <m/>
    <n v="12.9"/>
    <n v="12.7"/>
    <s v="1R-L"/>
    <m/>
    <n v="12.7"/>
    <n v="12.9"/>
    <x v="36"/>
    <s v="0/8"/>
    <d v="2021-07-01T00:00:00"/>
    <m/>
    <s v="730D001"/>
    <s v="APN"/>
    <m/>
    <m/>
    <m/>
  </r>
  <r>
    <s v="Via Optimum"/>
    <x v="8"/>
    <m/>
    <n v="58"/>
    <s v="1HRL"/>
    <m/>
    <n v="12.7"/>
    <n v="12.5"/>
    <s v="1R-L"/>
    <m/>
    <n v="12.5"/>
    <n v="12.7"/>
    <x v="36"/>
    <s v="0/8"/>
    <d v="2021-07-01T00:00:00"/>
    <m/>
    <s v="730D001"/>
    <s v="APN"/>
    <m/>
    <m/>
    <m/>
  </r>
  <r>
    <s v="Via Optimum"/>
    <x v="8"/>
    <m/>
    <n v="2"/>
    <s v="1HRL"/>
    <m/>
    <n v="186.25"/>
    <n v="186.15"/>
    <s v="1R-L"/>
    <m/>
    <n v="186.15"/>
    <n v="186.25"/>
    <x v="39"/>
    <m/>
    <d v="2021-07-20T00:00:00"/>
    <m/>
    <s v="750D002"/>
    <s v="APN"/>
    <m/>
    <m/>
    <m/>
  </r>
  <r>
    <s v="Via Optimum"/>
    <x v="8"/>
    <m/>
    <n v="2"/>
    <s v="1HRL"/>
    <m/>
    <n v="186.25"/>
    <n v="186.15"/>
    <s v="2R-L"/>
    <m/>
    <n v="186.15"/>
    <n v="186.25"/>
    <x v="39"/>
    <m/>
    <d v="2021-07-20T00:00:00"/>
    <m/>
    <s v="750D002"/>
    <s v="APN"/>
    <m/>
    <m/>
    <m/>
  </r>
  <r>
    <s v="Via Optimum"/>
    <x v="8"/>
    <m/>
    <n v="2"/>
    <s v="1HRL"/>
    <m/>
    <n v="186.25"/>
    <n v="186.15"/>
    <s v="1V-L"/>
    <m/>
    <n v="186.15"/>
    <n v="186.25"/>
    <x v="39"/>
    <m/>
    <d v="2021-07-20T00:00:00"/>
    <m/>
    <s v="750D002"/>
    <s v="APN"/>
    <m/>
    <m/>
    <m/>
  </r>
  <r>
    <s v="Via Optimum"/>
    <x v="8"/>
    <m/>
    <n v="2"/>
    <s v="1HRL"/>
    <m/>
    <n v="186.25"/>
    <n v="186.15"/>
    <s v="2R-L"/>
    <m/>
    <n v="186.15"/>
    <n v="186.25"/>
    <x v="47"/>
    <m/>
    <d v="2021-07-20T00:00:00"/>
    <m/>
    <s v="165D006"/>
    <s v="APN"/>
    <m/>
    <m/>
    <m/>
  </r>
  <r>
    <s v="Via Optimum"/>
    <x v="8"/>
    <m/>
    <n v="2"/>
    <s v="1HRL"/>
    <m/>
    <n v="183.27500000000001"/>
    <n v="183.255"/>
    <s v="1R-L"/>
    <m/>
    <n v="183.255"/>
    <n v="183.27500000000001"/>
    <x v="39"/>
    <m/>
    <d v="2021-07-20T00:00:00"/>
    <m/>
    <s v="750D002"/>
    <s v="APN"/>
    <m/>
    <m/>
    <m/>
  </r>
  <r>
    <s v="Via Optimum"/>
    <x v="8"/>
    <m/>
    <n v="2"/>
    <s v="1HRL"/>
    <m/>
    <n v="183.27500000000001"/>
    <n v="183.255"/>
    <s v="2R-L"/>
    <m/>
    <n v="183.255"/>
    <n v="183.27500000000001"/>
    <x v="39"/>
    <m/>
    <d v="2021-07-20T00:00:00"/>
    <m/>
    <s v="750D002"/>
    <s v="APN"/>
    <m/>
    <m/>
    <m/>
  </r>
  <r>
    <s v="Via Optimum"/>
    <x v="8"/>
    <m/>
    <n v="50"/>
    <s v="1HRL"/>
    <m/>
    <n v="136.52500000000001"/>
    <n v="136.1"/>
    <s v="2R-L"/>
    <m/>
    <n v="136.1"/>
    <n v="136.52500000000001"/>
    <x v="36"/>
    <m/>
    <d v="2021-07-21T00:00:00"/>
    <m/>
    <s v="730D001"/>
    <s v="APN"/>
    <m/>
    <m/>
    <m/>
  </r>
  <r>
    <s v="Via Optimum"/>
    <x v="8"/>
    <m/>
    <n v="50"/>
    <s v="1HRL"/>
    <m/>
    <n v="136.1"/>
    <n v="135.9"/>
    <s v="2R-L"/>
    <m/>
    <n v="135.9"/>
    <n v="136.1"/>
    <x v="39"/>
    <m/>
    <d v="2021-07-21T00:00:00"/>
    <m/>
    <s v="750D002"/>
    <s v="APN"/>
    <m/>
    <m/>
    <m/>
  </r>
  <r>
    <s v="Via Optimum"/>
    <x v="8"/>
    <m/>
    <n v="50"/>
    <s v="1HRL"/>
    <m/>
    <n v="108.6"/>
    <n v="108.5"/>
    <s v="1R-L"/>
    <m/>
    <n v="108.5"/>
    <n v="108.6"/>
    <x v="48"/>
    <s v="0/5"/>
    <d v="2021-07-22T00:00:00"/>
    <m/>
    <s v="720D000"/>
    <s v="APN"/>
    <m/>
    <m/>
    <m/>
  </r>
  <r>
    <s v="Via Optimum"/>
    <x v="8"/>
    <m/>
    <n v="50"/>
    <s v="1HRL"/>
    <m/>
    <n v="108.6"/>
    <n v="108.5"/>
    <s v="1R-L"/>
    <m/>
    <n v="108.5"/>
    <n v="108.6"/>
    <x v="48"/>
    <s v="0/5"/>
    <d v="2021-07-22T00:00:00"/>
    <m/>
    <s v="720D000"/>
    <s v="APN"/>
    <m/>
    <m/>
    <m/>
  </r>
  <r>
    <s v="Via Optimum"/>
    <x v="8"/>
    <m/>
    <n v="50"/>
    <s v="1HRL"/>
    <m/>
    <n v="108.6"/>
    <n v="108.5"/>
    <s v="1R-L"/>
    <m/>
    <n v="108.5"/>
    <n v="108.6"/>
    <x v="48"/>
    <s v="0/5"/>
    <d v="2021-07-22T00:00:00"/>
    <m/>
    <s v="720D000"/>
    <s v="APN"/>
    <m/>
    <m/>
    <m/>
  </r>
  <r>
    <s v="Via Optimum"/>
    <x v="8"/>
    <m/>
    <n v="73"/>
    <s v="1HRL"/>
    <m/>
    <n v="81.67"/>
    <n v="81.55"/>
    <s v="2R-L"/>
    <m/>
    <n v="81.55"/>
    <n v="81.67"/>
    <x v="39"/>
    <m/>
    <d v="2021-07-24T00:00:00"/>
    <m/>
    <s v="750D002"/>
    <s v="APN"/>
    <m/>
    <m/>
    <m/>
  </r>
  <r>
    <s v="Via Optimum"/>
    <x v="8"/>
    <m/>
    <n v="73"/>
    <s v="1HRL"/>
    <m/>
    <n v="81.040000000000006"/>
    <n v="80.94"/>
    <s v="2R-L"/>
    <m/>
    <n v="80.94"/>
    <n v="81.040000000000006"/>
    <x v="39"/>
    <m/>
    <d v="2021-07-24T00:00:00"/>
    <m/>
    <s v="750D002"/>
    <s v="APN"/>
    <m/>
    <m/>
    <m/>
  </r>
  <r>
    <s v="Via Optimum"/>
    <x v="8"/>
    <m/>
    <n v="73"/>
    <s v="1HRL"/>
    <m/>
    <n v="80.825000000000003"/>
    <n v="80.775000000000006"/>
    <s v="1R-L"/>
    <m/>
    <n v="80.775000000000006"/>
    <n v="80.825000000000003"/>
    <x v="39"/>
    <m/>
    <d v="2021-07-24T00:00:00"/>
    <m/>
    <s v="750D002"/>
    <s v="APN"/>
    <m/>
    <m/>
    <m/>
  </r>
  <r>
    <s v="Via Optimum"/>
    <x v="8"/>
    <m/>
    <n v="73"/>
    <s v="1HRL"/>
    <m/>
    <n v="80.674999999999997"/>
    <n v="80.400000000000006"/>
    <s v="1R-L"/>
    <m/>
    <n v="80.400000000000006"/>
    <n v="80.674999999999997"/>
    <x v="36"/>
    <s v="0/8"/>
    <d v="2021-07-24T00:00:00"/>
    <m/>
    <s v="730D001"/>
    <s v="APN"/>
    <m/>
    <m/>
    <m/>
  </r>
  <r>
    <s v="Via Optimum"/>
    <x v="8"/>
    <m/>
    <n v="73"/>
    <s v="1HRL"/>
    <m/>
    <n v="79.075000000000003"/>
    <n v="79.034999999999997"/>
    <s v="1U-L"/>
    <m/>
    <n v="79.034999999999997"/>
    <n v="79.075000000000003"/>
    <x v="36"/>
    <s v="0/8"/>
    <d v="2021-07-24T00:00:00"/>
    <m/>
    <s v="730D001"/>
    <s v="APN"/>
    <m/>
    <m/>
    <m/>
  </r>
  <r>
    <s v="Via Optimum"/>
    <x v="8"/>
    <m/>
    <n v="73"/>
    <s v="1HRL"/>
    <m/>
    <n v="79.075000000000003"/>
    <n v="79.034999999999997"/>
    <s v="1V-L"/>
    <m/>
    <n v="79.034999999999997"/>
    <n v="79.075000000000003"/>
    <x v="36"/>
    <s v="0/8"/>
    <d v="2021-07-24T00:00:00"/>
    <m/>
    <s v="730D001"/>
    <s v="APN"/>
    <m/>
    <m/>
    <m/>
  </r>
  <r>
    <s v="Via Optimum"/>
    <x v="8"/>
    <m/>
    <n v="73"/>
    <s v="1HRL"/>
    <m/>
    <n v="78.5"/>
    <n v="78.393000000000001"/>
    <s v="2R-L"/>
    <m/>
    <n v="78.393000000000001"/>
    <n v="78.5"/>
    <x v="39"/>
    <m/>
    <d v="2021-07-24T00:00:00"/>
    <m/>
    <s v="750D002"/>
    <s v="APN"/>
    <m/>
    <m/>
    <m/>
  </r>
  <r>
    <s v="Via Optimum"/>
    <x v="8"/>
    <m/>
    <n v="73"/>
    <s v="1HRL"/>
    <m/>
    <n v="78.150999999999996"/>
    <n v="78.13"/>
    <s v="2R-L"/>
    <m/>
    <n v="78.13"/>
    <n v="78.150999999999996"/>
    <x v="39"/>
    <m/>
    <d v="2021-07-24T00:00:00"/>
    <m/>
    <s v="750D002"/>
    <s v="APN"/>
    <m/>
    <m/>
    <m/>
  </r>
  <r>
    <s v="Via Optimum"/>
    <x v="8"/>
    <m/>
    <n v="73"/>
    <s v="1HRL"/>
    <m/>
    <n v="78.049000000000007"/>
    <n v="78.024000000000001"/>
    <s v="2R-L"/>
    <m/>
    <n v="78.024000000000001"/>
    <n v="78.049000000000007"/>
    <x v="39"/>
    <m/>
    <d v="2021-07-24T00:00:00"/>
    <m/>
    <s v="750D002"/>
    <s v="APN"/>
    <m/>
    <m/>
    <m/>
  </r>
  <r>
    <s v="Via Optimum"/>
    <x v="8"/>
    <m/>
    <n v="73"/>
    <s v="1HRL"/>
    <m/>
    <n v="77.2"/>
    <n v="76.599999999999994"/>
    <s v="2R-L"/>
    <m/>
    <n v="76.599999999999994"/>
    <n v="77.2"/>
    <x v="39"/>
    <m/>
    <d v="2021-07-24T00:00:00"/>
    <m/>
    <s v="750D002"/>
    <s v="APN"/>
    <m/>
    <m/>
    <m/>
  </r>
  <r>
    <s v="Via Optimum"/>
    <x v="8"/>
    <m/>
    <n v="73"/>
    <s v="1HRL"/>
    <m/>
    <n v="76.488"/>
    <n v="76.406999999999996"/>
    <s v="2R-L"/>
    <m/>
    <n v="76.406999999999996"/>
    <n v="76.488"/>
    <x v="39"/>
    <m/>
    <d v="2021-07-24T00:00:00"/>
    <m/>
    <s v="750D002"/>
    <s v="APN"/>
    <m/>
    <m/>
    <m/>
  </r>
  <r>
    <s v="Via Optimum"/>
    <x v="8"/>
    <m/>
    <n v="73"/>
    <s v="1HRL"/>
    <m/>
    <n v="76.275999999999996"/>
    <n v="76.236000000000004"/>
    <s v="2R-L"/>
    <m/>
    <n v="76.236000000000004"/>
    <n v="76.275999999999996"/>
    <x v="39"/>
    <m/>
    <d v="2021-07-24T00:00:00"/>
    <m/>
    <s v="750D002"/>
    <s v="APN"/>
    <m/>
    <m/>
    <m/>
  </r>
  <r>
    <s v="Via Optimum"/>
    <x v="8"/>
    <m/>
    <n v="73"/>
    <s v="1HRL"/>
    <m/>
    <n v="76.222999999999999"/>
    <n v="75.900000000000006"/>
    <s v="2R-L"/>
    <m/>
    <n v="75.900000000000006"/>
    <n v="76.222999999999999"/>
    <x v="39"/>
    <m/>
    <d v="2021-07-24T00:00:00"/>
    <m/>
    <s v="750D002"/>
    <s v="APN"/>
    <m/>
    <m/>
    <m/>
  </r>
  <r>
    <s v="Via Optimum"/>
    <x v="8"/>
    <m/>
    <n v="73"/>
    <s v="1HRL"/>
    <m/>
    <n v="75.75"/>
    <n v="75.7"/>
    <m/>
    <s v="ALLE"/>
    <n v="75.7"/>
    <n v="75.75"/>
    <x v="39"/>
    <m/>
    <d v="2021-07-24T00:00:00"/>
    <m/>
    <s v="750D002"/>
    <s v="APN"/>
    <m/>
    <m/>
    <m/>
  </r>
  <r>
    <s v="Via Optimum"/>
    <x v="8"/>
    <m/>
    <n v="73"/>
    <s v="1HRL"/>
    <m/>
    <n v="75.495000000000005"/>
    <n v="75.47"/>
    <s v="2R-L"/>
    <m/>
    <n v="75.47"/>
    <n v="75.495000000000005"/>
    <x v="39"/>
    <m/>
    <d v="2021-07-24T00:00:00"/>
    <m/>
    <s v="750D002"/>
    <s v="APN"/>
    <m/>
    <m/>
    <m/>
  </r>
  <r>
    <s v="Via Optimum"/>
    <x v="8"/>
    <m/>
    <n v="73"/>
    <s v="1HRL"/>
    <m/>
    <n v="75.320999999999998"/>
    <n v="75.234999999999999"/>
    <s v="2R-L"/>
    <m/>
    <n v="75.234999999999999"/>
    <n v="75.320999999999998"/>
    <x v="39"/>
    <m/>
    <d v="2021-07-24T00:00:00"/>
    <m/>
    <s v="750D002"/>
    <s v="APN"/>
    <m/>
    <m/>
    <m/>
  </r>
  <r>
    <s v="Via Optimum"/>
    <x v="8"/>
    <m/>
    <n v="73"/>
    <s v="1HRL"/>
    <m/>
    <n v="75.120999999999995"/>
    <n v="75.097999999999999"/>
    <s v="2R-L"/>
    <m/>
    <n v="75.097999999999999"/>
    <n v="75.120999999999995"/>
    <x v="39"/>
    <m/>
    <d v="2021-07-24T00:00:00"/>
    <m/>
    <s v="750D002"/>
    <s v="APN"/>
    <m/>
    <m/>
    <m/>
  </r>
  <r>
    <s v="Via Optimum"/>
    <x v="8"/>
    <m/>
    <n v="73"/>
    <s v="1HRL"/>
    <m/>
    <n v="74.957999999999998"/>
    <n v="74.77"/>
    <s v="2R-L"/>
    <m/>
    <n v="74.77"/>
    <n v="74.957999999999998"/>
    <x v="39"/>
    <m/>
    <d v="2021-07-24T00:00:00"/>
    <m/>
    <s v="750D002"/>
    <s v="APN"/>
    <m/>
    <m/>
    <m/>
  </r>
  <r>
    <s v="Via Optimum"/>
    <x v="8"/>
    <m/>
    <n v="73"/>
    <s v="1HRL"/>
    <m/>
    <n v="74.602999999999994"/>
    <n v="74.495000000000005"/>
    <s v="2R-L"/>
    <m/>
    <n v="74.495000000000005"/>
    <n v="74.602999999999994"/>
    <x v="39"/>
    <m/>
    <d v="2021-07-24T00:00:00"/>
    <m/>
    <s v="750D002"/>
    <s v="APN"/>
    <m/>
    <m/>
    <m/>
  </r>
  <r>
    <s v="Via Optimum"/>
    <x v="8"/>
    <m/>
    <n v="73"/>
    <s v="1HRL"/>
    <m/>
    <n v="74.400000000000006"/>
    <n v="74.3"/>
    <s v="2R-L"/>
    <m/>
    <n v="74.3"/>
    <n v="74.400000000000006"/>
    <x v="39"/>
    <m/>
    <d v="2021-07-24T00:00:00"/>
    <m/>
    <s v="750D002"/>
    <s v="APN"/>
    <m/>
    <m/>
    <m/>
  </r>
  <r>
    <s v="Via Optimum"/>
    <x v="8"/>
    <m/>
    <n v="73"/>
    <s v="1HRL"/>
    <m/>
    <n v="74.3"/>
    <n v="74.2"/>
    <s v="2R-L"/>
    <m/>
    <n v="74.2"/>
    <n v="74.3"/>
    <x v="39"/>
    <m/>
    <d v="2021-07-24T00:00:00"/>
    <m/>
    <s v="750D002"/>
    <s v="APN"/>
    <m/>
    <m/>
    <m/>
  </r>
  <r>
    <s v="Via Optimum"/>
    <x v="8"/>
    <m/>
    <n v="73"/>
    <s v="1HRL"/>
    <m/>
    <n v="74.2"/>
    <n v="74.099999999999994"/>
    <s v="2R-L"/>
    <m/>
    <n v="74.099999999999994"/>
    <n v="74.2"/>
    <x v="39"/>
    <m/>
    <d v="2021-07-24T00:00:00"/>
    <m/>
    <s v="750D002"/>
    <s v="APN"/>
    <m/>
    <m/>
    <m/>
  </r>
  <r>
    <s v="Via Optimum"/>
    <x v="8"/>
    <m/>
    <n v="73"/>
    <s v="1HRL"/>
    <m/>
    <n v="73.412000000000006"/>
    <n v="73.391999999999996"/>
    <s v="2R-L"/>
    <m/>
    <n v="73.391999999999996"/>
    <n v="73.412000000000006"/>
    <x v="39"/>
    <m/>
    <d v="2021-07-24T00:00:00"/>
    <m/>
    <s v="750D002"/>
    <s v="APN"/>
    <m/>
    <m/>
    <m/>
  </r>
  <r>
    <s v="Via Optimum"/>
    <x v="8"/>
    <m/>
    <n v="73"/>
    <s v="1HRL"/>
    <m/>
    <n v="73.299000000000007"/>
    <n v="73.27"/>
    <s v="2R-L"/>
    <m/>
    <n v="73.27"/>
    <n v="73.299000000000007"/>
    <x v="39"/>
    <m/>
    <d v="2021-07-24T00:00:00"/>
    <m/>
    <s v="750D002"/>
    <s v="APN"/>
    <m/>
    <m/>
    <m/>
  </r>
  <r>
    <s v="Via Optimum"/>
    <x v="8"/>
    <m/>
    <n v="73"/>
    <s v="1HRL"/>
    <m/>
    <n v="73.152000000000001"/>
    <n v="73"/>
    <s v="2R-L"/>
    <m/>
    <n v="73"/>
    <n v="73.152000000000001"/>
    <x v="39"/>
    <m/>
    <d v="2021-07-24T00:00:00"/>
    <m/>
    <s v="750D002"/>
    <s v="APN"/>
    <m/>
    <m/>
    <m/>
  </r>
  <r>
    <s v="Via Optimum"/>
    <x v="8"/>
    <m/>
    <n v="73"/>
    <s v="1HRL"/>
    <m/>
    <n v="72.897999999999996"/>
    <n v="72.099999999999994"/>
    <s v="2R-L"/>
    <m/>
    <n v="72.099999999999994"/>
    <n v="72.897999999999996"/>
    <x v="39"/>
    <m/>
    <d v="2021-07-24T00:00:00"/>
    <m/>
    <s v="750D002"/>
    <s v="APN"/>
    <m/>
    <m/>
    <m/>
  </r>
  <r>
    <s v="Via Optimum"/>
    <x v="8"/>
    <m/>
    <n v="73"/>
    <s v="1HRL"/>
    <m/>
    <n v="71.905000000000001"/>
    <n v="71.548000000000002"/>
    <s v="2R-L"/>
    <m/>
    <n v="71.548000000000002"/>
    <n v="71.905000000000001"/>
    <x v="39"/>
    <m/>
    <d v="2021-07-24T00:00:00"/>
    <m/>
    <s v="750D002"/>
    <s v="APN"/>
    <m/>
    <m/>
    <m/>
  </r>
  <r>
    <s v="Via Optimum"/>
    <x v="8"/>
    <m/>
    <n v="73"/>
    <s v="1HRL"/>
    <m/>
    <n v="71.457999999999998"/>
    <n v="71.400000000000006"/>
    <s v="1R-L"/>
    <m/>
    <n v="71.400000000000006"/>
    <n v="71.457999999999998"/>
    <x v="39"/>
    <m/>
    <d v="2021-07-24T00:00:00"/>
    <m/>
    <s v="750D002"/>
    <s v="APN"/>
    <m/>
    <m/>
    <m/>
  </r>
  <r>
    <s v="Via Optimum"/>
    <x v="8"/>
    <m/>
    <n v="73"/>
    <s v="1HRL"/>
    <m/>
    <n v="71.457999999999998"/>
    <n v="71.400000000000006"/>
    <s v="2R-L"/>
    <m/>
    <n v="71.400000000000006"/>
    <n v="71.457999999999998"/>
    <x v="39"/>
    <m/>
    <d v="2021-07-24T00:00:00"/>
    <m/>
    <s v="750D002"/>
    <s v="APN"/>
    <m/>
    <m/>
    <m/>
  </r>
  <r>
    <s v="Via Optimum"/>
    <x v="8"/>
    <m/>
    <n v="73"/>
    <s v="1HRL"/>
    <m/>
    <n v="71.344999999999999"/>
    <n v="71.323999999999998"/>
    <s v="2R-L"/>
    <m/>
    <n v="71.323999999999998"/>
    <n v="71.344999999999999"/>
    <x v="39"/>
    <m/>
    <d v="2021-07-24T00:00:00"/>
    <m/>
    <s v="750D002"/>
    <s v="APN"/>
    <m/>
    <m/>
    <m/>
  </r>
  <r>
    <s v="Via Optimum"/>
    <x v="8"/>
    <m/>
    <n v="73"/>
    <s v="1HRL"/>
    <m/>
    <n v="71.239999999999995"/>
    <n v="71"/>
    <s v="2R-L"/>
    <m/>
    <n v="71"/>
    <n v="71.239999999999995"/>
    <x v="39"/>
    <m/>
    <d v="2021-07-24T00:00:00"/>
    <m/>
    <s v="750D002"/>
    <s v="APN"/>
    <m/>
    <m/>
    <m/>
  </r>
  <r>
    <s v="Via Optimum"/>
    <x v="8"/>
    <m/>
    <n v="73"/>
    <s v="1HRL"/>
    <m/>
    <n v="69.984999999999999"/>
    <n v="69.933000000000007"/>
    <s v="2R-L"/>
    <m/>
    <n v="69.933000000000007"/>
    <n v="69.984999999999999"/>
    <x v="39"/>
    <m/>
    <d v="2021-07-24T00:00:00"/>
    <m/>
    <s v="750D002"/>
    <s v="APN"/>
    <m/>
    <m/>
    <m/>
  </r>
  <r>
    <s v="Via Optimum"/>
    <x v="8"/>
    <m/>
    <n v="73"/>
    <s v="1HRL"/>
    <m/>
    <n v="68.933000000000007"/>
    <n v="68.91"/>
    <s v="2R-L"/>
    <m/>
    <n v="68.91"/>
    <n v="68.933000000000007"/>
    <x v="39"/>
    <m/>
    <d v="2021-07-24T00:00:00"/>
    <m/>
    <s v="750D002"/>
    <s v="APN"/>
    <m/>
    <m/>
    <m/>
  </r>
  <r>
    <s v="Via Optimum"/>
    <x v="8"/>
    <m/>
    <n v="59"/>
    <s v="1HRL"/>
    <m/>
    <n v="149.30000000000001"/>
    <n v="149"/>
    <s v="2R-L"/>
    <m/>
    <n v="149"/>
    <n v="149.30000000000001"/>
    <x v="39"/>
    <m/>
    <d v="2021-07-26T00:00:00"/>
    <m/>
    <s v="750D002"/>
    <s v="APN"/>
    <m/>
    <m/>
    <m/>
  </r>
  <r>
    <s v="Via Optimum"/>
    <x v="8"/>
    <m/>
    <n v="59"/>
    <s v="1HRL"/>
    <m/>
    <n v="123.8"/>
    <n v="124.2"/>
    <s v="1R-L"/>
    <m/>
    <n v="123.8"/>
    <n v="124.2"/>
    <x v="39"/>
    <m/>
    <d v="2021-07-27T00:00:00"/>
    <m/>
    <s v="750D002"/>
    <s v="APN"/>
    <m/>
    <m/>
    <m/>
  </r>
  <r>
    <s v="Via Optimum"/>
    <x v="8"/>
    <m/>
    <n v="59"/>
    <s v="1HRL"/>
    <m/>
    <n v="131.47999999999999"/>
    <n v="131.80000000000001"/>
    <s v="2R-L"/>
    <m/>
    <n v="131.47999999999999"/>
    <n v="131.80000000000001"/>
    <x v="39"/>
    <m/>
    <d v="2021-07-28T00:00:00"/>
    <m/>
    <s v="750D002"/>
    <s v="APN"/>
    <m/>
    <m/>
    <m/>
  </r>
  <r>
    <s v="Via Optimum"/>
    <x v="8"/>
    <m/>
    <n v="2"/>
    <s v="1HRL"/>
    <m/>
    <n v="126.375"/>
    <n v="126.25"/>
    <s v="3R-L"/>
    <m/>
    <n v="126.25"/>
    <n v="126.375"/>
    <x v="36"/>
    <s v="0/8"/>
    <d v="2021-09-06T00:00:00"/>
    <m/>
    <s v="730D001"/>
    <s v="APN"/>
    <m/>
    <m/>
    <m/>
  </r>
  <r>
    <s v="Via Optimum"/>
    <x v="8"/>
    <m/>
    <n v="2"/>
    <s v="1HRL"/>
    <m/>
    <n v="138.29"/>
    <n v="138.24"/>
    <s v="3R-L"/>
    <m/>
    <n v="138.24"/>
    <n v="138.29"/>
    <x v="36"/>
    <s v="0/8"/>
    <d v="2021-09-06T00:00:00"/>
    <m/>
    <s v="730D001"/>
    <s v="APN"/>
    <m/>
    <m/>
    <m/>
  </r>
  <r>
    <s v="Via Optimum"/>
    <x v="8"/>
    <m/>
    <n v="2"/>
    <s v="1HRR"/>
    <m/>
    <n v="119"/>
    <n v="119.05"/>
    <s v="1I-R"/>
    <m/>
    <n v="119"/>
    <n v="119.05"/>
    <x v="36"/>
    <s v="0/8"/>
    <d v="2021-09-07T00:00:00"/>
    <m/>
    <s v="730D001"/>
    <s v="APN"/>
    <m/>
    <m/>
    <m/>
  </r>
  <r>
    <s v="Via Optimum"/>
    <x v="8"/>
    <m/>
    <n v="2"/>
    <s v="1HRR"/>
    <m/>
    <n v="119.4"/>
    <n v="119.45"/>
    <s v="2R-R"/>
    <m/>
    <n v="119.4"/>
    <n v="119.45"/>
    <x v="36"/>
    <s v="0/8"/>
    <d v="2021-09-07T00:00:00"/>
    <m/>
    <s v="730D001"/>
    <s v="APN"/>
    <m/>
    <m/>
    <m/>
  </r>
  <r>
    <s v="Via Optimum"/>
    <x v="8"/>
    <m/>
    <n v="2"/>
    <s v="1HRR"/>
    <m/>
    <n v="155.37"/>
    <n v="155.44999999999999"/>
    <s v="2R-R"/>
    <m/>
    <n v="155.37"/>
    <n v="155.44999999999999"/>
    <x v="36"/>
    <s v="0/8"/>
    <d v="2021-09-08T00:00:00"/>
    <m/>
    <s v="730D001"/>
    <s v="APN"/>
    <m/>
    <m/>
    <m/>
  </r>
  <r>
    <s v="Via Optimum"/>
    <x v="8"/>
    <m/>
    <n v="59"/>
    <s v="1HRL"/>
    <m/>
    <n v="132.30000000000001"/>
    <n v="132.1"/>
    <s v="2R-L"/>
    <m/>
    <n v="132.1"/>
    <n v="132.30000000000001"/>
    <x v="39"/>
    <m/>
    <d v="2021-09-09T00:00:00"/>
    <m/>
    <s v="750D002"/>
    <s v="APN"/>
    <m/>
    <m/>
    <m/>
  </r>
  <r>
    <s v="Via Optimum"/>
    <x v="8"/>
    <m/>
    <n v="59"/>
    <s v="1HRL"/>
    <m/>
    <n v="127.425"/>
    <n v="127.375"/>
    <s v="2R-L"/>
    <m/>
    <n v="127.375"/>
    <n v="127.425"/>
    <x v="39"/>
    <m/>
    <d v="2021-09-09T00:00:00"/>
    <m/>
    <s v="750D002"/>
    <s v="APN"/>
    <m/>
    <m/>
    <m/>
  </r>
  <r>
    <s v="Via Optimum"/>
    <x v="8"/>
    <m/>
    <n v="50"/>
    <s v="1HRL"/>
    <m/>
    <n v="101.3"/>
    <n v="104.3"/>
    <s v="1R-L"/>
    <m/>
    <n v="101.3"/>
    <n v="104.3"/>
    <x v="49"/>
    <m/>
    <d v="2021-09-17T00:00:00"/>
    <m/>
    <s v="720D000"/>
    <s v="APN"/>
    <m/>
    <m/>
    <m/>
  </r>
  <r>
    <s v="Via Optimum"/>
    <x v="8"/>
    <m/>
    <n v="50"/>
    <s v="1HRL"/>
    <m/>
    <n v="101.3"/>
    <n v="104.3"/>
    <s v="2R-L"/>
    <m/>
    <n v="101.3"/>
    <n v="104.3"/>
    <x v="49"/>
    <m/>
    <d v="2021-09-17T00:00:00"/>
    <m/>
    <s v="720D000"/>
    <s v="APN"/>
    <m/>
    <m/>
    <m/>
  </r>
  <r>
    <s v="Via Optimum"/>
    <x v="8"/>
    <m/>
    <n v="50"/>
    <s v="1HRL"/>
    <m/>
    <n v="101.3"/>
    <n v="101.63"/>
    <s v="1I-L"/>
    <m/>
    <n v="101.3"/>
    <n v="101.63"/>
    <x v="49"/>
    <m/>
    <d v="2021-09-17T00:00:00"/>
    <m/>
    <s v="720D000"/>
    <s v="APN"/>
    <m/>
    <m/>
    <m/>
  </r>
  <r>
    <s v="Via Optimum"/>
    <x v="8"/>
    <m/>
    <n v="50"/>
    <s v="1HRL"/>
    <m/>
    <n v="102.52"/>
    <n v="102.2"/>
    <s v="1U-L"/>
    <m/>
    <n v="102.2"/>
    <n v="102.52"/>
    <x v="49"/>
    <m/>
    <d v="2021-09-17T00:00:00"/>
    <m/>
    <s v="720D000"/>
    <s v="APN"/>
    <m/>
    <m/>
    <m/>
  </r>
  <r>
    <s v="Via Optimum"/>
    <x v="8"/>
    <m/>
    <n v="50"/>
    <s v="1HRL"/>
    <m/>
    <n v="104.3"/>
    <n v="107.3"/>
    <s v="1R-L"/>
    <m/>
    <n v="104.3"/>
    <n v="107.3"/>
    <x v="49"/>
    <m/>
    <d v="2021-09-17T00:00:00"/>
    <m/>
    <s v="720D000"/>
    <s v="APN"/>
    <m/>
    <m/>
    <m/>
  </r>
  <r>
    <s v="Via Optimum"/>
    <x v="8"/>
    <m/>
    <n v="50"/>
    <s v="1HRL"/>
    <m/>
    <n v="104.3"/>
    <n v="107.3"/>
    <s v="2R-L"/>
    <m/>
    <n v="104.3"/>
    <n v="107.3"/>
    <x v="49"/>
    <m/>
    <d v="2021-09-17T00:00:00"/>
    <m/>
    <s v="720D000"/>
    <s v="APN"/>
    <m/>
    <m/>
    <m/>
  </r>
  <r>
    <s v="Via Optimum"/>
    <x v="8"/>
    <m/>
    <n v="50"/>
    <s v="1HRL"/>
    <m/>
    <n v="106.27"/>
    <n v="105.81"/>
    <s v="1I-L"/>
    <m/>
    <n v="105.81"/>
    <n v="106.27"/>
    <x v="49"/>
    <m/>
    <d v="2021-09-17T00:00:00"/>
    <m/>
    <s v="720D000"/>
    <s v="APN"/>
    <m/>
    <m/>
    <m/>
  </r>
  <r>
    <s v="Via Optimum"/>
    <x v="8"/>
    <m/>
    <n v="50"/>
    <s v="1HRL"/>
    <m/>
    <n v="106.91500000000001"/>
    <n v="106.6"/>
    <s v="1U-L"/>
    <m/>
    <n v="106.6"/>
    <n v="106.91500000000001"/>
    <x v="49"/>
    <m/>
    <d v="2021-09-17T00:00:00"/>
    <m/>
    <s v="720D000"/>
    <s v="APN"/>
    <m/>
    <m/>
    <m/>
  </r>
  <r>
    <s v="Via Optimum"/>
    <x v="8"/>
    <m/>
    <n v="50"/>
    <s v="1HRL"/>
    <m/>
    <n v="107.3"/>
    <n v="107.6"/>
    <s v="1R-L"/>
    <m/>
    <n v="107.3"/>
    <n v="107.6"/>
    <x v="49"/>
    <m/>
    <d v="2021-09-17T00:00:00"/>
    <m/>
    <s v="720D001"/>
    <s v="APN"/>
    <m/>
    <m/>
    <m/>
  </r>
  <r>
    <s v="Via Optimum"/>
    <x v="8"/>
    <m/>
    <n v="50"/>
    <s v="1HRL"/>
    <m/>
    <n v="107.3"/>
    <n v="107.6"/>
    <s v="2R-L"/>
    <m/>
    <n v="107.3"/>
    <n v="107.6"/>
    <x v="49"/>
    <m/>
    <d v="2021-09-17T00:00:00"/>
    <m/>
    <s v="720D001"/>
    <s v="APN"/>
    <m/>
    <m/>
    <m/>
  </r>
  <r>
    <s v="Via Optimum"/>
    <x v="8"/>
    <m/>
    <n v="50"/>
    <s v="1HRL"/>
    <m/>
    <n v="107.6"/>
    <n v="107.9"/>
    <s v="1R-L"/>
    <m/>
    <n v="107.6"/>
    <n v="107.9"/>
    <x v="50"/>
    <m/>
    <d v="2021-09-17T00:00:00"/>
    <m/>
    <s v="753D004"/>
    <s v="APN"/>
    <m/>
    <m/>
    <m/>
  </r>
  <r>
    <s v="Via Optimum"/>
    <x v="8"/>
    <m/>
    <n v="50"/>
    <s v="1HRL"/>
    <m/>
    <n v="107.6"/>
    <n v="107.9"/>
    <s v="2R-L"/>
    <m/>
    <n v="107.6"/>
    <n v="107.9"/>
    <x v="51"/>
    <m/>
    <d v="2021-09-17T00:00:00"/>
    <m/>
    <s v="750D004"/>
    <s v="APN"/>
    <m/>
    <m/>
    <m/>
  </r>
  <r>
    <s v="Via Optimum"/>
    <x v="8"/>
    <m/>
    <n v="50"/>
    <s v="1HRL"/>
    <m/>
    <n v="107.6"/>
    <n v="107.9"/>
    <s v="1V-L"/>
    <m/>
    <n v="107.6"/>
    <n v="107.9"/>
    <x v="51"/>
    <m/>
    <d v="2021-09-17T00:00:00"/>
    <m/>
    <s v="750D004"/>
    <s v="APN"/>
    <m/>
    <m/>
    <m/>
  </r>
  <r>
    <s v="Via Optimum"/>
    <x v="8"/>
    <m/>
    <n v="50"/>
    <s v="1HRL"/>
    <m/>
    <n v="107.6"/>
    <n v="107.9"/>
    <s v="1R-L"/>
    <m/>
    <n v="107.6"/>
    <n v="107.9"/>
    <x v="49"/>
    <m/>
    <d v="2021-09-17T00:00:00"/>
    <m/>
    <s v="720D001"/>
    <s v="APN"/>
    <m/>
    <m/>
    <m/>
  </r>
  <r>
    <s v="Via Optimum"/>
    <x v="8"/>
    <m/>
    <n v="50"/>
    <s v="1HRL"/>
    <m/>
    <n v="107.6"/>
    <n v="107.9"/>
    <s v="2R-L"/>
    <m/>
    <n v="107.6"/>
    <n v="107.9"/>
    <x v="49"/>
    <m/>
    <d v="2021-09-17T00:00:00"/>
    <m/>
    <s v="720D001"/>
    <s v="APN"/>
    <m/>
    <m/>
    <m/>
  </r>
  <r>
    <s v="Via Optimum"/>
    <x v="8"/>
    <m/>
    <n v="50"/>
    <s v="1HRL"/>
    <m/>
    <n v="107.6"/>
    <n v="107.9"/>
    <s v="1V-L"/>
    <m/>
    <n v="107.6"/>
    <n v="107.9"/>
    <x v="49"/>
    <m/>
    <d v="2021-09-17T00:00:00"/>
    <m/>
    <s v="720D001"/>
    <s v="APN"/>
    <m/>
    <m/>
    <m/>
  </r>
  <r>
    <s v="Via Optimum"/>
    <x v="8"/>
    <m/>
    <n v="50"/>
    <s v="1HRL"/>
    <m/>
    <n v="107.9"/>
    <n v="108.2"/>
    <s v="1R-L"/>
    <m/>
    <n v="107.9"/>
    <n v="108.2"/>
    <x v="50"/>
    <m/>
    <d v="2021-09-17T00:00:00"/>
    <m/>
    <s v="753D004"/>
    <s v="APN"/>
    <m/>
    <m/>
    <m/>
  </r>
  <r>
    <s v="Via Optimum"/>
    <x v="8"/>
    <m/>
    <n v="50"/>
    <s v="1HRL"/>
    <m/>
    <n v="107.9"/>
    <n v="108.2"/>
    <s v="2R-L"/>
    <m/>
    <n v="107.9"/>
    <n v="108.2"/>
    <x v="51"/>
    <m/>
    <d v="2021-09-17T00:00:00"/>
    <m/>
    <s v="750D004"/>
    <s v="APN"/>
    <m/>
    <m/>
    <m/>
  </r>
  <r>
    <s v="Via Optimum"/>
    <x v="8"/>
    <m/>
    <n v="50"/>
    <s v="1HRL"/>
    <m/>
    <n v="107.9"/>
    <n v="108.2"/>
    <s v="1R-L"/>
    <m/>
    <n v="107.9"/>
    <n v="108.2"/>
    <x v="52"/>
    <m/>
    <d v="2021-09-17T00:00:00"/>
    <m/>
    <s v="720D002"/>
    <s v="APN"/>
    <m/>
    <m/>
    <m/>
  </r>
  <r>
    <s v="Via Optimum"/>
    <x v="8"/>
    <m/>
    <n v="50"/>
    <s v="1HRL"/>
    <m/>
    <n v="107.9"/>
    <n v="108.2"/>
    <s v="2R-L"/>
    <m/>
    <n v="107.9"/>
    <n v="108.2"/>
    <x v="52"/>
    <m/>
    <d v="2021-09-17T00:00:00"/>
    <m/>
    <s v="720D002"/>
    <s v="APN"/>
    <m/>
    <m/>
    <m/>
  </r>
  <r>
    <s v="Via Optimum"/>
    <x v="8"/>
    <m/>
    <n v="50"/>
    <s v="1HRL"/>
    <m/>
    <n v="107.9"/>
    <n v="108.2"/>
    <s v="1V-L"/>
    <m/>
    <n v="107.9"/>
    <n v="108.2"/>
    <x v="52"/>
    <m/>
    <d v="2021-09-17T00:00:00"/>
    <m/>
    <s v="720D002"/>
    <s v="APN"/>
    <m/>
    <m/>
    <m/>
  </r>
  <r>
    <s v="Via Optimum"/>
    <x v="8"/>
    <m/>
    <n v="50"/>
    <s v="1HRL"/>
    <m/>
    <n v="108.2"/>
    <n v="108.4"/>
    <s v="1R-L"/>
    <m/>
    <n v="108.2"/>
    <n v="108.4"/>
    <x v="52"/>
    <m/>
    <d v="2021-09-17T00:00:00"/>
    <m/>
    <s v="720D002"/>
    <s v="APN"/>
    <m/>
    <m/>
    <m/>
  </r>
  <r>
    <s v="Via Optimum"/>
    <x v="8"/>
    <m/>
    <n v="50"/>
    <s v="1HRL"/>
    <m/>
    <n v="108.2"/>
    <n v="108.4"/>
    <s v="2R-L"/>
    <m/>
    <n v="108.2"/>
    <n v="108.4"/>
    <x v="52"/>
    <m/>
    <d v="2021-09-17T00:00:00"/>
    <m/>
    <s v="720D002"/>
    <s v="APN"/>
    <m/>
    <m/>
    <m/>
  </r>
  <r>
    <s v="Via Optimum"/>
    <x v="8"/>
    <m/>
    <n v="50"/>
    <s v="1HRL"/>
    <m/>
    <n v="108.4"/>
    <n v="110.8"/>
    <s v="1R-L"/>
    <m/>
    <n v="108.4"/>
    <n v="110.8"/>
    <x v="49"/>
    <m/>
    <d v="2021-09-17T00:00:00"/>
    <m/>
    <s v="720D000"/>
    <s v="APN"/>
    <m/>
    <m/>
    <m/>
  </r>
  <r>
    <s v="Via Optimum"/>
    <x v="8"/>
    <m/>
    <n v="50"/>
    <s v="1HRL"/>
    <m/>
    <n v="108.4"/>
    <n v="110.8"/>
    <s v="2R-L"/>
    <m/>
    <n v="108.4"/>
    <n v="110.8"/>
    <x v="49"/>
    <m/>
    <d v="2021-09-17T00:00:00"/>
    <m/>
    <s v="720D000"/>
    <s v="APN"/>
    <m/>
    <m/>
    <m/>
  </r>
  <r>
    <s v="Via Optimum"/>
    <x v="8"/>
    <m/>
    <n v="50"/>
    <s v="1HRL"/>
    <m/>
    <n v="110.605"/>
    <n v="110.3"/>
    <s v="1I-L"/>
    <m/>
    <n v="110.3"/>
    <n v="110.605"/>
    <x v="49"/>
    <m/>
    <d v="2021-09-17T00:00:00"/>
    <m/>
    <s v="720D000"/>
    <s v="APN"/>
    <m/>
    <m/>
    <m/>
  </r>
  <r>
    <s v="Via Optimum"/>
    <x v="8"/>
    <m/>
    <n v="50"/>
    <s v="1HRL"/>
    <m/>
    <n v="98.3"/>
    <n v="101.3"/>
    <s v="1R-L"/>
    <m/>
    <n v="98.3"/>
    <n v="101.3"/>
    <x v="49"/>
    <m/>
    <d v="2021-09-24T00:00:00"/>
    <m/>
    <s v="720D000"/>
    <s v="APN"/>
    <m/>
    <m/>
    <m/>
  </r>
  <r>
    <s v="Via Optimum"/>
    <x v="8"/>
    <m/>
    <n v="50"/>
    <s v="1HRL"/>
    <m/>
    <n v="98.3"/>
    <n v="101.3"/>
    <s v="2R-L"/>
    <m/>
    <n v="98.3"/>
    <n v="101.3"/>
    <x v="49"/>
    <m/>
    <d v="2021-09-24T00:00:00"/>
    <m/>
    <s v="720D000"/>
    <s v="APN"/>
    <m/>
    <m/>
    <m/>
  </r>
  <r>
    <s v="Via Optimum"/>
    <x v="8"/>
    <m/>
    <n v="50"/>
    <s v="1HRL"/>
    <m/>
    <n v="99.965000000000003"/>
    <n v="99.66"/>
    <s v="1U-L"/>
    <m/>
    <n v="99.66"/>
    <n v="99.965000000000003"/>
    <x v="49"/>
    <m/>
    <d v="2021-09-24T00:00:00"/>
    <m/>
    <s v="720D000"/>
    <s v="APN"/>
    <m/>
    <m/>
    <m/>
  </r>
  <r>
    <s v="Via Optimum"/>
    <x v="8"/>
    <m/>
    <n v="50"/>
    <s v="1HRL"/>
    <m/>
    <n v="99.38"/>
    <n v="101.3"/>
    <s v="1I-L"/>
    <m/>
    <n v="99.38"/>
    <n v="101.3"/>
    <x v="49"/>
    <m/>
    <d v="2021-09-24T00:00:00"/>
    <m/>
    <s v="720D000"/>
    <s v="APN"/>
    <m/>
    <m/>
    <m/>
  </r>
  <r>
    <s v="Via Optimum"/>
    <x v="8"/>
    <m/>
    <n v="50"/>
    <s v="1HRL"/>
    <m/>
    <n v="98.3"/>
    <n v="98.6"/>
    <s v="3R-L"/>
    <m/>
    <n v="98.3"/>
    <n v="98.6"/>
    <x v="49"/>
    <m/>
    <d v="2021-09-24T00:00:00"/>
    <m/>
    <s v="720D000"/>
    <s v="APN"/>
    <m/>
    <m/>
    <m/>
  </r>
  <r>
    <s v="Via Optimum"/>
    <x v="8"/>
    <m/>
    <n v="50"/>
    <s v="1HRL"/>
    <m/>
    <n v="98.3"/>
    <n v="98.6"/>
    <s v="4R-L"/>
    <m/>
    <n v="98.3"/>
    <n v="98.6"/>
    <x v="49"/>
    <m/>
    <d v="2021-09-24T00:00:00"/>
    <m/>
    <s v="720D000"/>
    <s v="APN"/>
    <m/>
    <m/>
    <m/>
  </r>
  <r>
    <s v="Via Optimum"/>
    <x v="8"/>
    <m/>
    <n v="50"/>
    <s v="1HRL"/>
    <m/>
    <n v="110.8"/>
    <n v="113"/>
    <s v="1R-L"/>
    <m/>
    <n v="110.8"/>
    <n v="113"/>
    <x v="49"/>
    <m/>
    <d v="2021-09-24T00:00:00"/>
    <m/>
    <s v="720D000"/>
    <s v="APN"/>
    <m/>
    <m/>
    <m/>
  </r>
  <r>
    <s v="Via Optimum"/>
    <x v="8"/>
    <m/>
    <n v="50"/>
    <s v="1HRL"/>
    <m/>
    <n v="110.8"/>
    <n v="113"/>
    <s v="2R-L"/>
    <m/>
    <n v="110.8"/>
    <n v="113"/>
    <x v="49"/>
    <m/>
    <d v="2021-09-24T00:00:00"/>
    <m/>
    <s v="720D000"/>
    <s v="APN"/>
    <m/>
    <m/>
    <m/>
  </r>
  <r>
    <s v="Via Optimum"/>
    <x v="8"/>
    <m/>
    <n v="50"/>
    <s v="1HRL"/>
    <m/>
    <n v="111.215"/>
    <n v="110.925"/>
    <s v="1U-L"/>
    <m/>
    <n v="110.925"/>
    <n v="111.215"/>
    <x v="49"/>
    <m/>
    <d v="2021-09-24T00:00:00"/>
    <m/>
    <s v="720D000"/>
    <s v="APN"/>
    <m/>
    <m/>
    <m/>
  </r>
  <r>
    <s v="Via Optimum"/>
    <x v="8"/>
    <m/>
    <n v="50"/>
    <s v="1HRL"/>
    <m/>
    <n v="113"/>
    <n v="112.83"/>
    <s v="1I-L"/>
    <m/>
    <n v="112.83"/>
    <n v="113"/>
    <x v="49"/>
    <m/>
    <d v="2021-09-24T00:00:00"/>
    <m/>
    <s v="720D000"/>
    <s v="APN"/>
    <m/>
    <m/>
    <m/>
  </r>
  <r>
    <s v="Via Optimum"/>
    <x v="8"/>
    <m/>
    <n v="67"/>
    <s v="1HRL"/>
    <m/>
    <n v="7.37"/>
    <n v="7.31"/>
    <s v="2R-L"/>
    <m/>
    <n v="7.31"/>
    <n v="7.37"/>
    <x v="39"/>
    <m/>
    <d v="2021-09-27T00:00:00"/>
    <m/>
    <s v="750D002"/>
    <s v="APN"/>
    <m/>
    <m/>
    <m/>
  </r>
  <r>
    <s v="Via Optimum"/>
    <x v="8"/>
    <m/>
    <n v="67"/>
    <s v="1HRR"/>
    <m/>
    <n v="46.54"/>
    <n v="47.1"/>
    <s v="2R-R"/>
    <m/>
    <n v="46.54"/>
    <n v="47.1"/>
    <x v="39"/>
    <m/>
    <d v="2021-09-28T00:00:00"/>
    <m/>
    <s v="750D002"/>
    <s v="APN"/>
    <m/>
    <m/>
    <m/>
  </r>
  <r>
    <s v="Via Optimum"/>
    <x v="8"/>
    <m/>
    <n v="2"/>
    <s v="1HRL"/>
    <s v="0VW"/>
    <n v="118.97499999999999"/>
    <n v="118.72499999999999"/>
    <s v="1R-L"/>
    <m/>
    <n v="118.72499999999999"/>
    <n v="118.97499999999999"/>
    <x v="4"/>
    <m/>
    <d v="2021-09-29T00:00:00"/>
    <m/>
    <s v="640D000"/>
    <s v="APN"/>
    <m/>
    <m/>
    <m/>
  </r>
  <r>
    <s v="Via Optimum"/>
    <x v="8"/>
    <m/>
    <n v="2"/>
    <s v="0VW"/>
    <s v="d"/>
    <n v="119"/>
    <n v="118.72499999999999"/>
    <s v="1R-L"/>
    <m/>
    <n v="118.72499999999999"/>
    <n v="119"/>
    <x v="4"/>
    <m/>
    <d v="2021-09-30T00:00:00"/>
    <m/>
    <s v="640D000"/>
    <s v="APN"/>
    <m/>
    <m/>
    <m/>
  </r>
  <r>
    <s v="Via Optimum"/>
    <x v="8"/>
    <m/>
    <n v="2"/>
    <s v="0VW"/>
    <s v="d"/>
    <n v="118.72499999999999"/>
    <n v="118.6"/>
    <s v="1R-L"/>
    <m/>
    <n v="118.6"/>
    <n v="118.72499999999999"/>
    <x v="36"/>
    <s v="0/8"/>
    <d v="2021-09-30T00:00:00"/>
    <m/>
    <s v="730D001"/>
    <s v="APN"/>
    <m/>
    <m/>
    <m/>
  </r>
  <r>
    <s v="Via Optimum"/>
    <x v="8"/>
    <m/>
    <n v="73"/>
    <s v="1HRL"/>
    <m/>
    <n v="80"/>
    <n v="79.349999999999994"/>
    <s v="1R-L"/>
    <m/>
    <n v="79.349999999999994"/>
    <n v="80"/>
    <x v="39"/>
    <m/>
    <d v="2021-10-10T00:00:00"/>
    <m/>
    <s v="750D002"/>
    <s v="APN"/>
    <m/>
    <m/>
    <m/>
  </r>
  <r>
    <s v="Via Optimum"/>
    <x v="8"/>
    <m/>
    <n v="73"/>
    <s v="1HRL"/>
    <m/>
    <n v="79.349999999999994"/>
    <n v="79.099999999999994"/>
    <s v="1R-L"/>
    <m/>
    <n v="79.099999999999994"/>
    <n v="79.349999999999994"/>
    <x v="39"/>
    <m/>
    <d v="2021-10-10T00:00:00"/>
    <m/>
    <s v="750D002"/>
    <s v="APN"/>
    <m/>
    <m/>
    <m/>
  </r>
  <r>
    <s v="Via Optimum"/>
    <x v="8"/>
    <m/>
    <n v="67"/>
    <s v="1HRR"/>
    <m/>
    <n v="4.9749999999999996"/>
    <n v="5.0350000000000001"/>
    <s v="1R-R"/>
    <m/>
    <n v="4.9749999999999996"/>
    <n v="5.0350000000000001"/>
    <x v="39"/>
    <m/>
    <d v="2021-10-18T00:00:00"/>
    <m/>
    <s v="750D002"/>
    <s v="APN"/>
    <m/>
    <m/>
    <m/>
  </r>
  <r>
    <s v="Via Optimum"/>
    <x v="8"/>
    <m/>
    <n v="67"/>
    <s v="1HRR"/>
    <m/>
    <n v="5.3250000000000002"/>
    <n v="5.4249999999999998"/>
    <s v="1R-R"/>
    <m/>
    <n v="5.3250000000000002"/>
    <n v="5.4249999999999998"/>
    <x v="39"/>
    <m/>
    <d v="2021-10-18T00:00:00"/>
    <m/>
    <s v="750D002"/>
    <s v="APN"/>
    <m/>
    <m/>
    <m/>
  </r>
  <r>
    <s v="Via Optimum"/>
    <x v="8"/>
    <m/>
    <n v="67"/>
    <s v="1HRR"/>
    <m/>
    <n v="5.5"/>
    <n v="5.65"/>
    <s v="1U-R"/>
    <m/>
    <n v="5.5"/>
    <n v="5.65"/>
    <x v="39"/>
    <m/>
    <d v="2021-10-19T00:00:00"/>
    <m/>
    <s v="750D002"/>
    <s v="APN"/>
    <m/>
    <m/>
    <m/>
  </r>
  <r>
    <s v="Via Optimum"/>
    <x v="8"/>
    <m/>
    <n v="50"/>
    <s v="0VW"/>
    <s v="f"/>
    <n v="130.38999999999999"/>
    <n v="130.48500000000001"/>
    <m/>
    <s v="ALLE"/>
    <n v="130.38999999999999"/>
    <n v="130.48500000000001"/>
    <x v="43"/>
    <m/>
    <d v="2021-10-20T00:00:00"/>
    <m/>
    <s v="450D000"/>
    <s v="APN"/>
    <m/>
    <m/>
    <m/>
  </r>
  <r>
    <s v="Via Optimum"/>
    <x v="8"/>
    <m/>
    <n v="50"/>
    <s v="0VW"/>
    <s v="b"/>
    <n v="120.675"/>
    <n v="120.75"/>
    <s v="1R-R"/>
    <s v="ALLE"/>
    <n v="120.675"/>
    <n v="120.75"/>
    <x v="53"/>
    <m/>
    <d v="2021-10-21T00:00:00"/>
    <m/>
    <s v="155D006"/>
    <s v="APN"/>
    <m/>
    <m/>
    <m/>
  </r>
  <r>
    <s v="Via Optimum"/>
    <x v="8"/>
    <m/>
    <n v="50"/>
    <s v="0VW"/>
    <s v="b"/>
    <n v="120.675"/>
    <n v="120.75"/>
    <s v="1R-R"/>
    <s v="ALLE"/>
    <n v="120.675"/>
    <n v="120.75"/>
    <x v="54"/>
    <m/>
    <d v="2021-10-21T00:00:00"/>
    <m/>
    <s v="440D001"/>
    <s v="APN"/>
    <m/>
    <m/>
    <m/>
  </r>
  <r>
    <s v="Via Optimum"/>
    <x v="8"/>
    <m/>
    <n v="2"/>
    <s v="1HRL"/>
    <m/>
    <n v="134.16999999999999"/>
    <n v="134.14500000000001"/>
    <s v="1I-L"/>
    <m/>
    <n v="134.14500000000001"/>
    <n v="134.16999999999999"/>
    <x v="43"/>
    <m/>
    <d v="2021-10-25T00:00:00"/>
    <m/>
    <s v="450D000"/>
    <s v="APN"/>
    <m/>
    <m/>
    <m/>
  </r>
  <r>
    <s v="Via Optimum"/>
    <x v="8"/>
    <m/>
    <n v="2"/>
    <s v="1HRL"/>
    <m/>
    <n v="134.14500000000001"/>
    <n v="134.02000000000001"/>
    <s v="1I-L"/>
    <m/>
    <n v="134.02000000000001"/>
    <n v="134.14500000000001"/>
    <x v="36"/>
    <s v="0/8"/>
    <d v="2021-10-25T00:00:00"/>
    <m/>
    <s v="730D001"/>
    <s v="APN"/>
    <m/>
    <m/>
    <m/>
  </r>
  <r>
    <s v="Via Optimum"/>
    <x v="8"/>
    <m/>
    <n v="2"/>
    <s v="1HRL"/>
    <m/>
    <n v="162.84"/>
    <n v="162.66499999999999"/>
    <s v="1I-L"/>
    <m/>
    <n v="162.66499999999999"/>
    <n v="162.84"/>
    <x v="36"/>
    <s v="0/8"/>
    <d v="2021-10-26T00:00:00"/>
    <m/>
    <s v="730D001"/>
    <s v="APN"/>
    <m/>
    <m/>
    <m/>
  </r>
  <r>
    <s v="Via Optimum"/>
    <x v="8"/>
    <m/>
    <n v="2"/>
    <s v="0VW"/>
    <s v="m"/>
    <n v="159.12"/>
    <n v="159.16999999999999"/>
    <s v="3R-R"/>
    <m/>
    <n v="159.12"/>
    <n v="159.16999999999999"/>
    <x v="55"/>
    <s v="0/8"/>
    <d v="2021-10-27T00:00:00"/>
    <m/>
    <s v="730D001"/>
    <s v="APN"/>
    <m/>
    <m/>
    <m/>
  </r>
  <r>
    <s v="Via Optimum"/>
    <x v="8"/>
    <m/>
    <n v="58"/>
    <s v="1HRL"/>
    <m/>
    <n v="19.489999999999998"/>
    <n v="19.465"/>
    <s v="1R-L"/>
    <m/>
    <n v="19.465"/>
    <n v="19.489999999999998"/>
    <x v="43"/>
    <m/>
    <d v="2021-10-28T00:00:00"/>
    <m/>
    <s v="450D000"/>
    <s v="APN"/>
    <m/>
    <m/>
    <m/>
  </r>
  <r>
    <s v="Via Optimum"/>
    <x v="8"/>
    <m/>
    <n v="58"/>
    <s v="1HRL"/>
    <m/>
    <n v="19.489999999999998"/>
    <n v="19.465"/>
    <s v="2R-L"/>
    <m/>
    <n v="19.465"/>
    <n v="19.489999999999998"/>
    <x v="43"/>
    <m/>
    <d v="2021-10-28T00:00:00"/>
    <m/>
    <s v="450D000"/>
    <s v="APN"/>
    <m/>
    <m/>
    <m/>
  </r>
  <r>
    <s v="Via Optimum"/>
    <x v="8"/>
    <m/>
    <n v="58"/>
    <s v="1HRL"/>
    <m/>
    <n v="19.489999999999998"/>
    <n v="19.465"/>
    <s v="1I-L"/>
    <m/>
    <n v="19.465"/>
    <n v="19.489999999999998"/>
    <x v="43"/>
    <m/>
    <d v="2021-10-28T00:00:00"/>
    <m/>
    <s v="450D000"/>
    <s v="APN"/>
    <m/>
    <m/>
    <m/>
  </r>
  <r>
    <s v="Via Optimum"/>
    <x v="8"/>
    <m/>
    <n v="2"/>
    <s v="1HRL"/>
    <m/>
    <n v="175.39"/>
    <n v="176.48"/>
    <s v="2R-L"/>
    <m/>
    <n v="175.39"/>
    <n v="176.48"/>
    <x v="55"/>
    <s v="0/8"/>
    <d v="2021-11-06T00:00:00"/>
    <m/>
    <s v="730D001"/>
    <s v="APN"/>
    <m/>
    <m/>
    <m/>
  </r>
  <r>
    <s v="Via Optimum"/>
    <x v="8"/>
    <m/>
    <n v="2"/>
    <s v="1HRL"/>
    <m/>
    <n v="175.86"/>
    <n v="176.2"/>
    <s v="1I-L"/>
    <m/>
    <n v="175.86"/>
    <n v="176.2"/>
    <x v="55"/>
    <s v="0/8"/>
    <d v="2021-11-06T00:00:00"/>
    <m/>
    <s v="730D001"/>
    <s v="APN"/>
    <m/>
    <m/>
    <m/>
  </r>
  <r>
    <s v="Via Optimum"/>
    <x v="8"/>
    <m/>
    <n v="2"/>
    <s v="1HRL"/>
    <m/>
    <n v="176.66"/>
    <n v="176.56"/>
    <s v="ALL"/>
    <m/>
    <n v="176.56"/>
    <n v="176.66"/>
    <x v="39"/>
    <m/>
    <d v="2021-11-06T00:00:00"/>
    <m/>
    <s v="750D002"/>
    <s v="APN"/>
    <m/>
    <m/>
    <m/>
  </r>
  <r>
    <s v="Via Optimum"/>
    <x v="8"/>
    <m/>
    <n v="65"/>
    <s v="0VW"/>
    <s v="a"/>
    <n v="3.13"/>
    <n v="3.2050000000000001"/>
    <s v="1R-R"/>
    <m/>
    <n v="3.13"/>
    <n v="3.2050000000000001"/>
    <x v="4"/>
    <m/>
    <d v="2021-12-12T00:00:00"/>
    <m/>
    <s v="640D000"/>
    <s v="APN"/>
    <m/>
    <m/>
    <m/>
  </r>
  <r>
    <s v="Via Optimum"/>
    <x v="8"/>
    <m/>
    <n v="2"/>
    <s v="0VW"/>
    <s v="d"/>
    <n v="162.4"/>
    <n v="162.35"/>
    <s v="1R-L"/>
    <s v="ALLE"/>
    <n v="162.35"/>
    <n v="162.4"/>
    <x v="56"/>
    <m/>
    <d v="2021-12-20T00:00:00"/>
    <m/>
    <s v="440D001"/>
    <s v="APN"/>
    <m/>
    <m/>
    <m/>
  </r>
  <r>
    <s v="Via Optimum"/>
    <x v="8"/>
    <m/>
    <n v="2"/>
    <s v="0VW"/>
    <s v="d"/>
    <n v="162.4"/>
    <n v="162.35"/>
    <s v="1R-L"/>
    <s v="ALLE"/>
    <n v="162.35"/>
    <n v="162.4"/>
    <x v="57"/>
    <m/>
    <d v="2021-12-20T00:00:00"/>
    <m/>
    <s v="150D001"/>
    <s v="APN"/>
    <m/>
    <m/>
    <m/>
  </r>
  <r>
    <s v="Via Optimum"/>
    <x v="8"/>
    <m/>
    <n v="65"/>
    <s v="1HRL"/>
    <m/>
    <n v="9.9"/>
    <n v="9.6999999999999993"/>
    <s v="1R-L"/>
    <m/>
    <n v="9.6999999999999993"/>
    <n v="9.9"/>
    <x v="46"/>
    <m/>
    <d v="2021-06-18T00:00:00"/>
    <m/>
    <m/>
    <m/>
    <m/>
    <m/>
    <m/>
  </r>
  <r>
    <s v="Via Optimum"/>
    <x v="8"/>
    <m/>
    <n v="65"/>
    <s v="1HRL"/>
    <m/>
    <n v="9.9"/>
    <n v="9.6999999999999993"/>
    <s v="2R-L"/>
    <m/>
    <n v="9.6999999999999993"/>
    <n v="9.9"/>
    <x v="46"/>
    <m/>
    <d v="2021-06-18T00:00:00"/>
    <m/>
    <m/>
    <m/>
    <m/>
    <m/>
    <m/>
  </r>
  <r>
    <s v="Via Optimum"/>
    <x v="8"/>
    <m/>
    <n v="65"/>
    <s v="1HRL"/>
    <m/>
    <n v="10.050000000000001"/>
    <n v="9.9"/>
    <s v="1R-L"/>
    <m/>
    <n v="9.9"/>
    <n v="10.050000000000001"/>
    <x v="46"/>
    <m/>
    <d v="2021-06-18T00:00:00"/>
    <m/>
    <m/>
    <m/>
    <m/>
    <m/>
    <m/>
  </r>
  <r>
    <s v="Via Optimum"/>
    <x v="8"/>
    <m/>
    <n v="65"/>
    <s v="1HRL"/>
    <m/>
    <n v="10.050000000000001"/>
    <n v="9.9"/>
    <s v="2R-L"/>
    <m/>
    <n v="9.9"/>
    <n v="10.050000000000001"/>
    <x v="46"/>
    <m/>
    <d v="2021-06-18T00:00:00"/>
    <m/>
    <m/>
    <m/>
    <m/>
    <m/>
    <m/>
  </r>
  <r>
    <s v="Via Optimum"/>
    <x v="8"/>
    <m/>
    <n v="65"/>
    <s v="1HRL"/>
    <m/>
    <n v="10.050000000000001"/>
    <n v="9.9"/>
    <s v="1U-L"/>
    <m/>
    <n v="9.9"/>
    <n v="10.050000000000001"/>
    <x v="46"/>
    <m/>
    <d v="2021-06-18T00:00:00"/>
    <m/>
    <m/>
    <m/>
    <m/>
    <m/>
    <m/>
  </r>
  <r>
    <s v="Heijmans"/>
    <x v="8"/>
    <m/>
    <n v="50"/>
    <s v="1HRL"/>
    <m/>
    <n v="93.9"/>
    <n v="93.2"/>
    <m/>
    <s v="ALLE"/>
    <n v="93.2"/>
    <n v="93.9"/>
    <x v="3"/>
    <m/>
    <d v="2021-06-19T00:00:00"/>
    <m/>
    <m/>
    <m/>
    <m/>
    <m/>
    <m/>
  </r>
  <r>
    <s v="Heijmans"/>
    <x v="8"/>
    <m/>
    <n v="50"/>
    <s v="0VW"/>
    <s v="q"/>
    <n v="93.9"/>
    <n v="93"/>
    <m/>
    <s v="ALLE"/>
    <n v="93"/>
    <n v="93.9"/>
    <x v="3"/>
    <m/>
    <d v="2021-06-19T00:00:00"/>
    <m/>
    <m/>
    <m/>
    <m/>
    <m/>
    <m/>
  </r>
  <r>
    <s v="Heijmans"/>
    <x v="8"/>
    <m/>
    <n v="59"/>
    <s v="1HRL"/>
    <m/>
    <n v="121.9"/>
    <n v="121.49"/>
    <m/>
    <s v="ALLE"/>
    <n v="121.49"/>
    <n v="121.9"/>
    <x v="1"/>
    <m/>
    <d v="2021-06-05T00:00:00"/>
    <m/>
    <m/>
    <m/>
    <m/>
    <m/>
    <m/>
  </r>
  <r>
    <s v="Heijmans"/>
    <x v="8"/>
    <m/>
    <n v="59"/>
    <s v="1HRL"/>
    <m/>
    <n v="121.49"/>
    <n v="121.45"/>
    <m/>
    <s v="ALLE"/>
    <n v="121.45"/>
    <n v="121.49"/>
    <x v="13"/>
    <m/>
    <d v="2021-06-05T00:00:00"/>
    <m/>
    <m/>
    <m/>
    <m/>
    <m/>
    <m/>
  </r>
  <r>
    <s v="Heijmans"/>
    <x v="8"/>
    <m/>
    <n v="59"/>
    <s v="1HRL"/>
    <m/>
    <n v="121.45"/>
    <n v="121.4"/>
    <m/>
    <s v="ALLE"/>
    <n v="121.4"/>
    <n v="121.45"/>
    <x v="3"/>
    <m/>
    <d v="2021-06-05T00:00:00"/>
    <m/>
    <m/>
    <m/>
    <m/>
    <m/>
    <m/>
  </r>
  <r>
    <s v="Heijmans"/>
    <x v="8"/>
    <m/>
    <n v="59"/>
    <s v="1HRR"/>
    <m/>
    <n v="121.9"/>
    <n v="122.4"/>
    <m/>
    <s v="ALLE"/>
    <n v="121.9"/>
    <n v="122.4"/>
    <x v="3"/>
    <m/>
    <d v="2021-03-06T00:00:00"/>
    <m/>
    <m/>
    <m/>
    <m/>
    <m/>
    <m/>
  </r>
  <r>
    <s v="Heijmans"/>
    <x v="8"/>
    <m/>
    <n v="59"/>
    <s v="1HRR"/>
    <m/>
    <n v="149.02000000000001"/>
    <n v="151.66"/>
    <m/>
    <s v="ALLE"/>
    <n v="149.02000000000001"/>
    <n v="151.66"/>
    <x v="16"/>
    <m/>
    <d v="2021-03-28T00:00:00"/>
    <m/>
    <m/>
    <m/>
    <m/>
    <m/>
    <m/>
  </r>
  <r>
    <s v="Heijmans"/>
    <x v="8"/>
    <m/>
    <n v="59"/>
    <s v="1HRR"/>
    <m/>
    <n v="151.66"/>
    <n v="151.66999999999999"/>
    <m/>
    <s v="ALLE"/>
    <n v="151.66"/>
    <n v="151.66999999999999"/>
    <x v="9"/>
    <m/>
    <d v="2021-03-28T00:00:00"/>
    <m/>
    <m/>
    <m/>
    <m/>
    <m/>
    <m/>
  </r>
  <r>
    <s v="Heijmans"/>
    <x v="8"/>
    <m/>
    <n v="59"/>
    <s v="1HRR"/>
    <m/>
    <n v="151.66999999999999"/>
    <n v="151.745"/>
    <m/>
    <s v="ALLE"/>
    <n v="151.66999999999999"/>
    <n v="151.745"/>
    <x v="13"/>
    <m/>
    <d v="2021-03-28T00:00:00"/>
    <m/>
    <m/>
    <m/>
    <m/>
    <m/>
    <m/>
  </r>
  <r>
    <s v="Heijmans"/>
    <x v="8"/>
    <m/>
    <n v="59"/>
    <s v="1HRR"/>
    <m/>
    <n v="151.745"/>
    <n v="151.755"/>
    <m/>
    <s v="ALLE"/>
    <n v="151.745"/>
    <n v="151.755"/>
    <x v="9"/>
    <m/>
    <d v="2021-03-28T00:00:00"/>
    <m/>
    <m/>
    <m/>
    <m/>
    <m/>
    <m/>
  </r>
  <r>
    <s v="Heijmans"/>
    <x v="8"/>
    <m/>
    <n v="59"/>
    <s v="1HRR"/>
    <m/>
    <n v="151.755"/>
    <n v="152.1"/>
    <m/>
    <s v="ALLE"/>
    <n v="151.755"/>
    <n v="152.1"/>
    <x v="3"/>
    <m/>
    <d v="2021-03-28T00:00:00"/>
    <m/>
    <m/>
    <m/>
    <m/>
    <m/>
    <m/>
  </r>
  <r>
    <s v="Heijmans"/>
    <x v="8"/>
    <m/>
    <n v="59"/>
    <s v="0VW"/>
    <s v="a"/>
    <n v="151.78"/>
    <n v="152.15"/>
    <m/>
    <s v="ALLE"/>
    <n v="151.78"/>
    <n v="152.15"/>
    <x v="8"/>
    <m/>
    <d v="2021-03-28T00:00:00"/>
    <m/>
    <m/>
    <m/>
    <m/>
    <m/>
    <m/>
  </r>
  <r>
    <s v="Heijmans"/>
    <x v="8"/>
    <m/>
    <n v="59"/>
    <s v="0VW"/>
    <s v="b"/>
    <n v="151.62"/>
    <n v="152.07"/>
    <m/>
    <s v="ALLE"/>
    <n v="151.62"/>
    <n v="152.07"/>
    <x v="8"/>
    <m/>
    <d v="2021-03-28T00:00:00"/>
    <m/>
    <m/>
    <m/>
    <m/>
    <m/>
    <m/>
  </r>
  <r>
    <s v="Heijmans"/>
    <x v="8"/>
    <m/>
    <n v="59"/>
    <s v="1HRL"/>
    <m/>
    <n v="140.80000000000001"/>
    <n v="140.13499999999999"/>
    <m/>
    <s v="ALLE"/>
    <n v="140.13499999999999"/>
    <n v="140.80000000000001"/>
    <x v="1"/>
    <m/>
    <m/>
    <m/>
    <m/>
    <m/>
    <m/>
    <m/>
    <m/>
  </r>
  <r>
    <s v="Heijmans"/>
    <x v="8"/>
    <m/>
    <n v="59"/>
    <s v="0VW"/>
    <s v="s"/>
    <n v="140.13499999999999"/>
    <n v="139.88499999999999"/>
    <m/>
    <s v="ALLE"/>
    <n v="139.88499999999999"/>
    <n v="140.13499999999999"/>
    <x v="3"/>
    <m/>
    <d v="2021-06-13T00:00:00"/>
    <m/>
    <m/>
    <m/>
    <m/>
    <m/>
    <m/>
  </r>
  <r>
    <s v="Heijmans"/>
    <x v="8"/>
    <m/>
    <n v="2"/>
    <s v="0VW"/>
    <s v="n"/>
    <n v="115.36499999999999"/>
    <n v="115.14"/>
    <s v="1I-L"/>
    <m/>
    <n v="115.14"/>
    <n v="115.36499999999999"/>
    <x v="3"/>
    <m/>
    <d v="2021-06-13T00:00:00"/>
    <m/>
    <m/>
    <m/>
    <m/>
    <m/>
    <m/>
  </r>
  <r>
    <s v="Heijmans"/>
    <x v="8"/>
    <m/>
    <n v="2"/>
    <s v="0VW"/>
    <s v="n"/>
    <n v="115.36499999999999"/>
    <n v="115.14"/>
    <s v="2I-L"/>
    <m/>
    <n v="115.14"/>
    <n v="115.36499999999999"/>
    <x v="3"/>
    <m/>
    <d v="2021-06-13T00:00:00"/>
    <m/>
    <m/>
    <m/>
    <m/>
    <m/>
    <m/>
  </r>
  <r>
    <s v="Heijmans"/>
    <x v="8"/>
    <m/>
    <n v="65"/>
    <s v="1HRL"/>
    <m/>
    <n v="13.36"/>
    <n v="12.06"/>
    <m/>
    <s v="ALLE"/>
    <n v="12.06"/>
    <n v="13.36"/>
    <x v="58"/>
    <m/>
    <d v="2021-06-13T00:00:00"/>
    <m/>
    <m/>
    <m/>
    <m/>
    <m/>
    <m/>
  </r>
  <r>
    <s v="Heijmans"/>
    <x v="8"/>
    <m/>
    <n v="67"/>
    <s v="1HRL"/>
    <m/>
    <n v="17.8"/>
    <n v="16.600000000000001"/>
    <m/>
    <s v="ALLE"/>
    <n v="16.600000000000001"/>
    <n v="17.8"/>
    <x v="3"/>
    <m/>
    <d v="2021-04-18T00:00:00"/>
    <m/>
    <m/>
    <m/>
    <m/>
    <m/>
    <m/>
  </r>
  <r>
    <s v="Heijmans"/>
    <x v="8"/>
    <m/>
    <n v="67"/>
    <s v="1HRL"/>
    <m/>
    <n v="13.4"/>
    <n v="11.2"/>
    <m/>
    <s v="ALLE"/>
    <n v="11.2"/>
    <n v="13.4"/>
    <x v="3"/>
    <m/>
    <d v="2021-04-18T00:00:00"/>
    <m/>
    <m/>
    <m/>
    <m/>
    <m/>
    <m/>
  </r>
  <r>
    <s v="Heijmans"/>
    <x v="8"/>
    <m/>
    <n v="67"/>
    <s v="1HRL"/>
    <m/>
    <n v="6.3"/>
    <n v="5.7"/>
    <m/>
    <s v="ALLE"/>
    <n v="5.7"/>
    <n v="6.3"/>
    <x v="3"/>
    <m/>
    <d v="2021-04-18T00:00:00"/>
    <m/>
    <m/>
    <m/>
    <m/>
    <m/>
    <m/>
  </r>
  <r>
    <s v="Heijmans"/>
    <x v="8"/>
    <m/>
    <n v="67"/>
    <s v="0VW"/>
    <s v="c"/>
    <n v="6.29"/>
    <n v="5.97"/>
    <m/>
    <s v="ALLE"/>
    <n v="5.97"/>
    <n v="6.29"/>
    <x v="4"/>
    <m/>
    <d v="2021-04-18T00:00:00"/>
    <m/>
    <m/>
    <m/>
    <m/>
    <m/>
    <m/>
  </r>
  <r>
    <s v="Heijmans"/>
    <x v="8"/>
    <m/>
    <n v="67"/>
    <s v="0VW"/>
    <s v="d"/>
    <n v="5.95"/>
    <n v="5.71"/>
    <m/>
    <s v="ALLE"/>
    <n v="5.71"/>
    <n v="5.95"/>
    <x v="4"/>
    <m/>
    <d v="2021-04-18T00:00:00"/>
    <m/>
    <m/>
    <m/>
    <m/>
    <m/>
    <m/>
  </r>
  <r>
    <s v="Heijmans"/>
    <x v="8"/>
    <m/>
    <n v="67"/>
    <s v="1HRR"/>
    <m/>
    <n v="10"/>
    <n v="12.8"/>
    <m/>
    <s v="ALLE"/>
    <n v="10"/>
    <n v="12.8"/>
    <x v="3"/>
    <m/>
    <d v="2021-04-25T00:00:00"/>
    <m/>
    <m/>
    <m/>
    <m/>
    <m/>
    <m/>
  </r>
  <r>
    <s v="Heijmans"/>
    <x v="8"/>
    <m/>
    <n v="67"/>
    <s v="0VW"/>
    <s v="b"/>
    <n v="10"/>
    <n v="10.37"/>
    <m/>
    <s v="ALLE"/>
    <n v="10"/>
    <n v="10.37"/>
    <x v="59"/>
    <m/>
    <d v="2021-04-25T00:00:00"/>
    <m/>
    <m/>
    <m/>
    <m/>
    <m/>
    <m/>
  </r>
  <r>
    <s v="Gebr. van der Lee"/>
    <x v="9"/>
    <m/>
    <n v="37"/>
    <s v="1HRR"/>
    <m/>
    <n v="7.4999999999999997E-2"/>
    <n v="0.1"/>
    <s v="2R‐R"/>
    <m/>
    <n v="7.4999999999999997E-2"/>
    <n v="0.1"/>
    <x v="26"/>
    <m/>
    <d v="2021-06-10T00:00:00"/>
    <s v="0/16"/>
    <m/>
    <m/>
    <m/>
    <m/>
    <s v="50 mm PA16"/>
  </r>
  <r>
    <s v="Gebr. van der Lee"/>
    <x v="9"/>
    <m/>
    <n v="37"/>
    <s v="1HRR"/>
    <m/>
    <n v="1.6"/>
    <n v="2.0499999999999998"/>
    <s v="2R‐R"/>
    <m/>
    <n v="1.6"/>
    <n v="2.0499999999999998"/>
    <x v="26"/>
    <m/>
    <d v="2021-06-15T00:00:00"/>
    <s v="0/16"/>
    <m/>
    <m/>
    <m/>
    <m/>
    <s v="100 mm AC16 Bind/PA16 en asfaltwapening"/>
  </r>
  <r>
    <s v="Gebr. van der Lee"/>
    <x v="9"/>
    <m/>
    <n v="37"/>
    <s v="1HRR"/>
    <m/>
    <n v="2.0099999999999998"/>
    <s v="‐"/>
    <m/>
    <s v="ALLE"/>
    <n v="2.0099999999999998"/>
    <n v="2.0099999999999998"/>
    <x v="6"/>
    <m/>
    <d v="2021-10-05T00:00:00"/>
    <m/>
    <m/>
    <m/>
    <m/>
    <m/>
    <s v="2 paar lussen"/>
  </r>
  <r>
    <s v="Gebr. van der Lee"/>
    <x v="9"/>
    <m/>
    <n v="37"/>
    <s v="1HRR"/>
    <m/>
    <n v="3"/>
    <n v="3.2"/>
    <s v="2R‐R"/>
    <m/>
    <n v="3"/>
    <n v="3.2"/>
    <x v="26"/>
    <m/>
    <d v="2021-06-15T00:00:00"/>
    <s v="0/16"/>
    <m/>
    <m/>
    <m/>
    <m/>
    <s v="50 mm PA16"/>
  </r>
  <r>
    <s v="Gebr. van der Lee"/>
    <x v="9"/>
    <m/>
    <n v="37"/>
    <s v="1HRR"/>
    <m/>
    <n v="4.875"/>
    <n v="4.9000000000000004"/>
    <s v="2R‐R"/>
    <m/>
    <n v="4.875"/>
    <n v="4.9000000000000004"/>
    <x v="26"/>
    <m/>
    <d v="2021-06-18T00:00:00"/>
    <s v="0/16"/>
    <m/>
    <m/>
    <m/>
    <m/>
    <s v="50 mm PA16"/>
  </r>
  <r>
    <s v="Gebr. van der Lee"/>
    <x v="9"/>
    <m/>
    <n v="37"/>
    <s v="1HRR"/>
    <m/>
    <n v="5.0750000000000002"/>
    <n v="5.0999999999999996"/>
    <s v="2R‐R"/>
    <m/>
    <n v="5.0750000000000002"/>
    <n v="5.0999999999999996"/>
    <x v="26"/>
    <m/>
    <d v="2021-06-18T00:00:00"/>
    <s v="0/16"/>
    <m/>
    <m/>
    <m/>
    <m/>
    <s v="50 mm PA16"/>
  </r>
  <r>
    <s v="Gebr. van der Lee"/>
    <x v="9"/>
    <m/>
    <n v="37"/>
    <s v="1HRR"/>
    <m/>
    <n v="5.4"/>
    <n v="5.6"/>
    <s v="2R‐R"/>
    <m/>
    <n v="5.4"/>
    <n v="5.6"/>
    <x v="26"/>
    <m/>
    <d v="2021-06-18T00:00:00"/>
    <s v="0/16"/>
    <m/>
    <m/>
    <m/>
    <m/>
    <s v="50 mm PA16"/>
  </r>
  <r>
    <s v="Gebr. van der Lee"/>
    <x v="9"/>
    <m/>
    <n v="37"/>
    <s v="0VW"/>
    <s v="a"/>
    <n v="4.0999999999999996"/>
    <s v="‐"/>
    <s v="1R‐R"/>
    <m/>
    <n v="4.0999999999999996"/>
    <n v="4.0999999999999996"/>
    <x v="4"/>
    <m/>
    <d v="2021-06-16T00:00:00"/>
    <m/>
    <m/>
    <m/>
    <m/>
    <m/>
    <s v="35 mm SMA"/>
  </r>
  <r>
    <s v="Gebr. van der Lee"/>
    <x v="9"/>
    <m/>
    <n v="37"/>
    <s v="1HRR"/>
    <m/>
    <n v="7.35"/>
    <n v="7.375"/>
    <s v="2R‐R"/>
    <m/>
    <n v="7.35"/>
    <n v="7.375"/>
    <x v="26"/>
    <m/>
    <d v="2021-06-11T00:00:00"/>
    <s v="0/16"/>
    <m/>
    <m/>
    <m/>
    <m/>
    <s v="50 mm PA16"/>
  </r>
  <r>
    <s v="Gebr. van der Lee"/>
    <x v="9"/>
    <m/>
    <n v="37"/>
    <s v="1HRR"/>
    <m/>
    <n v="7.66"/>
    <n v="7.6849999999999996"/>
    <s v="2R‐R"/>
    <m/>
    <n v="7.66"/>
    <n v="7.6849999999999996"/>
    <x v="26"/>
    <m/>
    <d v="2021-06-11T00:00:00"/>
    <s v="0/16"/>
    <m/>
    <m/>
    <m/>
    <m/>
    <s v="50 mm PA16"/>
  </r>
  <r>
    <s v="Gebr. van der Lee"/>
    <x v="9"/>
    <m/>
    <n v="37"/>
    <s v="1HRR"/>
    <m/>
    <n v="10"/>
    <n v="10.199999999999999"/>
    <s v="2R‐R"/>
    <m/>
    <n v="10"/>
    <n v="10.199999999999999"/>
    <x v="26"/>
    <m/>
    <d v="2021-06-17T00:00:00"/>
    <s v="0/16"/>
    <m/>
    <m/>
    <m/>
    <m/>
    <s v="50 mm PA16"/>
  </r>
  <r>
    <s v="Gebr. van der Lee"/>
    <x v="9"/>
    <m/>
    <n v="37"/>
    <s v="1HRR"/>
    <m/>
    <n v="19.100000000000001"/>
    <n v="19.2"/>
    <s v="2R‐R"/>
    <m/>
    <n v="19.100000000000001"/>
    <n v="19.2"/>
    <x v="26"/>
    <m/>
    <d v="2021-06-16T00:00:00"/>
    <s v="0/16"/>
    <m/>
    <m/>
    <m/>
    <m/>
    <s v="50 mm PA16"/>
  </r>
  <r>
    <s v="Gebr. van der Lee"/>
    <x v="9"/>
    <m/>
    <n v="37"/>
    <s v="1HRL"/>
    <m/>
    <n v="22.1"/>
    <n v="22.05"/>
    <s v="2R‐L"/>
    <m/>
    <n v="22.05"/>
    <n v="22.1"/>
    <x v="26"/>
    <m/>
    <d v="2021-08-19T00:00:00"/>
    <s v="0/16"/>
    <m/>
    <m/>
    <m/>
    <m/>
    <s v="50 mm PA16"/>
  </r>
  <r>
    <s v="Gebr. van der Lee"/>
    <x v="9"/>
    <m/>
    <n v="37"/>
    <s v="1HRL"/>
    <m/>
    <n v="21"/>
    <n v="20.95"/>
    <s v="2R‐L"/>
    <m/>
    <n v="20.95"/>
    <n v="21"/>
    <x v="26"/>
    <m/>
    <d v="2021-08-19T00:00:00"/>
    <s v="0/16"/>
    <m/>
    <m/>
    <m/>
    <m/>
    <s v="50 mm PA16"/>
  </r>
  <r>
    <s v="Gebr. van der Lee"/>
    <x v="9"/>
    <m/>
    <n v="37"/>
    <s v="1HRL"/>
    <m/>
    <n v="16.2"/>
    <n v="15.97"/>
    <s v="2R‐L"/>
    <m/>
    <n v="15.97"/>
    <n v="16.2"/>
    <x v="26"/>
    <m/>
    <d v="2021-06-11T00:00:00"/>
    <s v="0/16"/>
    <m/>
    <m/>
    <m/>
    <m/>
    <s v="50 mm PA16"/>
  </r>
  <r>
    <s v="Gebr. van der Lee"/>
    <x v="9"/>
    <m/>
    <n v="37"/>
    <s v="1HRL"/>
    <m/>
    <n v="11.9"/>
    <n v="11.7"/>
    <s v="2R‐L"/>
    <m/>
    <n v="11.7"/>
    <n v="11.9"/>
    <x v="26"/>
    <m/>
    <d v="2021-06-18T00:00:00"/>
    <s v="0/16"/>
    <m/>
    <m/>
    <m/>
    <m/>
    <s v="50 mm PA16"/>
  </r>
  <r>
    <s v="Gebr. van der Lee"/>
    <x v="9"/>
    <m/>
    <n v="37"/>
    <s v="1HRL"/>
    <m/>
    <n v="6.125"/>
    <n v="6.1"/>
    <s v="2R‐L"/>
    <m/>
    <n v="6.1"/>
    <n v="6.125"/>
    <x v="26"/>
    <m/>
    <d v="2021-06-11T00:00:00"/>
    <s v="0/16"/>
    <m/>
    <m/>
    <m/>
    <m/>
    <s v="50 mm PA16"/>
  </r>
  <r>
    <s v="Gebr. van der Lee"/>
    <x v="9"/>
    <m/>
    <n v="37"/>
    <s v="1HRL"/>
    <m/>
    <n v="5.95"/>
    <n v="5.9249999999999998"/>
    <s v="2R‐L"/>
    <m/>
    <n v="5.9249999999999998"/>
    <n v="5.95"/>
    <x v="26"/>
    <m/>
    <d v="2021-06-11T00:00:00"/>
    <s v="0/16"/>
    <m/>
    <m/>
    <m/>
    <m/>
    <s v="50 mm PA16"/>
  </r>
  <r>
    <s v="Gebr. van der Lee"/>
    <x v="9"/>
    <m/>
    <n v="37"/>
    <s v="1HRL"/>
    <m/>
    <n v="5.68"/>
    <n v="5.6550000000000002"/>
    <s v="2R‐L"/>
    <m/>
    <n v="5.6550000000000002"/>
    <n v="5.68"/>
    <x v="26"/>
    <m/>
    <d v="2021-06-11T00:00:00"/>
    <s v="0/16"/>
    <m/>
    <m/>
    <m/>
    <m/>
    <s v="50 mm PA16"/>
  </r>
  <r>
    <s v="Gebr. van der Lee"/>
    <x v="9"/>
    <m/>
    <n v="37"/>
    <s v="1HRL"/>
    <m/>
    <n v="4.2850000000000001"/>
    <n v="4.26"/>
    <s v="2R‐L"/>
    <m/>
    <n v="4.26"/>
    <n v="4.2850000000000001"/>
    <x v="26"/>
    <m/>
    <d v="2021-08-19T00:00:00"/>
    <s v="0/16"/>
    <m/>
    <m/>
    <m/>
    <m/>
    <s v="50 mm PA16"/>
  </r>
  <r>
    <s v="Gebr. van der Lee"/>
    <x v="9"/>
    <m/>
    <n v="28"/>
    <s v="1HRL"/>
    <m/>
    <n v="159.44999999999999"/>
    <n v="159.375"/>
    <s v="2R‐L"/>
    <m/>
    <n v="159.375"/>
    <n v="159.44999999999999"/>
    <x v="26"/>
    <m/>
    <d v="2021-09-01T00:00:00"/>
    <s v="0/16"/>
    <m/>
    <m/>
    <m/>
    <m/>
    <s v="100 mm AC16 Bind/PA16 en asfaltwapening"/>
  </r>
  <r>
    <s v="Gebr. van der Lee"/>
    <x v="9"/>
    <m/>
    <n v="28"/>
    <s v="1HRL"/>
    <m/>
    <n v="158.97"/>
    <n v="158.94499999999999"/>
    <s v="2R‐L"/>
    <m/>
    <n v="158.94499999999999"/>
    <n v="158.97"/>
    <x v="26"/>
    <m/>
    <d v="2021-09-01T00:00:00"/>
    <s v="0/16"/>
    <m/>
    <m/>
    <m/>
    <m/>
    <s v="50 mm PA16"/>
  </r>
  <r>
    <s v="Gebr. van der Lee"/>
    <x v="9"/>
    <m/>
    <n v="28"/>
    <s v="1HRL"/>
    <m/>
    <n v="157.30000000000001"/>
    <n v="157"/>
    <s v="1R‐L"/>
    <m/>
    <n v="157"/>
    <n v="157.30000000000001"/>
    <x v="6"/>
    <m/>
    <d v="2021-06-28T00:00:00"/>
    <m/>
    <m/>
    <m/>
    <m/>
    <m/>
    <s v="Naad beschermen Burdie Roadsafe"/>
  </r>
  <r>
    <s v="Gebr. van der Lee"/>
    <x v="9"/>
    <m/>
    <n v="28"/>
    <s v="1HRL"/>
    <m/>
    <n v="152.72"/>
    <n v="152.4"/>
    <s v="1U‐L"/>
    <m/>
    <n v="152.4"/>
    <n v="152.72"/>
    <x v="26"/>
    <m/>
    <d v="2021-06-24T00:00:00"/>
    <s v="0/16"/>
    <m/>
    <m/>
    <m/>
    <m/>
    <s v="50 mm PA16"/>
  </r>
  <r>
    <s v="Gebr. van der Lee"/>
    <x v="9"/>
    <m/>
    <n v="28"/>
    <s v="1HRL"/>
    <m/>
    <n v="149.35"/>
    <n v="149.19999999999999"/>
    <s v="2R‐L"/>
    <m/>
    <n v="149.19999999999999"/>
    <n v="149.35"/>
    <x v="26"/>
    <m/>
    <d v="2021-04-23T00:00:00"/>
    <s v="0/16"/>
    <m/>
    <m/>
    <m/>
    <m/>
    <s v="50 mm PA16"/>
  </r>
  <r>
    <s v="Gebr. van der Lee"/>
    <x v="9"/>
    <m/>
    <n v="28"/>
    <s v="1HRL"/>
    <m/>
    <n v="147.30000000000001"/>
    <n v="147"/>
    <s v="2R‐L"/>
    <m/>
    <n v="147"/>
    <n v="147.30000000000001"/>
    <x v="26"/>
    <m/>
    <d v="2021-09-13T00:00:00"/>
    <s v="0/16"/>
    <m/>
    <m/>
    <m/>
    <m/>
    <s v="50 mm PA16"/>
  </r>
  <r>
    <s v="Gebr. van der Lee"/>
    <x v="9"/>
    <m/>
    <n v="28"/>
    <s v="1HRL"/>
    <m/>
    <n v="145.97499999999999"/>
    <n v="145.91"/>
    <s v="1R‐L"/>
    <m/>
    <n v="145.91"/>
    <n v="145.97499999999999"/>
    <x v="26"/>
    <m/>
    <d v="2021-04-29T00:00:00"/>
    <s v="0/16"/>
    <m/>
    <m/>
    <m/>
    <m/>
    <s v="50 mm PA16"/>
  </r>
  <r>
    <s v="Gebr. van der Lee"/>
    <x v="9"/>
    <m/>
    <n v="28"/>
    <s v="1HRL"/>
    <m/>
    <n v="145.4"/>
    <n v="145.1"/>
    <s v="2R‐L"/>
    <m/>
    <n v="145.1"/>
    <n v="145.4"/>
    <x v="26"/>
    <m/>
    <d v="2021-04-29T00:00:00"/>
    <s v="0/16"/>
    <m/>
    <m/>
    <m/>
    <m/>
    <s v="50 mm PA16"/>
  </r>
  <r>
    <s v="Gebr. van der Lee"/>
    <x v="9"/>
    <m/>
    <n v="28"/>
    <s v="1HRL"/>
    <m/>
    <n v="145"/>
    <n v="144.35"/>
    <s v="2R‐L"/>
    <m/>
    <n v="144.35"/>
    <n v="145"/>
    <x v="26"/>
    <m/>
    <d v="2021-04-29T00:00:00"/>
    <s v="0/16"/>
    <m/>
    <m/>
    <m/>
    <m/>
    <s v="50 mm PA16"/>
  </r>
  <r>
    <s v="Gebr. van der Lee"/>
    <x v="9"/>
    <m/>
    <n v="28"/>
    <s v="1HRL"/>
    <m/>
    <n v="143.94999999999999"/>
    <n v="143.4"/>
    <s v="2R‐L"/>
    <m/>
    <n v="143.4"/>
    <n v="143.94999999999999"/>
    <x v="26"/>
    <m/>
    <d v="2021-09-01T00:00:00"/>
    <s v="0/16"/>
    <m/>
    <m/>
    <m/>
    <m/>
    <s v="50 mm PA16"/>
  </r>
  <r>
    <s v="Gebr. van der Lee"/>
    <x v="9"/>
    <m/>
    <n v="28"/>
    <s v="1HRL"/>
    <m/>
    <n v="143.58000000000001"/>
    <s v="‐"/>
    <s v="1R‐L"/>
    <m/>
    <n v="143.58000000000001"/>
    <n v="143.58000000000001"/>
    <x v="6"/>
    <m/>
    <d v="2021-09-09T00:00:00"/>
    <m/>
    <m/>
    <m/>
    <m/>
    <m/>
    <s v="2 paar lussen"/>
  </r>
  <r>
    <s v="Gebr. van der Lee"/>
    <x v="9"/>
    <m/>
    <n v="28"/>
    <s v="1HRL"/>
    <m/>
    <n v="143.58000000000001"/>
    <s v="‐"/>
    <s v="2R‐L"/>
    <m/>
    <n v="143.58000000000001"/>
    <n v="143.58000000000001"/>
    <x v="6"/>
    <m/>
    <d v="2021-09-09T00:00:00"/>
    <m/>
    <m/>
    <m/>
    <m/>
    <m/>
    <s v="2 paar lussen"/>
  </r>
  <r>
    <s v="Gebr. van der Lee"/>
    <x v="9"/>
    <m/>
    <n v="28"/>
    <s v="1HRL"/>
    <m/>
    <n v="141.94999999999999"/>
    <n v="141.6"/>
    <s v="2R‐L"/>
    <m/>
    <n v="141.6"/>
    <n v="141.94999999999999"/>
    <x v="26"/>
    <m/>
    <d v="2021-09-07T00:00:00"/>
    <s v="0/16"/>
    <m/>
    <m/>
    <m/>
    <m/>
    <s v="50 mm PA16"/>
  </r>
  <r>
    <s v="Gebr. van der Lee"/>
    <x v="9"/>
    <m/>
    <n v="28"/>
    <s v="1HRL"/>
    <m/>
    <n v="141.72"/>
    <s v="‐"/>
    <s v="2R‐L"/>
    <m/>
    <n v="141.72"/>
    <n v="141.72"/>
    <x v="6"/>
    <m/>
    <d v="2021-09-13T00:00:00"/>
    <m/>
    <m/>
    <m/>
    <m/>
    <m/>
    <s v="1 paar lussen"/>
  </r>
  <r>
    <s v="Gebr. van der Lee"/>
    <x v="9"/>
    <m/>
    <n v="28"/>
    <s v="1HRL"/>
    <m/>
    <n v="140.9"/>
    <n v="140.535"/>
    <s v="2R‐L"/>
    <m/>
    <n v="140.535"/>
    <n v="140.9"/>
    <x v="26"/>
    <m/>
    <d v="2021-09-07T00:00:00"/>
    <s v="0/16"/>
    <m/>
    <m/>
    <m/>
    <m/>
    <s v="50 mm PA16"/>
  </r>
  <r>
    <s v="Gebr. van der Lee"/>
    <x v="9"/>
    <m/>
    <n v="28"/>
    <s v="0VW"/>
    <s v="f"/>
    <n v="140.9"/>
    <n v="140.535"/>
    <s v="1R-L"/>
    <m/>
    <n v="140.535"/>
    <n v="140.9"/>
    <x v="26"/>
    <m/>
    <d v="2021-09-07T00:00:00"/>
    <s v="0/16"/>
    <m/>
    <m/>
    <m/>
    <m/>
    <s v="50 mm PA16"/>
  </r>
  <r>
    <s v="Gebr. van der Lee"/>
    <x v="9"/>
    <m/>
    <n v="28"/>
    <s v="1HRL"/>
    <m/>
    <n v="140.47499999999999"/>
    <n v="140.35"/>
    <s v="2R‐L"/>
    <m/>
    <n v="140.35"/>
    <n v="140.47499999999999"/>
    <x v="26"/>
    <m/>
    <d v="2021-09-07T00:00:00"/>
    <s v="0/16"/>
    <m/>
    <m/>
    <m/>
    <m/>
    <s v="50 mm PA16"/>
  </r>
  <r>
    <s v="Gebr. van der Lee"/>
    <x v="9"/>
    <m/>
    <n v="28"/>
    <s v="0VW"/>
    <s v="f"/>
    <n v="140.47499999999999"/>
    <n v="140.35"/>
    <s v="1R-L"/>
    <m/>
    <n v="140.35"/>
    <n v="140.47499999999999"/>
    <x v="26"/>
    <m/>
    <d v="2021-09-07T00:00:00"/>
    <s v="0/16"/>
    <m/>
    <m/>
    <m/>
    <m/>
    <s v="50 mm PA16"/>
  </r>
  <r>
    <s v="Gebr. van der Lee"/>
    <x v="9"/>
    <m/>
    <n v="28"/>
    <s v="1HRL"/>
    <m/>
    <s v="Zie 15-1 en 15-2"/>
    <s v="‐"/>
    <s v="Puntstuk"/>
    <m/>
    <n v="0"/>
    <n v="0"/>
    <x v="26"/>
    <m/>
    <d v="2021-09-07T00:00:00"/>
    <s v="0/16"/>
    <m/>
    <m/>
    <m/>
    <m/>
    <s v="50 mm PA16"/>
  </r>
  <r>
    <s v="Gebr. van der Lee"/>
    <x v="9"/>
    <m/>
    <n v="28"/>
    <s v="1HRL"/>
    <m/>
    <n v="140.38999999999999"/>
    <s v="‐"/>
    <s v="2R‐L/VwF"/>
    <m/>
    <n v="140.38999999999999"/>
    <n v="140.38999999999999"/>
    <x v="6"/>
    <m/>
    <d v="2021-09-13T00:00:00"/>
    <m/>
    <m/>
    <m/>
    <m/>
    <m/>
    <s v="1 paar lussen"/>
  </r>
  <r>
    <s v="Gebr. van der Lee"/>
    <x v="9"/>
    <m/>
    <n v="28"/>
    <s v="1HRL"/>
    <m/>
    <n v="141.19999999999999"/>
    <n v="140.30000000000001"/>
    <s v="1R‐L"/>
    <m/>
    <n v="140.30000000000001"/>
    <n v="141.19999999999999"/>
    <x v="26"/>
    <m/>
    <d v="2021-09-06T00:00:00"/>
    <s v="0/16"/>
    <m/>
    <m/>
    <m/>
    <m/>
    <s v="50 mm PA16"/>
  </r>
  <r>
    <s v="Gebr. van der Lee"/>
    <x v="9"/>
    <m/>
    <n v="28"/>
    <s v="1HRL"/>
    <m/>
    <n v="133.42500000000001"/>
    <n v="133.4"/>
    <s v="2R‐L"/>
    <m/>
    <n v="133.4"/>
    <n v="133.42500000000001"/>
    <x v="6"/>
    <m/>
    <d v="2021-09-14T00:00:00"/>
    <m/>
    <m/>
    <m/>
    <m/>
    <m/>
    <s v="Garantie deklaag vervangen"/>
  </r>
  <r>
    <s v="Gebr. van der Lee"/>
    <x v="9"/>
    <m/>
    <n v="28"/>
    <s v="1HRL"/>
    <m/>
    <n v="133.11000000000001"/>
    <n v="133"/>
    <s v="2R‐L"/>
    <m/>
    <n v="133"/>
    <n v="133.11000000000001"/>
    <x v="6"/>
    <m/>
    <d v="2021-09-14T00:00:00"/>
    <m/>
    <m/>
    <m/>
    <m/>
    <m/>
    <s v="Garantie deklaag vervangen"/>
  </r>
  <r>
    <s v="Gebr. van der Lee"/>
    <x v="9"/>
    <m/>
    <n v="28"/>
    <s v="1HRL"/>
    <m/>
    <n v="133.18"/>
    <n v="133.155"/>
    <s v="2R‐L"/>
    <m/>
    <n v="133.155"/>
    <n v="133.18"/>
    <x v="26"/>
    <m/>
    <d v="2021-09-14T00:00:00"/>
    <s v="0/16"/>
    <m/>
    <m/>
    <m/>
    <m/>
    <s v="50 mm PA16"/>
  </r>
  <r>
    <s v="Gebr. van der Lee"/>
    <x v="9"/>
    <m/>
    <n v="28"/>
    <s v="1HRL"/>
    <m/>
    <n v="133.61000000000001"/>
    <n v="133.13999999999999"/>
    <s v="1I‐L"/>
    <m/>
    <n v="133.13999999999999"/>
    <n v="133.61000000000001"/>
    <x v="26"/>
    <m/>
    <d v="2021-09-14T00:00:00"/>
    <s v="0/16"/>
    <m/>
    <m/>
    <m/>
    <m/>
    <s v="100 mm AC16 Bind/PA16 en asfaltwapening"/>
  </r>
  <r>
    <s v="Gebr. van der Lee"/>
    <x v="9"/>
    <m/>
    <n v="28"/>
    <s v="1HRL"/>
    <m/>
    <n v="132.91499999999999"/>
    <n v="132.97999999999999"/>
    <s v="2R‐L"/>
    <m/>
    <n v="132.91499999999999"/>
    <n v="132.97999999999999"/>
    <x v="26"/>
    <m/>
    <d v="2021-09-14T00:00:00"/>
    <s v="0/16"/>
    <m/>
    <m/>
    <m/>
    <m/>
    <s v="70 mm PA16"/>
  </r>
  <r>
    <s v="Gebr. van der Lee"/>
    <x v="9"/>
    <m/>
    <n v="28"/>
    <s v="1HRL"/>
    <m/>
    <n v="130.97999999999999"/>
    <n v="130.95500000000001"/>
    <m/>
    <s v="ALLE"/>
    <n v="130.95500000000001"/>
    <n v="130.97999999999999"/>
    <x v="26"/>
    <m/>
    <d v="2021-04-23T00:00:00"/>
    <s v="0/16"/>
    <m/>
    <m/>
    <m/>
    <m/>
    <s v="50 mm PA16"/>
  </r>
  <r>
    <s v="Gebr. van der Lee"/>
    <x v="9"/>
    <m/>
    <n v="28"/>
    <s v="1HRL"/>
    <m/>
    <n v="130.125"/>
    <n v="130.1"/>
    <s v="2R‐L"/>
    <m/>
    <n v="130.1"/>
    <n v="130.125"/>
    <x v="26"/>
    <m/>
    <d v="2021-04-23T00:00:00"/>
    <s v="0/16"/>
    <m/>
    <m/>
    <m/>
    <m/>
    <s v="50 mm PA16"/>
  </r>
  <r>
    <s v="Gebr. van der Lee"/>
    <x v="9"/>
    <m/>
    <n v="28"/>
    <s v="1HRL"/>
    <m/>
    <n v="128.9"/>
    <n v="128.4"/>
    <s v="2R‐L"/>
    <m/>
    <n v="128.4"/>
    <n v="128.9"/>
    <x v="26"/>
    <m/>
    <d v="2021-06-29T00:00:00"/>
    <s v="0/16"/>
    <m/>
    <m/>
    <m/>
    <m/>
    <s v="50 mm PA16"/>
  </r>
  <r>
    <s v="Gebr. van der Lee"/>
    <x v="9"/>
    <m/>
    <n v="28"/>
    <s v="1HRL"/>
    <m/>
    <n v="128.69999999999999"/>
    <s v="‐"/>
    <s v="2R‐L"/>
    <m/>
    <n v="128.69999999999999"/>
    <n v="128.69999999999999"/>
    <x v="6"/>
    <m/>
    <d v="2021-09-17T00:00:00"/>
    <m/>
    <m/>
    <m/>
    <m/>
    <m/>
    <s v="Schijnvoegen"/>
  </r>
  <r>
    <s v="Gebr. van der Lee"/>
    <x v="9"/>
    <m/>
    <n v="28"/>
    <s v="1HRL"/>
    <m/>
    <n v="128.46"/>
    <s v="‐"/>
    <s v="1R‐L/2R‐L"/>
    <m/>
    <n v="128.46"/>
    <n v="128.46"/>
    <x v="6"/>
    <m/>
    <d v="2021-09-17T00:00:00"/>
    <m/>
    <m/>
    <m/>
    <m/>
    <m/>
    <s v="2 paar lussen"/>
  </r>
  <r>
    <s v="Gebr. van der Lee"/>
    <x v="9"/>
    <m/>
    <n v="28"/>
    <s v="1HRL"/>
    <m/>
    <n v="128.4"/>
    <n v="127.8"/>
    <s v="2R‐L"/>
    <m/>
    <n v="127.8"/>
    <n v="128.4"/>
    <x v="26"/>
    <m/>
    <d v="2021-06-29T00:00:00"/>
    <s v="0/16"/>
    <m/>
    <m/>
    <m/>
    <m/>
    <s v="50 mm PA16"/>
  </r>
  <r>
    <s v="Gebr. van der Lee"/>
    <x v="9"/>
    <m/>
    <n v="28"/>
    <s v="1HRL"/>
    <m/>
    <n v="128.1"/>
    <n v="127.6"/>
    <s v="1U‐L"/>
    <m/>
    <n v="127.6"/>
    <n v="128.1"/>
    <x v="26"/>
    <m/>
    <d v="2021-06-29T00:00:00"/>
    <s v="0/16"/>
    <m/>
    <m/>
    <m/>
    <m/>
    <s v="50 mm PA16"/>
  </r>
  <r>
    <s v="Gebr. van der Lee"/>
    <x v="9"/>
    <m/>
    <n v="28"/>
    <s v="1HRL"/>
    <m/>
    <n v="127.5"/>
    <n v="126.7"/>
    <s v="2R‐L"/>
    <m/>
    <n v="126.7"/>
    <n v="127.5"/>
    <x v="26"/>
    <m/>
    <d v="2021-07-01T00:00:00"/>
    <s v="0/16"/>
    <m/>
    <m/>
    <m/>
    <m/>
    <s v="50 mm PA16"/>
  </r>
  <r>
    <s v="Gebr. van der Lee"/>
    <x v="9"/>
    <m/>
    <n v="28"/>
    <s v="1HRL"/>
    <m/>
    <n v="126.19"/>
    <n v="126.16500000000001"/>
    <s v="2R‐L"/>
    <m/>
    <n v="126.16500000000001"/>
    <n v="126.19"/>
    <x v="26"/>
    <m/>
    <d v="2021-07-01T00:00:00"/>
    <s v="0/16"/>
    <m/>
    <m/>
    <m/>
    <m/>
    <s v="50 mm PA16"/>
  </r>
  <r>
    <s v="Gebr. van der Lee"/>
    <x v="9"/>
    <m/>
    <n v="28"/>
    <s v="1HRL"/>
    <m/>
    <n v="125.28"/>
    <n v="125.255"/>
    <s v="2R‐L"/>
    <m/>
    <n v="125.255"/>
    <n v="125.28"/>
    <x v="26"/>
    <m/>
    <d v="2021-07-01T00:00:00"/>
    <s v="0/16"/>
    <m/>
    <m/>
    <m/>
    <m/>
    <s v="50 mm PA16"/>
  </r>
  <r>
    <s v="Gebr. van der Lee"/>
    <x v="9"/>
    <m/>
    <n v="28"/>
    <s v="1HRL"/>
    <m/>
    <n v="124.37"/>
    <n v="124.345"/>
    <s v="2R‐L"/>
    <m/>
    <n v="124.345"/>
    <n v="124.37"/>
    <x v="26"/>
    <m/>
    <d v="2021-07-01T00:00:00"/>
    <s v="0/16"/>
    <m/>
    <m/>
    <m/>
    <m/>
    <s v="50 mm PA16"/>
  </r>
  <r>
    <s v="Gebr. van der Lee"/>
    <x v="9"/>
    <m/>
    <n v="28"/>
    <s v="1HRL"/>
    <m/>
    <n v="124.255"/>
    <n v="124.23"/>
    <s v="2R‐L"/>
    <m/>
    <n v="124.23"/>
    <n v="124.255"/>
    <x v="26"/>
    <m/>
    <d v="2021-07-01T00:00:00"/>
    <s v="0/16"/>
    <m/>
    <m/>
    <m/>
    <m/>
    <s v="50 mm PA16"/>
  </r>
  <r>
    <s v="Gebr. van der Lee"/>
    <x v="9"/>
    <m/>
    <n v="28"/>
    <s v="1HRL"/>
    <m/>
    <n v="122.86"/>
    <n v="122.83499999999999"/>
    <s v="2R‐L"/>
    <m/>
    <n v="122.83499999999999"/>
    <n v="122.86"/>
    <x v="26"/>
    <m/>
    <d v="2021-05-07T00:00:00"/>
    <s v="0/16"/>
    <m/>
    <m/>
    <m/>
    <m/>
    <s v="50 mm PA16"/>
  </r>
  <r>
    <s v="Gebr. van der Lee"/>
    <x v="9"/>
    <m/>
    <n v="28"/>
    <s v="1HRL"/>
    <m/>
    <n v="122.61"/>
    <n v="122.58499999999999"/>
    <s v="2R‐L"/>
    <m/>
    <n v="122.58499999999999"/>
    <n v="122.61"/>
    <x v="26"/>
    <m/>
    <d v="2021-05-07T00:00:00"/>
    <s v="0/16"/>
    <m/>
    <m/>
    <m/>
    <m/>
    <s v="50 mm PA16"/>
  </r>
  <r>
    <s v="Gebr. van der Lee"/>
    <x v="9"/>
    <m/>
    <n v="28"/>
    <s v="1HRL"/>
    <m/>
    <n v="122.5"/>
    <n v="122.45"/>
    <s v="2R‐L"/>
    <m/>
    <n v="122.45"/>
    <n v="122.5"/>
    <x v="26"/>
    <m/>
    <d v="2021-05-07T00:00:00"/>
    <s v="0/16"/>
    <m/>
    <m/>
    <m/>
    <m/>
    <s v="50 mm PA16"/>
  </r>
  <r>
    <s v="Gebr. van der Lee"/>
    <x v="9"/>
    <m/>
    <n v="28"/>
    <s v="1HRL"/>
    <m/>
    <n v="122.3"/>
    <n v="122.1"/>
    <s v="2R‐L"/>
    <m/>
    <n v="122.1"/>
    <n v="122.3"/>
    <x v="26"/>
    <m/>
    <d v="2021-05-07T00:00:00"/>
    <s v="0/16"/>
    <m/>
    <m/>
    <m/>
    <m/>
    <s v="50 mm PA16"/>
  </r>
  <r>
    <s v="Gebr. van der Lee"/>
    <x v="9"/>
    <m/>
    <n v="28"/>
    <s v="1HRL"/>
    <m/>
    <n v="121.7"/>
    <n v="121.4"/>
    <s v="1R‐L"/>
    <m/>
    <n v="121.4"/>
    <n v="121.7"/>
    <x v="26"/>
    <m/>
    <d v="2021-05-03T00:00:00"/>
    <s v="0/16"/>
    <m/>
    <m/>
    <m/>
    <m/>
    <s v="50 mm PA16"/>
  </r>
  <r>
    <s v="Gebr. van der Lee"/>
    <x v="9"/>
    <m/>
    <n v="28"/>
    <s v="1HRL"/>
    <m/>
    <n v="121.55"/>
    <n v="121.5"/>
    <s v="2R‐L"/>
    <m/>
    <n v="121.5"/>
    <n v="121.55"/>
    <x v="26"/>
    <m/>
    <d v="2021-05-07T00:00:00"/>
    <s v="0/16"/>
    <m/>
    <m/>
    <m/>
    <m/>
    <s v="50 mm PA16"/>
  </r>
  <r>
    <s v="Gebr. van der Lee"/>
    <x v="9"/>
    <m/>
    <n v="28"/>
    <s v="1HRL"/>
    <m/>
    <n v="119.9"/>
    <n v="119.8"/>
    <s v="2R‐L"/>
    <m/>
    <n v="119.8"/>
    <n v="119.9"/>
    <x v="26"/>
    <m/>
    <d v="2021-09-16T00:00:00"/>
    <s v="0/16"/>
    <m/>
    <m/>
    <m/>
    <m/>
    <s v="50 mm PA16"/>
  </r>
  <r>
    <s v="Gebr. van der Lee"/>
    <x v="9"/>
    <m/>
    <n v="28"/>
    <s v="1HRL"/>
    <m/>
    <n v="119.7"/>
    <n v="118.8"/>
    <s v="2R‐L"/>
    <m/>
    <n v="118.8"/>
    <n v="119.7"/>
    <x v="26"/>
    <m/>
    <d v="2021-09-16T00:00:00"/>
    <s v="0/16"/>
    <m/>
    <m/>
    <m/>
    <m/>
    <s v="100 mm AC16 Bind/PA16"/>
  </r>
  <r>
    <s v="Gebr. van der Lee"/>
    <x v="9"/>
    <m/>
    <n v="28"/>
    <s v="1HRL"/>
    <m/>
    <n v="118.6"/>
    <n v="118.55"/>
    <s v="2R‐L"/>
    <m/>
    <n v="118.55"/>
    <n v="118.6"/>
    <x v="6"/>
    <m/>
    <d v="2021-09-02T00:00:00"/>
    <m/>
    <m/>
    <m/>
    <m/>
    <m/>
    <s v="Garantie deklaag vervangen"/>
  </r>
  <r>
    <s v="Gebr. van der Lee"/>
    <x v="9"/>
    <m/>
    <n v="28"/>
    <s v="1HRL"/>
    <m/>
    <n v="117.85"/>
    <n v="117.6"/>
    <s v="2R‐L"/>
    <m/>
    <n v="117.6"/>
    <n v="117.85"/>
    <x v="26"/>
    <m/>
    <d v="2021-09-02T00:00:00"/>
    <s v="0/16"/>
    <m/>
    <m/>
    <m/>
    <m/>
    <s v="50 mm PA16"/>
  </r>
  <r>
    <s v="Gebr. van der Lee"/>
    <x v="9"/>
    <m/>
    <n v="28"/>
    <s v="1HRR"/>
    <m/>
    <n v="125.18"/>
    <n v="125.205"/>
    <s v="2R‐R"/>
    <m/>
    <n v="125.18"/>
    <n v="125.205"/>
    <x v="26"/>
    <m/>
    <d v="2021-09-09T00:00:00"/>
    <s v="0/16"/>
    <m/>
    <m/>
    <m/>
    <m/>
    <s v="50 mm PA16"/>
  </r>
  <r>
    <s v="Gebr. van der Lee"/>
    <x v="9"/>
    <m/>
    <n v="28"/>
    <s v="1HRR"/>
    <m/>
    <n v="125.95"/>
    <n v="125.97499999999999"/>
    <s v="2R‐R"/>
    <m/>
    <n v="125.95"/>
    <n v="125.97499999999999"/>
    <x v="26"/>
    <m/>
    <d v="2021-09-09T00:00:00"/>
    <s v="0/16"/>
    <m/>
    <m/>
    <m/>
    <m/>
    <s v="50 mm PA16"/>
  </r>
  <r>
    <s v="Gebr. van der Lee"/>
    <x v="9"/>
    <m/>
    <n v="28"/>
    <s v="1HRR"/>
    <m/>
    <n v="125.95"/>
    <n v="125.97499999999999"/>
    <s v="1U‐R"/>
    <m/>
    <n v="125.95"/>
    <n v="125.97499999999999"/>
    <x v="26"/>
    <m/>
    <d v="2021-09-09T00:00:00"/>
    <s v="0/16"/>
    <m/>
    <m/>
    <m/>
    <m/>
    <s v="50 mm PA16"/>
  </r>
  <r>
    <s v="Gebr. van der Lee"/>
    <x v="9"/>
    <m/>
    <n v="28"/>
    <s v="1HRR"/>
    <m/>
    <n v="128.5"/>
    <n v="128.69"/>
    <s v="2R‐R"/>
    <m/>
    <n v="128.5"/>
    <n v="128.69"/>
    <x v="26"/>
    <m/>
    <d v="2021-05-05T00:00:00"/>
    <s v="0/16"/>
    <m/>
    <m/>
    <m/>
    <m/>
    <s v="100 mm AC16 Bind/PA16"/>
  </r>
  <r>
    <s v="Gebr. van der Lee"/>
    <x v="9"/>
    <m/>
    <n v="28"/>
    <s v="1HRR"/>
    <m/>
    <n v="128.69"/>
    <n v="128.715"/>
    <s v="2R‐R"/>
    <m/>
    <n v="128.69"/>
    <n v="128.715"/>
    <x v="26"/>
    <m/>
    <d v="2021-05-05T00:00:00"/>
    <s v="0/16"/>
    <m/>
    <m/>
    <m/>
    <m/>
    <s v="50 mm PA16"/>
  </r>
  <r>
    <s v="Gebr. van der Lee"/>
    <x v="9"/>
    <m/>
    <n v="28"/>
    <s v="1HRR"/>
    <m/>
    <n v="128.69999999999999"/>
    <s v="‐"/>
    <s v="2R‐R"/>
    <m/>
    <n v="128.69999999999999"/>
    <n v="128.69999999999999"/>
    <x v="6"/>
    <m/>
    <d v="2021-09-15T00:00:00"/>
    <m/>
    <m/>
    <m/>
    <m/>
    <m/>
    <s v="Schijnvoegen"/>
  </r>
  <r>
    <s v="Gebr. van der Lee"/>
    <x v="9"/>
    <m/>
    <n v="28"/>
    <s v="1HRR"/>
    <m/>
    <n v="128.715"/>
    <n v="129.1"/>
    <s v="2R‐R"/>
    <m/>
    <n v="128.715"/>
    <n v="129.1"/>
    <x v="26"/>
    <m/>
    <d v="2021-05-05T00:00:00"/>
    <s v="0/16"/>
    <m/>
    <m/>
    <m/>
    <m/>
    <s v="100 mm AC16 Bind/PA16"/>
  </r>
  <r>
    <s v="Gebr. van der Lee"/>
    <x v="9"/>
    <m/>
    <n v="28"/>
    <s v="1HRR"/>
    <m/>
    <n v="129.9"/>
    <n v="130.07499999999999"/>
    <s v="2R‐R"/>
    <m/>
    <n v="129.9"/>
    <n v="130.07499999999999"/>
    <x v="26"/>
    <m/>
    <d v="2021-09-23T00:00:00"/>
    <s v="0/16"/>
    <m/>
    <m/>
    <m/>
    <m/>
    <s v="50 mm PA16"/>
  </r>
  <r>
    <s v="Gebr. van der Lee"/>
    <x v="9"/>
    <m/>
    <n v="28"/>
    <s v="1HRR"/>
    <m/>
    <n v="130.27500000000001"/>
    <n v="130.66999999999999"/>
    <s v="2R‐R"/>
    <m/>
    <n v="130.27500000000001"/>
    <n v="130.66999999999999"/>
    <x v="26"/>
    <m/>
    <d v="2021-09-23T00:00:00"/>
    <s v="0/16"/>
    <m/>
    <m/>
    <m/>
    <m/>
    <s v="100 mm AC16 Bind/PA16"/>
  </r>
  <r>
    <s v="Gebr. van der Lee"/>
    <x v="9"/>
    <m/>
    <n v="28"/>
    <s v="1HRR"/>
    <m/>
    <n v="130.80000000000001"/>
    <n v="130.9"/>
    <s v="2R‐R"/>
    <m/>
    <n v="130.80000000000001"/>
    <n v="130.9"/>
    <x v="26"/>
    <m/>
    <d v="2021-09-23T00:00:00"/>
    <s v="0/16"/>
    <m/>
    <m/>
    <m/>
    <m/>
    <s v="100 mm AC16 Bind/PA16"/>
  </r>
  <r>
    <s v="Gebr. van der Lee"/>
    <x v="9"/>
    <m/>
    <n v="28"/>
    <s v="1HRR"/>
    <m/>
    <n v="131.9"/>
    <n v="132.80000000000001"/>
    <s v="2R‐R"/>
    <m/>
    <n v="131.9"/>
    <n v="132.80000000000001"/>
    <x v="26"/>
    <m/>
    <d v="2021-09-21T00:00:00"/>
    <s v="0/16"/>
    <m/>
    <m/>
    <m/>
    <m/>
    <s v="100 mm AC16 Bind/PA16"/>
  </r>
  <r>
    <s v="Gebr. van der Lee"/>
    <x v="9"/>
    <m/>
    <n v="28"/>
    <s v="1HRR"/>
    <m/>
    <n v="132.6"/>
    <s v="‐"/>
    <s v="2R‐R"/>
    <m/>
    <n v="132.6"/>
    <n v="132.6"/>
    <x v="6"/>
    <m/>
    <d v="2021-09-24T00:00:00"/>
    <m/>
    <m/>
    <m/>
    <m/>
    <m/>
    <s v="Schijnvoegen"/>
  </r>
  <r>
    <s v="Gebr. van der Lee"/>
    <x v="9"/>
    <m/>
    <n v="28"/>
    <s v="1HRR"/>
    <m/>
    <n v="132.99"/>
    <n v="133.02500000000001"/>
    <s v="2R‐R"/>
    <m/>
    <n v="132.99"/>
    <n v="133.02500000000001"/>
    <x v="26"/>
    <m/>
    <d v="2021-09-21T00:00:00"/>
    <s v="0/16"/>
    <m/>
    <m/>
    <m/>
    <m/>
    <s v="50 mm PA16"/>
  </r>
  <r>
    <s v="Gebr. van der Lee"/>
    <x v="9"/>
    <m/>
    <n v="28"/>
    <s v="1HRR"/>
    <m/>
    <n v="133.91999999999999"/>
    <n v="134.1"/>
    <s v="1W‐R"/>
    <m/>
    <n v="133.91999999999999"/>
    <n v="134.1"/>
    <x v="26"/>
    <m/>
    <d v="2021-09-02T00:00:00"/>
    <s v="0/16"/>
    <m/>
    <m/>
    <m/>
    <m/>
    <s v="50 mm PA16"/>
  </r>
  <r>
    <s v="Gebr. van der Lee"/>
    <x v="9"/>
    <m/>
    <n v="28"/>
    <s v="1HRR"/>
    <m/>
    <n v="141.6"/>
    <n v="141.65"/>
    <s v="2R‐R"/>
    <m/>
    <n v="141.6"/>
    <n v="141.65"/>
    <x v="26"/>
    <m/>
    <d v="2021-09-17T00:00:00"/>
    <s v="0/16"/>
    <m/>
    <m/>
    <m/>
    <m/>
    <s v="50 mm PA16"/>
  </r>
  <r>
    <s v="Gebr. van der Lee"/>
    <x v="9"/>
    <m/>
    <n v="28"/>
    <s v="1HRR"/>
    <m/>
    <n v="141.82"/>
    <n v="142"/>
    <s v="1I‐R"/>
    <m/>
    <n v="141.82"/>
    <n v="142"/>
    <x v="26"/>
    <m/>
    <d v="2021-09-17T00:00:00"/>
    <s v="0/16"/>
    <m/>
    <m/>
    <m/>
    <m/>
    <s v="50 mm PA16"/>
  </r>
  <r>
    <s v="Gebr. van der Lee"/>
    <x v="9"/>
    <m/>
    <n v="28"/>
    <s v="1HRR"/>
    <m/>
    <n v="142.80000000000001"/>
    <n v="143.69999999999999"/>
    <s v="2R‐R"/>
    <m/>
    <n v="142.80000000000001"/>
    <n v="143.69999999999999"/>
    <x v="26"/>
    <m/>
    <d v="2021-09-10T00:00:00"/>
    <s v="0/16"/>
    <m/>
    <m/>
    <m/>
    <m/>
    <s v="50 mm PA16"/>
  </r>
  <r>
    <s v="Gebr. van der Lee"/>
    <x v="9"/>
    <m/>
    <n v="28"/>
    <s v="1HRR"/>
    <m/>
    <n v="143.59"/>
    <s v="‐"/>
    <s v="2R‐R"/>
    <m/>
    <n v="143.59"/>
    <n v="143.59"/>
    <x v="6"/>
    <m/>
    <d v="2021-10-05T00:00:00"/>
    <m/>
    <m/>
    <m/>
    <m/>
    <m/>
    <s v="1 paar lussen"/>
  </r>
  <r>
    <s v="Gebr. van der Lee"/>
    <x v="9"/>
    <m/>
    <n v="28"/>
    <s v="1HRR"/>
    <m/>
    <n v="142.83000000000001"/>
    <n v="143.19"/>
    <s v="1U‐R"/>
    <m/>
    <n v="142.83000000000001"/>
    <n v="143.19"/>
    <x v="26"/>
    <m/>
    <d v="2021-09-10T00:00:00"/>
    <s v="0/16"/>
    <m/>
    <m/>
    <m/>
    <m/>
    <s v="50 mm PA16"/>
  </r>
  <r>
    <s v="Gebr. van der Lee"/>
    <x v="9"/>
    <m/>
    <n v="28"/>
    <s v="1HRR"/>
    <m/>
    <n v="143.01"/>
    <s v="‐"/>
    <s v="1U‐R"/>
    <m/>
    <n v="143.01"/>
    <n v="143.01"/>
    <x v="6"/>
    <m/>
    <d v="2021-10-05T00:00:00"/>
    <m/>
    <m/>
    <m/>
    <m/>
    <m/>
    <s v="Schijnvoegen"/>
  </r>
  <r>
    <s v="Gebr. van der Lee"/>
    <x v="9"/>
    <m/>
    <n v="28"/>
    <s v="1HRR"/>
    <m/>
    <n v="143.1"/>
    <s v="‐"/>
    <s v="1R‐R/2R‐R/1U‐R"/>
    <m/>
    <n v="143.1"/>
    <n v="143.1"/>
    <x v="6"/>
    <m/>
    <d v="2021-10-05T00:00:00"/>
    <m/>
    <m/>
    <m/>
    <m/>
    <m/>
    <s v="3 paar lussen"/>
  </r>
  <r>
    <s v="Gebr. van der Lee"/>
    <x v="9"/>
    <m/>
    <n v="28"/>
    <s v="1HRR"/>
    <m/>
    <n v="144.4"/>
    <n v="145.9"/>
    <s v="2R‐R"/>
    <m/>
    <n v="144.4"/>
    <n v="145.9"/>
    <x v="26"/>
    <m/>
    <d v="2021-09-09T00:00:00"/>
    <s v="0/16"/>
    <m/>
    <m/>
    <m/>
    <m/>
    <s v="50 mm PA16"/>
  </r>
  <r>
    <s v="Gebr. van der Lee"/>
    <x v="9"/>
    <m/>
    <n v="28"/>
    <s v="1HRL"/>
    <m/>
    <n v="118.7"/>
    <n v="118.8"/>
    <s v="2R‐R"/>
    <m/>
    <n v="118.7"/>
    <n v="118.8"/>
    <x v="6"/>
    <m/>
    <d v="2021-09-16T00:00:00"/>
    <m/>
    <m/>
    <m/>
    <m/>
    <m/>
    <s v="Vergeten stroefheidsvakken dko"/>
  </r>
  <r>
    <s v="Gebr. van der Lee"/>
    <x v="9"/>
    <m/>
    <n v="28"/>
    <s v="1HRR"/>
    <m/>
    <n v="141.30000000000001"/>
    <n v="141.375"/>
    <s v="2R‐R"/>
    <m/>
    <n v="141.30000000000001"/>
    <n v="141.375"/>
    <x v="6"/>
    <m/>
    <d v="2021-09-17T00:00:00"/>
    <m/>
    <m/>
    <m/>
    <m/>
    <m/>
    <s v="Vergeten stroefheidsvakken dko"/>
  </r>
  <r>
    <s v="Gebr. van der Lee"/>
    <x v="9"/>
    <m/>
    <n v="28"/>
    <s v="1HRL"/>
    <m/>
    <n v="183.3"/>
    <n v="182.8"/>
    <s v="2R‐L"/>
    <m/>
    <n v="182.8"/>
    <n v="183.3"/>
    <x v="26"/>
    <m/>
    <d v="2021-04-20T00:00:00"/>
    <s v="0/16"/>
    <m/>
    <m/>
    <m/>
    <m/>
    <s v="50 mm PA16"/>
  </r>
  <r>
    <s v="Gebr. van der Lee"/>
    <x v="9"/>
    <m/>
    <n v="28"/>
    <s v="1HRL"/>
    <m/>
    <n v="182"/>
    <n v="180.85"/>
    <s v="2R‐L"/>
    <m/>
    <n v="180.85"/>
    <n v="182"/>
    <x v="26"/>
    <m/>
    <d v="2021-04-20T00:00:00"/>
    <s v="0/16"/>
    <m/>
    <m/>
    <m/>
    <m/>
    <s v="50 mm PA16"/>
  </r>
  <r>
    <s v="Gebr. van der Lee"/>
    <x v="9"/>
    <m/>
    <n v="28"/>
    <s v="1HRL"/>
    <m/>
    <n v="179.8"/>
    <n v="179.77500000000001"/>
    <s v="2R‐L"/>
    <m/>
    <n v="179.77500000000001"/>
    <n v="179.8"/>
    <x v="26"/>
    <m/>
    <d v="2021-04-22T00:00:00"/>
    <s v="0/16"/>
    <m/>
    <m/>
    <m/>
    <m/>
    <s v="50 mm PA16"/>
  </r>
  <r>
    <s v="Gebr. van der Lee"/>
    <x v="9"/>
    <m/>
    <n v="28"/>
    <s v="1HRL"/>
    <m/>
    <n v="176.05"/>
    <n v="176.02500000000001"/>
    <s v="2R‐L"/>
    <m/>
    <n v="176.02500000000001"/>
    <n v="176.05"/>
    <x v="26"/>
    <m/>
    <d v="2021-06-23T00:00:00"/>
    <s v="0/16"/>
    <m/>
    <m/>
    <m/>
    <m/>
    <s v="50 mm PA16"/>
  </r>
  <r>
    <s v="Gebr. van der Lee"/>
    <x v="9"/>
    <m/>
    <n v="28"/>
    <s v="1HRL"/>
    <m/>
    <n v="170.55"/>
    <n v="170.5"/>
    <s v="2R‐L"/>
    <m/>
    <n v="170.5"/>
    <n v="170.55"/>
    <x v="6"/>
    <m/>
    <d v="2021-06-28T00:00:00"/>
    <m/>
    <m/>
    <m/>
    <m/>
    <m/>
    <s v="Garantie ‐ Naad beschermen Burdie Roadsafe"/>
  </r>
  <r>
    <s v="Gebr. van der Lee"/>
    <x v="9"/>
    <m/>
    <n v="28"/>
    <s v="1HRL"/>
    <m/>
    <n v="167.1"/>
    <n v="167"/>
    <s v="2R‐L"/>
    <m/>
    <n v="167"/>
    <n v="167.1"/>
    <x v="26"/>
    <m/>
    <d v="2021-04-22T00:00:00"/>
    <s v="0/16"/>
    <m/>
    <m/>
    <m/>
    <m/>
    <s v="50 mm PA16"/>
  </r>
  <r>
    <s v="Gebr. van der Lee"/>
    <x v="9"/>
    <m/>
    <n v="28"/>
    <s v="1HRL"/>
    <m/>
    <n v="164.6"/>
    <n v="164.13"/>
    <s v="2R‐L"/>
    <m/>
    <n v="164.13"/>
    <n v="164.6"/>
    <x v="6"/>
    <m/>
    <d v="2021-06-28T00:00:00"/>
    <m/>
    <m/>
    <m/>
    <m/>
    <m/>
    <s v="Naad beschermen Burdie Roadsafe"/>
  </r>
  <r>
    <s v="Gebr. van der Lee"/>
    <x v="9"/>
    <m/>
    <n v="28"/>
    <s v="1HRL"/>
    <m/>
    <n v="163.69999999999999"/>
    <n v="163.30000000000001"/>
    <s v="2R‐L"/>
    <m/>
    <n v="163.30000000000001"/>
    <n v="163.69999999999999"/>
    <x v="6"/>
    <m/>
    <d v="2021-06-28T00:00:00"/>
    <m/>
    <m/>
    <m/>
    <m/>
    <m/>
    <s v="Naad beschermen Burdie Roadsafe"/>
  </r>
  <r>
    <s v="Gebr. van der Lee"/>
    <x v="9"/>
    <m/>
    <n v="28"/>
    <s v="1HRL"/>
    <m/>
    <n v="162.9"/>
    <n v="162.69999999999999"/>
    <s v="2R‐L"/>
    <m/>
    <n v="162.69999999999999"/>
    <n v="162.9"/>
    <x v="6"/>
    <m/>
    <d v="2021-06-28T00:00:00"/>
    <m/>
    <m/>
    <m/>
    <m/>
    <m/>
    <s v="Naad beschermen Burdie Roadsafe"/>
  </r>
  <r>
    <s v="Gebr. van der Lee"/>
    <x v="9"/>
    <m/>
    <n v="28"/>
    <s v="1HRR"/>
    <m/>
    <n v="160.44999999999999"/>
    <n v="160.5"/>
    <s v="1I‐R"/>
    <m/>
    <n v="160.44999999999999"/>
    <n v="160.5"/>
    <x v="26"/>
    <m/>
    <d v="2021-09-24T00:00:00"/>
    <s v="0/16"/>
    <m/>
    <m/>
    <m/>
    <m/>
    <s v="50 mm PA16"/>
  </r>
  <r>
    <s v="Gebr. van der Lee"/>
    <x v="9"/>
    <m/>
    <n v="28"/>
    <s v="1HRR"/>
    <m/>
    <n v="160.69999999999999"/>
    <n v="161"/>
    <s v="1I‐R"/>
    <m/>
    <n v="160.69999999999999"/>
    <n v="161"/>
    <x v="26"/>
    <m/>
    <d v="2021-11-04T00:00:00"/>
    <s v="0/16"/>
    <m/>
    <m/>
    <m/>
    <m/>
    <s v="50 mm PA16"/>
  </r>
  <r>
    <s v="Gebr. van der Lee"/>
    <x v="9"/>
    <m/>
    <n v="28"/>
    <s v="1HRR"/>
    <m/>
    <n v="160.4"/>
    <n v="161.19999999999999"/>
    <s v="1R‐R"/>
    <m/>
    <n v="160.4"/>
    <n v="161.19999999999999"/>
    <x v="26"/>
    <m/>
    <d v="2021-09-24T00:00:00"/>
    <s v="0/16"/>
    <m/>
    <m/>
    <m/>
    <m/>
    <s v="50 mm PA16"/>
  </r>
  <r>
    <s v="Gebr. van der Lee"/>
    <x v="9"/>
    <m/>
    <n v="28"/>
    <s v="1HRR"/>
    <m/>
    <n v="162.6"/>
    <n v="163"/>
    <s v="1R‐R"/>
    <m/>
    <n v="162.6"/>
    <n v="163"/>
    <x v="26"/>
    <m/>
    <d v="2021-09-24T00:00:00"/>
    <s v="0/16"/>
    <m/>
    <m/>
    <m/>
    <m/>
    <s v="50 mm PA16"/>
  </r>
  <r>
    <s v="Gebr. van der Lee"/>
    <x v="9"/>
    <m/>
    <n v="28"/>
    <s v="1HRR"/>
    <m/>
    <n v="164.58"/>
    <n v="164.7"/>
    <s v="2R‐R"/>
    <m/>
    <n v="164.58"/>
    <n v="164.7"/>
    <x v="26"/>
    <m/>
    <d v="2021-09-24T00:00:00"/>
    <s v="0/16"/>
    <m/>
    <m/>
    <m/>
    <m/>
    <s v="50 mm PA16"/>
  </r>
  <r>
    <s v="Gebr. van der Lee"/>
    <x v="9"/>
    <m/>
    <n v="28"/>
    <s v="1HRR"/>
    <m/>
    <n v="165.17500000000001"/>
    <n v="165.2"/>
    <s v="2R‐R"/>
    <m/>
    <n v="165.17500000000001"/>
    <n v="165.2"/>
    <x v="26"/>
    <m/>
    <d v="2021-09-24T00:00:00"/>
    <s v="0/16"/>
    <m/>
    <m/>
    <m/>
    <m/>
    <s v="50 mm PA16"/>
  </r>
  <r>
    <s v="Gebr. van der Lee"/>
    <x v="9"/>
    <m/>
    <n v="28"/>
    <s v="1HRR"/>
    <m/>
    <n v="166"/>
    <n v="166.34"/>
    <s v="2R‐R"/>
    <m/>
    <n v="166"/>
    <n v="166.34"/>
    <x v="26"/>
    <m/>
    <d v="2021-09-24T00:00:00"/>
    <s v="0/16"/>
    <m/>
    <m/>
    <m/>
    <m/>
    <s v="50 mm PA16"/>
  </r>
  <r>
    <s v="Gebr. van der Lee"/>
    <x v="9"/>
    <m/>
    <n v="28"/>
    <s v="1HRR"/>
    <m/>
    <n v="171"/>
    <n v="171.22"/>
    <s v="1R‐R"/>
    <m/>
    <n v="171"/>
    <n v="171.22"/>
    <x v="26"/>
    <m/>
    <d v="2021-04-16T00:00:00"/>
    <s v="0/16"/>
    <m/>
    <m/>
    <m/>
    <m/>
    <s v="50 mm PA16"/>
  </r>
  <r>
    <s v="Gebr. van der Lee"/>
    <x v="9"/>
    <m/>
    <n v="28"/>
    <s v="1HRR"/>
    <m/>
    <n v="171"/>
    <n v="171.22"/>
    <s v="2R‐R"/>
    <m/>
    <n v="171"/>
    <n v="171.22"/>
    <x v="26"/>
    <m/>
    <d v="2021-04-16T00:00:00"/>
    <s v="0/16"/>
    <m/>
    <m/>
    <m/>
    <m/>
    <s v="50 mm PA16"/>
  </r>
  <r>
    <s v="Gebr. van der Lee"/>
    <x v="9"/>
    <m/>
    <n v="28"/>
    <s v="1HRR"/>
    <m/>
    <n v="172"/>
    <n v="172.55"/>
    <s v="2R‐R"/>
    <m/>
    <n v="172"/>
    <n v="172.55"/>
    <x v="6"/>
    <m/>
    <d v="2021-06-22T00:00:00"/>
    <m/>
    <m/>
    <m/>
    <m/>
    <m/>
    <s v="Verdiepte bak t.p.v. craquelé, 50 mm PA16"/>
  </r>
  <r>
    <s v="Gebr. van der Lee"/>
    <x v="9"/>
    <m/>
    <n v="28"/>
    <s v="1HRR"/>
    <m/>
    <n v="173.85"/>
    <n v="173.875"/>
    <s v="2R‐R"/>
    <m/>
    <n v="173.85"/>
    <n v="173.875"/>
    <x v="26"/>
    <m/>
    <d v="2021-06-24T00:00:00"/>
    <s v="0/16"/>
    <m/>
    <m/>
    <m/>
    <m/>
    <s v="100 mm AC16 Bind/PA16"/>
  </r>
  <r>
    <s v="Gebr. van der Lee"/>
    <x v="9"/>
    <m/>
    <n v="28"/>
    <s v="1HRR"/>
    <m/>
    <n v="174.3"/>
    <n v="174.41"/>
    <s v="2R‐R"/>
    <m/>
    <n v="174.3"/>
    <n v="174.41"/>
    <x v="26"/>
    <m/>
    <d v="2021-06-24T00:00:00"/>
    <s v="0/16"/>
    <m/>
    <m/>
    <m/>
    <m/>
    <s v="50 mm PA16"/>
  </r>
  <r>
    <s v="Gebr. van der Lee"/>
    <x v="9"/>
    <m/>
    <n v="28"/>
    <s v="1HRR"/>
    <m/>
    <n v="174.3"/>
    <n v="174.41"/>
    <s v="1I‐R"/>
    <m/>
    <n v="174.3"/>
    <n v="174.41"/>
    <x v="26"/>
    <m/>
    <d v="2021-06-24T00:00:00"/>
    <s v="0/16"/>
    <m/>
    <m/>
    <m/>
    <m/>
    <s v="50 mm PA16"/>
  </r>
  <r>
    <s v="Gebr. van der Lee"/>
    <x v="9"/>
    <m/>
    <n v="28"/>
    <s v="1HRR"/>
    <m/>
    <n v="174.46"/>
    <n v="174.6"/>
    <s v="2R‐R"/>
    <m/>
    <n v="174.46"/>
    <n v="174.6"/>
    <x v="26"/>
    <m/>
    <d v="2021-06-24T00:00:00"/>
    <s v="0/16"/>
    <m/>
    <m/>
    <m/>
    <m/>
    <s v="50 mm PA16"/>
  </r>
  <r>
    <s v="Gebr. van der Lee"/>
    <x v="9"/>
    <m/>
    <n v="28"/>
    <s v="1HRR"/>
    <m/>
    <n v="174.46"/>
    <n v="174.6"/>
    <s v="1I‐R"/>
    <m/>
    <n v="174.46"/>
    <n v="174.6"/>
    <x v="26"/>
    <m/>
    <d v="2021-06-24T00:00:00"/>
    <s v="0/16"/>
    <m/>
    <m/>
    <m/>
    <m/>
    <s v="50 mm PA16"/>
  </r>
  <r>
    <s v="Gebr. van der Lee"/>
    <x v="9"/>
    <m/>
    <n v="28"/>
    <s v="1HRR"/>
    <m/>
    <n v="176.7"/>
    <n v="176.8"/>
    <s v="1R‐R"/>
    <m/>
    <n v="176.7"/>
    <n v="176.8"/>
    <x v="26"/>
    <m/>
    <d v="2021-04-16T00:00:00"/>
    <s v="0/16"/>
    <m/>
    <m/>
    <m/>
    <m/>
    <s v="50 mm PA16"/>
  </r>
  <r>
    <s v="Gebr. van der Lee"/>
    <x v="9"/>
    <m/>
    <n v="28"/>
    <s v="1HRR"/>
    <m/>
    <n v="176.7"/>
    <n v="176.8"/>
    <s v="2R‐R"/>
    <m/>
    <n v="176.7"/>
    <n v="176.8"/>
    <x v="6"/>
    <m/>
    <d v="2021-11-04T00:00:00"/>
    <m/>
    <m/>
    <m/>
    <m/>
    <m/>
    <s v="Opfrissen markering kantstreep"/>
  </r>
  <r>
    <s v="Gebr. van der Lee"/>
    <x v="9"/>
    <m/>
    <n v="28"/>
    <s v="1HRR"/>
    <m/>
    <n v="177.4"/>
    <n v="177.9"/>
    <s v="2R‐R"/>
    <m/>
    <n v="177.4"/>
    <n v="177.9"/>
    <x v="26"/>
    <m/>
    <d v="2021-06-22T00:00:00"/>
    <s v="0/16"/>
    <m/>
    <m/>
    <m/>
    <m/>
    <s v="50 mm PA16"/>
  </r>
  <r>
    <s v="Gebr. van der Lee"/>
    <x v="9"/>
    <m/>
    <n v="28"/>
    <s v="1HRR"/>
    <m/>
    <n v="181.3"/>
    <n v="181.9"/>
    <s v="2R‐R"/>
    <m/>
    <n v="181.3"/>
    <n v="181.9"/>
    <x v="26"/>
    <m/>
    <d v="2021-04-15T00:00:00"/>
    <s v="0/16"/>
    <m/>
    <m/>
    <m/>
    <m/>
    <s v="50 mm PA16"/>
  </r>
  <r>
    <s v="Gebr. van der Lee"/>
    <x v="9"/>
    <m/>
    <n v="28"/>
    <s v="1HRR"/>
    <m/>
    <n v="184.4"/>
    <n v="184.5"/>
    <s v="2R‐R"/>
    <m/>
    <n v="184.4"/>
    <n v="184.5"/>
    <x v="26"/>
    <m/>
    <d v="2021-06-24T00:00:00"/>
    <s v="0/16"/>
    <m/>
    <m/>
    <m/>
    <m/>
    <s v="50 mm PA16"/>
  </r>
  <r>
    <s v="Gebr. van der Lee"/>
    <x v="9"/>
    <m/>
    <n v="28"/>
    <s v="1HRR"/>
    <m/>
    <n v="185.4"/>
    <n v="185.65"/>
    <s v="1U‐R"/>
    <m/>
    <n v="185.4"/>
    <n v="185.65"/>
    <x v="26"/>
    <m/>
    <d v="2021-06-24T00:00:00"/>
    <s v="0/16"/>
    <m/>
    <m/>
    <m/>
    <m/>
    <s v="50 mm PA16"/>
  </r>
  <r>
    <s v="Gebr. van der Lee"/>
    <x v="9"/>
    <m/>
    <n v="28"/>
    <s v="1HRR"/>
    <m/>
    <n v="185.62"/>
    <s v="‐"/>
    <s v="1U‐R"/>
    <m/>
    <n v="185.62"/>
    <n v="185.62"/>
    <x v="6"/>
    <m/>
    <d v="2021-06-28T00:00:00"/>
    <m/>
    <m/>
    <m/>
    <m/>
    <m/>
    <s v="1 paar lussen"/>
  </r>
  <r>
    <s v="Gebr. van der Lee"/>
    <x v="9"/>
    <m/>
    <n v="28"/>
    <s v="1HRR"/>
    <m/>
    <n v="185.9"/>
    <n v="186.1"/>
    <s v="1I‐R"/>
    <m/>
    <n v="185.9"/>
    <n v="186.1"/>
    <x v="26"/>
    <m/>
    <d v="2021-06-24T00:00:00"/>
    <s v="0/16"/>
    <m/>
    <m/>
    <m/>
    <m/>
    <s v="50 mm PA16"/>
  </r>
  <r>
    <s v="Gebr. van der Lee"/>
    <x v="9"/>
    <m/>
    <n v="28"/>
    <s v="1HRR"/>
    <m/>
    <n v="161.1"/>
    <n v="161.30000000000001"/>
    <s v="1R‐R"/>
    <m/>
    <n v="161.1"/>
    <n v="161.30000000000001"/>
    <x v="26"/>
    <m/>
    <d v="2021-09-24T00:00:00"/>
    <s v="0/16"/>
    <m/>
    <m/>
    <m/>
    <m/>
    <s v="50 mm PA16"/>
  </r>
  <r>
    <s v="Gebr. van der Lee"/>
    <x v="9"/>
    <m/>
    <n v="28"/>
    <s v="1HRR"/>
    <m/>
    <n v="180.5"/>
    <n v="180.7"/>
    <s v="2R‐R"/>
    <m/>
    <n v="180.5"/>
    <n v="180.7"/>
    <x v="26"/>
    <m/>
    <d v="2021-04-15T00:00:00"/>
    <s v="0/16"/>
    <m/>
    <m/>
    <m/>
    <m/>
    <s v="50 mm PA16"/>
  </r>
  <r>
    <s v="Gebr. van der Lee"/>
    <x v="9"/>
    <m/>
    <n v="28"/>
    <s v="1HRR"/>
    <m/>
    <n v="180.8"/>
    <n v="180.9"/>
    <s v="2R‐R"/>
    <m/>
    <n v="180.8"/>
    <n v="180.9"/>
    <x v="26"/>
    <m/>
    <d v="2021-04-15T00:00:00"/>
    <s v="0/16"/>
    <m/>
    <m/>
    <m/>
    <m/>
    <s v="50 mm PA16"/>
  </r>
  <r>
    <s v="Gebr. van der Lee"/>
    <x v="9"/>
    <m/>
    <n v="28"/>
    <s v="1HRR"/>
    <m/>
    <n v="182.2"/>
    <n v="182.4"/>
    <s v="2R‐R"/>
    <m/>
    <n v="182.2"/>
    <n v="182.4"/>
    <x v="26"/>
    <m/>
    <d v="2021-04-15T00:00:00"/>
    <s v="0/16"/>
    <m/>
    <m/>
    <m/>
    <m/>
    <s v="50 mm PA16"/>
  </r>
  <r>
    <s v="Gebr. van der Lee"/>
    <x v="9"/>
    <m/>
    <n v="28"/>
    <s v="1HRR"/>
    <m/>
    <n v="182.2"/>
    <n v="182.4"/>
    <s v="2R‐R"/>
    <m/>
    <n v="182.2"/>
    <n v="182.4"/>
    <x v="6"/>
    <m/>
    <d v="2021-06-29T00:00:00"/>
    <m/>
    <m/>
    <m/>
    <m/>
    <m/>
    <s v="Sealen voor en na het vak, vluchtstrook kant"/>
  </r>
  <r>
    <s v="Gebr. van der Lee"/>
    <x v="9"/>
    <m/>
    <n v="28"/>
    <s v="1HRR"/>
    <m/>
    <n v="182.5"/>
    <n v="182.8"/>
    <s v="2R‐R"/>
    <m/>
    <n v="182.5"/>
    <n v="182.8"/>
    <x v="26"/>
    <m/>
    <d v="2021-04-15T00:00:00"/>
    <s v="0/16"/>
    <m/>
    <m/>
    <m/>
    <m/>
    <s v="50 mm PA16"/>
  </r>
  <r>
    <s v="Gebr. van der Lee"/>
    <x v="9"/>
    <m/>
    <n v="28"/>
    <s v="1HRR"/>
    <m/>
    <n v="182.5"/>
    <n v="182.8"/>
    <s v="2R‐R"/>
    <m/>
    <n v="182.5"/>
    <n v="182.8"/>
    <x v="6"/>
    <m/>
    <d v="2021-06-29T00:00:00"/>
    <m/>
    <m/>
    <m/>
    <m/>
    <m/>
    <s v="Sealen voor en na het vak, vluchtstrook kant"/>
  </r>
  <r>
    <s v="Gebr. van der Lee"/>
    <x v="9"/>
    <m/>
    <n v="28"/>
    <s v="1HRR"/>
    <m/>
    <n v="183"/>
    <n v="183.1"/>
    <s v="2R‐R"/>
    <m/>
    <n v="183"/>
    <n v="183.1"/>
    <x v="26"/>
    <m/>
    <d v="2021-04-15T00:00:00"/>
    <s v="0/16"/>
    <m/>
    <m/>
    <m/>
    <m/>
    <s v="50 mm PA16"/>
  </r>
  <r>
    <s v="Gebr. van der Lee"/>
    <x v="9"/>
    <m/>
    <n v="28"/>
    <s v="1HRR"/>
    <m/>
    <n v="183"/>
    <n v="183.1"/>
    <s v="2R‐R"/>
    <m/>
    <n v="183"/>
    <n v="183.1"/>
    <x v="6"/>
    <m/>
    <d v="2021-06-29T00:00:00"/>
    <m/>
    <m/>
    <m/>
    <m/>
    <m/>
    <s v="Sealen voor en na het vak, vluchtstrook kant"/>
  </r>
  <r>
    <s v="Gebr. van der Lee"/>
    <x v="9"/>
    <m/>
    <n v="28"/>
    <s v="1HRR"/>
    <m/>
    <n v="184.7"/>
    <n v="184.8"/>
    <s v="2R‐R"/>
    <m/>
    <n v="184.7"/>
    <n v="184.8"/>
    <x v="26"/>
    <m/>
    <d v="2021-06-24T00:00:00"/>
    <s v="0/16"/>
    <m/>
    <m/>
    <m/>
    <m/>
    <s v="50 mm PA16"/>
  </r>
  <r>
    <s v="Gebr. van der Lee"/>
    <x v="9"/>
    <m/>
    <n v="28"/>
    <s v="1HRR"/>
    <m/>
    <n v="185"/>
    <n v="185.3"/>
    <s v="2R‐R"/>
    <m/>
    <n v="185"/>
    <n v="185.3"/>
    <x v="26"/>
    <m/>
    <d v="2021-06-24T00:00:00"/>
    <s v="0/16"/>
    <m/>
    <m/>
    <m/>
    <m/>
    <s v="50 mm PA16"/>
  </r>
  <r>
    <s v="Gebr. van der Lee"/>
    <x v="9"/>
    <m/>
    <n v="28"/>
    <s v="1HRR"/>
    <m/>
    <n v="186.9"/>
    <n v="187.1"/>
    <s v="2R‐R"/>
    <m/>
    <n v="186.9"/>
    <n v="187.1"/>
    <x v="26"/>
    <m/>
    <d v="2021-04-22T00:00:00"/>
    <s v="0/16"/>
    <m/>
    <m/>
    <m/>
    <m/>
    <s v="50 mm PA16"/>
  </r>
  <r>
    <s v="Gebr. van der Lee"/>
    <x v="9"/>
    <m/>
    <n v="7"/>
    <s v="0VW"/>
    <s v="d"/>
    <n v="193.18"/>
    <n v="193.23"/>
    <m/>
    <s v="ALLE"/>
    <n v="193.18"/>
    <n v="193.23"/>
    <x v="4"/>
    <m/>
    <d v="2021-06-08T00:00:00"/>
    <m/>
    <m/>
    <m/>
    <m/>
    <m/>
    <s v="85 mm Ac16Bind/SMA"/>
  </r>
  <r>
    <s v="Gebr. van der Lee"/>
    <x v="9"/>
    <m/>
    <n v="7"/>
    <s v="1HRL"/>
    <m/>
    <n v="191.35"/>
    <n v="191.1"/>
    <s v="1U‐L"/>
    <m/>
    <n v="191.1"/>
    <n v="191.35"/>
    <x v="26"/>
    <m/>
    <d v="2021-06-09T00:00:00"/>
    <s v="0/16"/>
    <m/>
    <m/>
    <m/>
    <m/>
    <s v="50 mm PA16"/>
  </r>
  <r>
    <s v="Gebr. van der Lee"/>
    <x v="9"/>
    <m/>
    <n v="7"/>
    <s v="1HRL"/>
    <m/>
    <n v="190.66"/>
    <n v="190.63499999999999"/>
    <s v="2R‐L"/>
    <m/>
    <n v="190.63499999999999"/>
    <n v="190.66"/>
    <x v="26"/>
    <m/>
    <d v="2021-06-09T00:00:00"/>
    <s v="0/16"/>
    <m/>
    <m/>
    <m/>
    <m/>
    <s v="50 mm PA16"/>
  </r>
  <r>
    <s v="Gebr. van der Lee"/>
    <x v="9"/>
    <m/>
    <n v="7"/>
    <s v="1HRL"/>
    <m/>
    <n v="190.4"/>
    <n v="190.375"/>
    <s v="2R‐L"/>
    <m/>
    <n v="190.375"/>
    <n v="190.4"/>
    <x v="26"/>
    <m/>
    <d v="2021-06-09T00:00:00"/>
    <s v="0/16"/>
    <m/>
    <m/>
    <m/>
    <m/>
    <s v="50 mm PA16"/>
  </r>
  <r>
    <s v="Gebr. van der Lee"/>
    <x v="9"/>
    <m/>
    <n v="7"/>
    <s v="1HRL"/>
    <m/>
    <n v="189.74"/>
    <n v="189.715"/>
    <s v="2R‐L"/>
    <m/>
    <n v="189.715"/>
    <n v="189.74"/>
    <x v="26"/>
    <m/>
    <d v="2021-06-09T00:00:00"/>
    <s v="0/16"/>
    <m/>
    <m/>
    <m/>
    <m/>
    <s v="50 mm PA16"/>
  </r>
  <r>
    <s v="Gebr. van der Lee"/>
    <x v="9"/>
    <m/>
    <n v="7"/>
    <s v="1HRL"/>
    <m/>
    <n v="183.47499999999999"/>
    <n v="183.375"/>
    <s v="1I‐L"/>
    <m/>
    <n v="183.375"/>
    <n v="183.47499999999999"/>
    <x v="26"/>
    <m/>
    <d v="2021-06-07T00:00:00"/>
    <s v="0/16"/>
    <m/>
    <m/>
    <m/>
    <m/>
    <s v="50 mm PA16"/>
  </r>
  <r>
    <s v="Gebr. van der Lee"/>
    <x v="9"/>
    <m/>
    <n v="7"/>
    <s v="1HRL"/>
    <m/>
    <n v="180.07499999999999"/>
    <n v="179.375"/>
    <s v="1W‐L"/>
    <m/>
    <n v="179.375"/>
    <n v="180.07499999999999"/>
    <x v="26"/>
    <m/>
    <d v="2021-06-03T00:00:00"/>
    <s v="0/16"/>
    <m/>
    <m/>
    <m/>
    <m/>
    <s v="50 mm PA16"/>
  </r>
  <r>
    <s v="Gebr. van der Lee"/>
    <x v="9"/>
    <m/>
    <n v="7"/>
    <s v="1HRL"/>
    <m/>
    <n v="179.05"/>
    <n v="178.9"/>
    <s v="1R‐L"/>
    <m/>
    <n v="178.9"/>
    <n v="179.05"/>
    <x v="26"/>
    <m/>
    <d v="2021-06-07T00:00:00"/>
    <s v="0/16"/>
    <m/>
    <m/>
    <m/>
    <m/>
    <s v="50 mm PA16"/>
  </r>
  <r>
    <s v="Gebr. van der Lee"/>
    <x v="9"/>
    <m/>
    <n v="7"/>
    <s v="1HRL"/>
    <m/>
    <n v="172.05"/>
    <n v="172.01"/>
    <s v="1R‐L"/>
    <m/>
    <n v="172.01"/>
    <n v="172.05"/>
    <x v="26"/>
    <m/>
    <d v="2021-06-03T00:00:00"/>
    <s v="0/16"/>
    <m/>
    <m/>
    <m/>
    <m/>
    <s v="50 mm PA16"/>
  </r>
  <r>
    <s v="Gebr. van der Lee"/>
    <x v="9"/>
    <m/>
    <n v="7"/>
    <s v="1HRL"/>
    <m/>
    <n v="170.5"/>
    <n v="170.6"/>
    <s v="1R‐L"/>
    <m/>
    <n v="170.5"/>
    <n v="170.6"/>
    <x v="26"/>
    <m/>
    <d v="2021-06-08T00:00:00"/>
    <s v="0/16"/>
    <m/>
    <m/>
    <m/>
    <m/>
    <s v="50 mm PA16"/>
  </r>
  <r>
    <s v="Gebr. van der Lee"/>
    <x v="9"/>
    <m/>
    <n v="7"/>
    <s v="1HRL"/>
    <m/>
    <n v="170.5"/>
    <n v="170.6"/>
    <s v="2R‐L"/>
    <m/>
    <n v="170.5"/>
    <n v="170.6"/>
    <x v="26"/>
    <m/>
    <d v="2021-06-07T00:00:00"/>
    <s v="0/16"/>
    <m/>
    <m/>
    <m/>
    <m/>
    <s v="50 mm PA16"/>
  </r>
  <r>
    <s v="Gebr. van der Lee"/>
    <x v="9"/>
    <m/>
    <n v="7"/>
    <s v="1HRR"/>
    <m/>
    <n v="180.59"/>
    <n v="180.61500000000001"/>
    <s v="2R‐R"/>
    <m/>
    <n v="180.59"/>
    <n v="180.61500000000001"/>
    <x v="26"/>
    <m/>
    <d v="2021-06-09T00:00:00"/>
    <s v="0/16"/>
    <m/>
    <m/>
    <m/>
    <m/>
    <s v="50 mm PA16"/>
  </r>
  <r>
    <s v="Gebr. van der Lee"/>
    <x v="9"/>
    <m/>
    <n v="7"/>
    <s v="1HRR"/>
    <m/>
    <n v="180.6"/>
    <s v="‐"/>
    <s v="2R‐R"/>
    <m/>
    <n v="180.6"/>
    <n v="180.6"/>
    <x v="6"/>
    <m/>
    <d v="2021-06-10T00:00:00"/>
    <m/>
    <m/>
    <m/>
    <m/>
    <m/>
    <s v="Bitumineuze voegovergang"/>
  </r>
  <r>
    <s v="Gebr. van der Lee"/>
    <x v="9"/>
    <m/>
    <n v="7"/>
    <s v="1HRR"/>
    <m/>
    <n v="184.45"/>
    <n v="184.6"/>
    <s v="1I‐R"/>
    <m/>
    <n v="184.45"/>
    <n v="184.6"/>
    <x v="26"/>
    <m/>
    <d v="2021-06-03T00:00:00"/>
    <s v="0/16"/>
    <m/>
    <m/>
    <m/>
    <m/>
    <s v="50 mm PA16"/>
  </r>
  <r>
    <s v="Gebr. van der Lee"/>
    <x v="9"/>
    <m/>
    <n v="7"/>
    <s v="1HRR"/>
    <m/>
    <n v="222.2"/>
    <n v="222.3"/>
    <s v="1I‐R"/>
    <m/>
    <n v="222.2"/>
    <n v="222.3"/>
    <x v="26"/>
    <m/>
    <d v="2021-05-14T00:00:00"/>
    <s v="0/16"/>
    <m/>
    <m/>
    <m/>
    <m/>
    <s v="50 mm PA16"/>
  </r>
  <r>
    <s v="Gebr. van der Lee"/>
    <x v="9"/>
    <m/>
    <n v="7"/>
    <s v="1HRR"/>
    <m/>
    <n v="227.6"/>
    <n v="228.75"/>
    <s v="2R‐R"/>
    <m/>
    <n v="227.6"/>
    <n v="228.75"/>
    <x v="26"/>
    <m/>
    <d v="2021-05-18T00:00:00"/>
    <s v="0/16"/>
    <m/>
    <m/>
    <m/>
    <m/>
    <s v="50 mm PA16"/>
  </r>
  <r>
    <s v="Gebr. van der Lee"/>
    <x v="9"/>
    <m/>
    <n v="7"/>
    <s v="1HRR"/>
    <m/>
    <n v="228.27"/>
    <s v="‐"/>
    <s v="2R‐R"/>
    <m/>
    <n v="228.27"/>
    <n v="228.27"/>
    <x v="6"/>
    <m/>
    <d v="2021-06-04T00:00:00"/>
    <m/>
    <m/>
    <m/>
    <m/>
    <m/>
    <s v="Bitumineuze voegovergang"/>
  </r>
  <r>
    <s v="Gebr. van der Lee"/>
    <x v="9"/>
    <m/>
    <n v="7"/>
    <s v="1HRR"/>
    <m/>
    <n v="229"/>
    <n v="229.28"/>
    <s v="1U‐R"/>
    <m/>
    <n v="229"/>
    <n v="229.28"/>
    <x v="26"/>
    <m/>
    <d v="2021-05-18T00:00:00"/>
    <s v="0/16"/>
    <m/>
    <m/>
    <m/>
    <m/>
    <s v="50 mm PA16"/>
  </r>
  <r>
    <s v="Gebr. van der Lee"/>
    <x v="9"/>
    <m/>
    <n v="7"/>
    <s v="1HRR"/>
    <m/>
    <n v="229.18"/>
    <s v="‐"/>
    <m/>
    <s v="ALLE"/>
    <n v="229.18"/>
    <n v="229.18"/>
    <x v="6"/>
    <m/>
    <d v="2021-09-04T00:00:00"/>
    <m/>
    <m/>
    <m/>
    <m/>
    <m/>
    <s v="3 paar lussen"/>
  </r>
  <r>
    <s v="Gebr. van der Lee"/>
    <x v="9"/>
    <m/>
    <n v="7"/>
    <s v="1HRR"/>
    <m/>
    <n v="229.25"/>
    <n v="229.7"/>
    <s v="2R‐R"/>
    <m/>
    <n v="229.25"/>
    <n v="229.7"/>
    <x v="26"/>
    <m/>
    <d v="2021-07-21T00:00:00"/>
    <s v="0/16"/>
    <m/>
    <m/>
    <m/>
    <m/>
    <s v="50 mm PA16"/>
  </r>
  <r>
    <s v="Gebr. van der Lee"/>
    <x v="9"/>
    <m/>
    <n v="7"/>
    <s v="1HRR"/>
    <m/>
    <n v="229.53"/>
    <s v="‐"/>
    <s v="2R‐R"/>
    <m/>
    <n v="229.53"/>
    <n v="229.53"/>
    <x v="6"/>
    <m/>
    <d v="2021-09-04T00:00:00"/>
    <m/>
    <m/>
    <m/>
    <m/>
    <m/>
    <s v="1 paar lussen"/>
  </r>
  <r>
    <s v="Gebr. van der Lee"/>
    <x v="9"/>
    <m/>
    <n v="7"/>
    <s v="1HRR"/>
    <m/>
    <n v="229.9"/>
    <n v="230.1"/>
    <s v="1I‐R"/>
    <m/>
    <n v="229.9"/>
    <n v="230.1"/>
    <x v="26"/>
    <m/>
    <d v="2021-11-04T00:00:00"/>
    <s v="0/16"/>
    <m/>
    <m/>
    <m/>
    <m/>
    <s v="50 mm PA16"/>
  </r>
  <r>
    <s v="Gebr. van der Lee"/>
    <x v="9"/>
    <m/>
    <n v="7"/>
    <s v="1HRR"/>
    <m/>
    <n v="230.3"/>
    <n v="230.98"/>
    <s v="2R‐R"/>
    <m/>
    <n v="230.3"/>
    <n v="230.98"/>
    <x v="26"/>
    <m/>
    <d v="2021-11-04T00:00:00"/>
    <s v="0/16"/>
    <m/>
    <m/>
    <m/>
    <m/>
    <s v="50 mm PA16"/>
  </r>
  <r>
    <s v="Gebr. van der Lee"/>
    <x v="9"/>
    <m/>
    <n v="7"/>
    <s v="1HRR"/>
    <m/>
    <n v="231.1"/>
    <n v="231.7"/>
    <s v="2R‐R"/>
    <m/>
    <n v="231.1"/>
    <n v="231.7"/>
    <x v="26"/>
    <m/>
    <d v="2021-11-04T00:00:00"/>
    <s v="0/16"/>
    <m/>
    <m/>
    <m/>
    <m/>
    <s v="50 mm PA16"/>
  </r>
  <r>
    <s v="Gebr. van der Lee"/>
    <x v="9"/>
    <m/>
    <n v="7"/>
    <s v="1HRR"/>
    <m/>
    <n v="231.7"/>
    <n v="232"/>
    <s v="1U‐R"/>
    <m/>
    <n v="231.7"/>
    <n v="232"/>
    <x v="26"/>
    <m/>
    <d v="2021-11-04T00:00:00"/>
    <s v="0/16"/>
    <m/>
    <m/>
    <m/>
    <m/>
    <s v="50 mm PA16"/>
  </r>
  <r>
    <s v="Gebr. van der Lee"/>
    <x v="9"/>
    <m/>
    <n v="7"/>
    <s v="1HRR"/>
    <m/>
    <n v="232"/>
    <n v="232.1"/>
    <s v="2R‐R"/>
    <m/>
    <n v="232"/>
    <n v="232.1"/>
    <x v="26"/>
    <m/>
    <d v="2021-11-04T00:00:00"/>
    <s v="0/16"/>
    <m/>
    <m/>
    <m/>
    <m/>
    <s v="50 mm PA16"/>
  </r>
  <r>
    <s v="Gebr. van der Lee"/>
    <x v="9"/>
    <m/>
    <n v="7"/>
    <s v="1HRR"/>
    <m/>
    <n v="244.3"/>
    <n v="245.3"/>
    <s v="2R‐R"/>
    <m/>
    <n v="244.3"/>
    <n v="245.3"/>
    <x v="26"/>
    <m/>
    <d v="2021-04-13T00:00:00"/>
    <s v="0/16"/>
    <m/>
    <m/>
    <m/>
    <m/>
    <s v="50 mm PA16"/>
  </r>
  <r>
    <s v="Gebr. van der Lee"/>
    <x v="9"/>
    <m/>
    <n v="7"/>
    <s v="1HRR"/>
    <m/>
    <n v="245.45"/>
    <n v="247.6"/>
    <s v="2R‐R"/>
    <m/>
    <n v="245.45"/>
    <n v="247.6"/>
    <x v="26"/>
    <m/>
    <d v="2021-05-11T00:00:00"/>
    <s v="0/16"/>
    <m/>
    <m/>
    <m/>
    <m/>
    <s v="50 mm PA16"/>
  </r>
  <r>
    <s v="Gebr. van der Lee"/>
    <x v="9"/>
    <m/>
    <n v="7"/>
    <s v="1HRR"/>
    <m/>
    <n v="246.52500000000001"/>
    <s v="‐"/>
    <s v="2R‐R"/>
    <m/>
    <n v="246.52500000000001"/>
    <n v="246.52500000000001"/>
    <x v="6"/>
    <m/>
    <d v="2021-05-17T00:00:00"/>
    <m/>
    <m/>
    <m/>
    <m/>
    <m/>
    <s v="1 paar lussen"/>
  </r>
  <r>
    <s v="Gebr. van der Lee"/>
    <x v="9"/>
    <m/>
    <n v="7"/>
    <s v="1HRR"/>
    <m/>
    <n v="246.5"/>
    <s v="‐"/>
    <s v="2R‐R"/>
    <m/>
    <n v="246.5"/>
    <n v="246.5"/>
    <x v="6"/>
    <m/>
    <d v="2021-05-17T00:00:00"/>
    <m/>
    <m/>
    <m/>
    <m/>
    <m/>
    <s v="Schijnvoegen"/>
  </r>
  <r>
    <s v="Gebr. van der Lee"/>
    <x v="9"/>
    <m/>
    <n v="7"/>
    <s v="1HRR"/>
    <m/>
    <n v="249.8"/>
    <n v="250.1"/>
    <s v="2R‐R"/>
    <m/>
    <n v="249.8"/>
    <n v="250.1"/>
    <x v="26"/>
    <m/>
    <d v="2021-05-14T00:00:00"/>
    <s v="0/16"/>
    <m/>
    <m/>
    <m/>
    <m/>
    <s v="50 mm PA16"/>
  </r>
  <r>
    <s v="Gebr. van der Lee"/>
    <x v="9"/>
    <m/>
    <n v="7"/>
    <s v="1HRR"/>
    <m/>
    <n v="250.2"/>
    <n v="250.3"/>
    <s v="2R‐R"/>
    <m/>
    <n v="250.2"/>
    <n v="250.3"/>
    <x v="26"/>
    <m/>
    <d v="2021-05-14T00:00:00"/>
    <s v="0/16"/>
    <m/>
    <m/>
    <m/>
    <m/>
    <s v="50 mm PA16"/>
  </r>
  <r>
    <s v="Gebr. van der Lee"/>
    <x v="9"/>
    <m/>
    <n v="7"/>
    <s v="1HRL"/>
    <m/>
    <n v="246.05"/>
    <n v="245.58"/>
    <s v="1I‐L"/>
    <m/>
    <n v="245.58"/>
    <n v="246.05"/>
    <x v="26"/>
    <m/>
    <d v="2021-05-17T00:00:00"/>
    <s v="0/16"/>
    <m/>
    <m/>
    <m/>
    <m/>
    <s v="50 mm PA16"/>
  </r>
  <r>
    <s v="Gebr. van der Lee"/>
    <x v="9"/>
    <m/>
    <n v="7"/>
    <s v="1HRL"/>
    <m/>
    <n v="238.05"/>
    <n v="237.4"/>
    <s v="2R‐L"/>
    <m/>
    <n v="237.4"/>
    <n v="238.05"/>
    <x v="26"/>
    <m/>
    <d v="2021-04-13T00:00:00"/>
    <s v="0/16"/>
    <m/>
    <m/>
    <m/>
    <m/>
    <s v="50 mm PA16"/>
  </r>
  <r>
    <s v="Gebr. van der Lee"/>
    <x v="9"/>
    <m/>
    <n v="7"/>
    <s v="1HRL"/>
    <m/>
    <n v="231.1"/>
    <n v="229.9"/>
    <s v="2R‐L"/>
    <m/>
    <n v="229.9"/>
    <n v="231.1"/>
    <x v="26"/>
    <m/>
    <d v="2021-06-03T00:00:00"/>
    <s v="0/16"/>
    <m/>
    <m/>
    <m/>
    <m/>
    <s v="50 mm PA16"/>
  </r>
  <r>
    <s v="Gebr. van der Lee"/>
    <x v="9"/>
    <m/>
    <n v="7"/>
    <s v="1HRL"/>
    <m/>
    <n v="222.5"/>
    <n v="221.2"/>
    <s v="2R‐L"/>
    <m/>
    <n v="221.2"/>
    <n v="222.5"/>
    <x v="26"/>
    <m/>
    <d v="2021-05-25T00:00:00"/>
    <s v="0/16"/>
    <m/>
    <m/>
    <m/>
    <m/>
    <s v="50 mm PA16"/>
  </r>
  <r>
    <s v="Gebr. van der Lee"/>
    <x v="9"/>
    <m/>
    <n v="7"/>
    <s v="1HRL"/>
    <m/>
    <n v="222.01"/>
    <s v="‐"/>
    <s v="1R‐L/2R‐L"/>
    <m/>
    <n v="222.01"/>
    <n v="222.01"/>
    <x v="6"/>
    <m/>
    <d v="2021-09-04T00:00:00"/>
    <m/>
    <m/>
    <m/>
    <m/>
    <m/>
    <s v="2 paar lussen"/>
  </r>
  <r>
    <s v="Gebr. van der Lee"/>
    <x v="9"/>
    <m/>
    <n v="7"/>
    <s v="1HRL"/>
    <m/>
    <n v="222.5"/>
    <n v="222.15"/>
    <s v="1U‐L"/>
    <m/>
    <n v="222.15"/>
    <n v="222.5"/>
    <x v="26"/>
    <m/>
    <d v="2021-05-26T00:00:00"/>
    <s v="0/16"/>
    <m/>
    <m/>
    <m/>
    <m/>
    <s v="50 mm PA16"/>
  </r>
  <r>
    <s v="Gebr. van der Lee"/>
    <x v="9"/>
    <m/>
    <n v="7"/>
    <s v="1HRL"/>
    <m/>
    <n v="220.5"/>
    <n v="219.9"/>
    <s v="2R‐L"/>
    <m/>
    <n v="219.9"/>
    <n v="220.5"/>
    <x v="26"/>
    <m/>
    <d v="2021-07-21T00:00:00"/>
    <s v="0/16"/>
    <m/>
    <m/>
    <m/>
    <m/>
    <s v="50 mm PA16"/>
  </r>
  <r>
    <s v="Gebr. van der Lee"/>
    <x v="9"/>
    <m/>
    <n v="7"/>
    <s v="1HRL"/>
    <m/>
    <n v="216.1"/>
    <n v="215.2"/>
    <s v="2R‐L"/>
    <m/>
    <n v="215.2"/>
    <n v="216.1"/>
    <x v="26"/>
    <m/>
    <d v="2021-06-03T00:00:00"/>
    <s v="0/16"/>
    <m/>
    <m/>
    <m/>
    <m/>
    <s v="50 mm PA16"/>
  </r>
  <r>
    <s v="Gebr. van der Lee"/>
    <x v="9"/>
    <m/>
    <n v="7"/>
    <s v="1HRL"/>
    <m/>
    <n v="215.2"/>
    <s v="‐"/>
    <m/>
    <s v="ALLE"/>
    <n v="215.2"/>
    <n v="215.2"/>
    <x v="6"/>
    <m/>
    <d v="2021-06-04T00:00:00"/>
    <m/>
    <m/>
    <m/>
    <m/>
    <m/>
    <s v="GMS"/>
  </r>
  <r>
    <s v="Gebr. van der Lee"/>
    <x v="9"/>
    <m/>
    <n v="7"/>
    <s v="1HRL"/>
    <m/>
    <n v="213.55"/>
    <n v="213.25"/>
    <s v="1U‐L"/>
    <m/>
    <n v="213.25"/>
    <n v="213.55"/>
    <x v="26"/>
    <m/>
    <d v="2021-05-28T00:00:00"/>
    <s v="0/16"/>
    <m/>
    <m/>
    <m/>
    <m/>
    <s v="50 mm PA16"/>
  </r>
  <r>
    <s v="Gebr. van der Lee"/>
    <x v="9"/>
    <m/>
    <n v="7"/>
    <s v="1HRL"/>
    <m/>
    <n v="212.9"/>
    <n v="210.6"/>
    <s v="2R‐L"/>
    <m/>
    <n v="210.6"/>
    <n v="212.9"/>
    <x v="26"/>
    <m/>
    <d v="2021-06-01T00:00:00"/>
    <s v="0/16"/>
    <m/>
    <m/>
    <m/>
    <m/>
    <s v="50 mm PA16"/>
  </r>
  <r>
    <s v="Gebr. van der Lee"/>
    <x v="9"/>
    <m/>
    <n v="7"/>
    <s v="1HRL"/>
    <m/>
    <n v="212.8"/>
    <s v="‐"/>
    <s v="2R‐L"/>
    <m/>
    <n v="212.8"/>
    <n v="212.8"/>
    <x v="6"/>
    <m/>
    <d v="2021-10-04T00:00:00"/>
    <m/>
    <m/>
    <m/>
    <m/>
    <m/>
    <s v="Schijnvoegen"/>
  </r>
  <r>
    <s v="Gebr. van der Lee"/>
    <x v="9"/>
    <m/>
    <n v="7"/>
    <s v="1HRL"/>
    <m/>
    <n v="211.02"/>
    <n v="210.65"/>
    <s v="1I‐L"/>
    <m/>
    <n v="210.65"/>
    <n v="211.02"/>
    <x v="26"/>
    <m/>
    <d v="2021-06-01T00:00:00"/>
    <s v="0/16"/>
    <m/>
    <m/>
    <m/>
    <m/>
    <s v="50 mm PA16"/>
  </r>
  <r>
    <s v="Gebr. van der Lee"/>
    <x v="9"/>
    <m/>
    <n v="48"/>
    <s v="1HRL"/>
    <m/>
    <n v="111.6"/>
    <n v="111.24"/>
    <s v="1R‐L"/>
    <m/>
    <n v="111.24"/>
    <n v="111.6"/>
    <x v="46"/>
    <m/>
    <d v="2021-06-04T00:00:00"/>
    <m/>
    <m/>
    <m/>
    <m/>
    <m/>
    <s v="30 mm DGD"/>
  </r>
  <r>
    <s v="Gebr. van der Lee"/>
    <x v="9"/>
    <m/>
    <n v="48"/>
    <s v="1HRL"/>
    <m/>
    <n v="111.5"/>
    <n v="111.125"/>
    <s v="1R‐L"/>
    <m/>
    <n v="111.125"/>
    <n v="111.5"/>
    <x v="46"/>
    <m/>
    <d v="2021-06-04T00:00:00"/>
    <m/>
    <m/>
    <m/>
    <m/>
    <m/>
    <s v="30 mm DGD"/>
  </r>
  <r>
    <s v="Gebr. van der Lee"/>
    <x v="9"/>
    <m/>
    <n v="48"/>
    <s v="1HRR"/>
    <m/>
    <n v="108.25"/>
    <n v="108.3"/>
    <s v="1R‐R"/>
    <m/>
    <n v="108.25"/>
    <n v="108.3"/>
    <x v="4"/>
    <m/>
    <d v="2021-06-04T00:00:00"/>
    <m/>
    <m/>
    <m/>
    <m/>
    <m/>
    <s v="35 mm SMA"/>
  </r>
  <r>
    <s v="Gebr. van der Lee"/>
    <x v="9"/>
    <m/>
    <n v="48"/>
    <s v="1HRR"/>
    <m/>
    <n v="111.3"/>
    <n v="111.5"/>
    <s v="1R‐R"/>
    <m/>
    <n v="111.3"/>
    <n v="111.5"/>
    <x v="46"/>
    <m/>
    <d v="2021-06-04T00:00:00"/>
    <m/>
    <m/>
    <m/>
    <m/>
    <m/>
    <s v="30 mm DGD"/>
  </r>
  <r>
    <s v="Gebr. van der Lee"/>
    <x v="9"/>
    <m/>
    <n v="33"/>
    <s v="1HRR"/>
    <m/>
    <n v="60.8"/>
    <n v="60.9"/>
    <s v="1R‐R"/>
    <m/>
    <n v="60.8"/>
    <n v="60.9"/>
    <x v="4"/>
    <m/>
    <d v="2021-05-29T00:00:00"/>
    <m/>
    <m/>
    <m/>
    <m/>
    <m/>
    <s v="35 mm SMA"/>
  </r>
  <r>
    <s v="Gebr. van der Lee"/>
    <x v="9"/>
    <m/>
    <n v="33"/>
    <s v="1HRR"/>
    <m/>
    <n v="62.84"/>
    <n v="63.08"/>
    <s v="1R‐R"/>
    <m/>
    <n v="62.84"/>
    <n v="63.08"/>
    <x v="46"/>
    <m/>
    <d v="2021-05-29T00:00:00"/>
    <m/>
    <m/>
    <m/>
    <m/>
    <m/>
    <s v="30 mm Minifalt, t.p.v. scheuren verdiepte bak en asfaltwapening"/>
  </r>
  <r>
    <s v="Gebr. van der Lee"/>
    <x v="9"/>
    <m/>
    <n v="33"/>
    <s v="1HRR"/>
    <m/>
    <n v="63.8"/>
    <n v="64"/>
    <s v="1R‐R"/>
    <m/>
    <n v="63.8"/>
    <n v="64"/>
    <x v="46"/>
    <m/>
    <d v="2021-05-29T00:00:00"/>
    <m/>
    <m/>
    <m/>
    <m/>
    <m/>
    <s v="30 mm Minifalt"/>
  </r>
  <r>
    <s v="Gebr. van der Lee"/>
    <x v="9"/>
    <m/>
    <n v="33"/>
    <s v="1HRR"/>
    <m/>
    <n v="69.900000000000006"/>
    <n v="70"/>
    <s v="1R‐R"/>
    <m/>
    <n v="69.900000000000006"/>
    <n v="70"/>
    <x v="6"/>
    <m/>
    <d v="2021-07-30T00:00:00"/>
    <m/>
    <m/>
    <m/>
    <m/>
    <m/>
    <s v="80 mm AC16 Bind/DGD en asfaltwapening"/>
  </r>
  <r>
    <s v="Gebr. van der Lee"/>
    <x v="9"/>
    <m/>
    <n v="33"/>
    <s v="1HRR"/>
    <m/>
    <n v="72.974999999999994"/>
    <n v="73.099999999999994"/>
    <s v="1R‐R"/>
    <m/>
    <n v="72.974999999999994"/>
    <n v="73.099999999999994"/>
    <x v="46"/>
    <m/>
    <d v="2021-07-30T00:00:00"/>
    <m/>
    <m/>
    <m/>
    <m/>
    <m/>
    <s v="30 mm Minifalt"/>
  </r>
  <r>
    <s v="Gebr. van der Lee"/>
    <x v="9"/>
    <m/>
    <n v="33"/>
    <s v="1HRL"/>
    <m/>
    <n v="74.099999999999994"/>
    <n v="73.900000000000006"/>
    <s v="1R‐L"/>
    <m/>
    <n v="73.900000000000006"/>
    <n v="74.099999999999994"/>
    <x v="46"/>
    <m/>
    <d v="2021-07-30T00:00:00"/>
    <m/>
    <m/>
    <m/>
    <m/>
    <m/>
    <s v="30 mm Minifalt"/>
  </r>
  <r>
    <s v="Gebr. van der Lee"/>
    <x v="9"/>
    <m/>
    <n v="33"/>
    <s v="1HRL"/>
    <m/>
    <n v="70.98"/>
    <s v="T‐poot"/>
    <s v="1R‐L"/>
    <m/>
    <n v="70.98"/>
    <n v="70.98"/>
    <x v="4"/>
    <m/>
    <d v="2021-07-30T00:00:00"/>
    <m/>
    <m/>
    <m/>
    <m/>
    <m/>
    <s v="35 mm SMA"/>
  </r>
  <r>
    <s v="Gebr. van der Lee"/>
    <x v="9"/>
    <m/>
    <n v="33"/>
    <s v="1HRL"/>
    <m/>
    <n v="70.150000000000006"/>
    <n v="70.099999999999994"/>
    <s v="1R‐L"/>
    <m/>
    <n v="70.099999999999994"/>
    <n v="70.150000000000006"/>
    <x v="46"/>
    <m/>
    <d v="2021-07-30T00:00:00"/>
    <m/>
    <m/>
    <m/>
    <m/>
    <m/>
    <s v="30 mm Minifalt"/>
  </r>
  <r>
    <s v="Gebr. van der Lee"/>
    <x v="9"/>
    <m/>
    <n v="33"/>
    <s v="1HRL"/>
    <m/>
    <n v="69.900000000000006"/>
    <n v="69.7"/>
    <s v="1R‐L"/>
    <m/>
    <n v="69.7"/>
    <n v="69.900000000000006"/>
    <x v="6"/>
    <m/>
    <d v="2021-07-30T00:00:00"/>
    <m/>
    <m/>
    <m/>
    <m/>
    <m/>
    <s v="80 mm AC16 Bind/DGD en asfaltwapening"/>
  </r>
  <r>
    <s v="Gebr. van der Lee"/>
    <x v="9"/>
    <m/>
    <n v="33"/>
    <s v="1HRL"/>
    <m/>
    <n v="68.224999999999994"/>
    <n v="68.150000000000006"/>
    <s v="1R‐L"/>
    <m/>
    <n v="68.150000000000006"/>
    <n v="68.224999999999994"/>
    <x v="46"/>
    <m/>
    <d v="2021-05-29T00:00:00"/>
    <m/>
    <m/>
    <m/>
    <m/>
    <m/>
    <s v="30 mm Minifalt"/>
  </r>
  <r>
    <s v="Gebr. van der Lee"/>
    <x v="9"/>
    <m/>
    <n v="33"/>
    <s v="1HRL"/>
    <m/>
    <n v="68.209999999999994"/>
    <s v="‐"/>
    <s v="1R‐L"/>
    <m/>
    <n v="68.209999999999994"/>
    <n v="68.209999999999994"/>
    <x v="6"/>
    <m/>
    <d v="2021-05-29T00:00:00"/>
    <m/>
    <m/>
    <m/>
    <m/>
    <m/>
    <s v="Schijnvoegen"/>
  </r>
  <r>
    <s v="Gebr. van der Lee"/>
    <x v="9"/>
    <m/>
    <n v="33"/>
    <s v="1HRL"/>
    <m/>
    <n v="67.2"/>
    <n v="67.150000000000006"/>
    <s v="1R‐L"/>
    <m/>
    <n v="67.150000000000006"/>
    <n v="67.2"/>
    <x v="6"/>
    <m/>
    <d v="2021-05-29T00:00:00"/>
    <m/>
    <m/>
    <m/>
    <m/>
    <m/>
    <s v="80 mm AC16 Bind/DGD en asfaltwapening"/>
  </r>
  <r>
    <s v="Gebr. van der Lee"/>
    <x v="9"/>
    <m/>
    <n v="33"/>
    <s v="1HRL"/>
    <m/>
    <n v="60.4"/>
    <n v="60.2"/>
    <s v="1R‐L"/>
    <m/>
    <n v="60.2"/>
    <n v="60.4"/>
    <x v="46"/>
    <m/>
    <d v="2021-08-27T00:00:00"/>
    <m/>
    <m/>
    <m/>
    <m/>
    <m/>
    <s v="30 mm Minifalt"/>
  </r>
  <r>
    <s v="Gebr. van der Lee"/>
    <x v="9"/>
    <m/>
    <n v="33"/>
    <s v="1HRL"/>
    <m/>
    <n v="58.6"/>
    <n v="58.4"/>
    <s v="1R‐L"/>
    <m/>
    <n v="58.4"/>
    <n v="58.6"/>
    <x v="46"/>
    <m/>
    <d v="2021-08-27T00:00:00"/>
    <m/>
    <m/>
    <m/>
    <m/>
    <m/>
    <s v="30 mm Minifalt"/>
  </r>
  <r>
    <s v="Gebr. van der Lee"/>
    <x v="9"/>
    <m/>
    <n v="33"/>
    <s v="1HRL"/>
    <m/>
    <n v="50.2"/>
    <n v="50.174999999999997"/>
    <s v="1R‐L"/>
    <m/>
    <n v="50.174999999999997"/>
    <n v="50.2"/>
    <x v="4"/>
    <m/>
    <d v="2021-08-27T00:00:00"/>
    <m/>
    <m/>
    <m/>
    <m/>
    <m/>
    <s v="35 mm SMA"/>
  </r>
  <r>
    <s v="Dura-Vermeer/De Jong Zuurmond"/>
    <x v="9"/>
    <m/>
    <n v="7"/>
    <s v="1HRR"/>
    <m/>
    <n v="222.94"/>
    <n v="227.6"/>
    <m/>
    <s v="ALLE"/>
    <n v="222.94"/>
    <n v="227.6"/>
    <x v="9"/>
    <m/>
    <d v="2021-08-30T00:00:00"/>
    <s v="0/16"/>
    <m/>
    <m/>
    <m/>
    <m/>
    <m/>
  </r>
  <r>
    <s v="Dura-Vermeer/De Jong Zuurmond"/>
    <x v="9"/>
    <m/>
    <n v="7"/>
    <s v="0VW"/>
    <s v="x"/>
    <n v="226.69"/>
    <n v="227.05"/>
    <m/>
    <s v="ALLE"/>
    <n v="226.69"/>
    <n v="227.05"/>
    <x v="4"/>
    <m/>
    <d v="2021-08-30T00:00:00"/>
    <m/>
    <m/>
    <m/>
    <m/>
    <m/>
    <m/>
  </r>
  <r>
    <s v="Dura-Vermeer/De Jong Zuurmond"/>
    <x v="9"/>
    <m/>
    <n v="7"/>
    <s v="0VW"/>
    <s v="p"/>
    <n v="226.8"/>
    <n v="227.11500000000001"/>
    <m/>
    <s v="ALLE"/>
    <n v="226.8"/>
    <n v="227.11500000000001"/>
    <x v="4"/>
    <m/>
    <d v="2021-08-30T00:00:00"/>
    <m/>
    <m/>
    <m/>
    <m/>
    <m/>
    <m/>
  </r>
  <r>
    <s v="Dura-Vermeer/De Jong Zuurmond"/>
    <x v="9"/>
    <m/>
    <n v="7"/>
    <s v="1HRL"/>
    <m/>
    <n v="253.27"/>
    <n v="250.1"/>
    <m/>
    <s v="ALLE"/>
    <n v="250.1"/>
    <n v="253.27"/>
    <x v="9"/>
    <m/>
    <d v="2021-05-28T00:00:00"/>
    <s v="0/16"/>
    <m/>
    <m/>
    <m/>
    <m/>
    <m/>
  </r>
  <r>
    <s v="Dura-Vermeer/De Jong Zuurmond"/>
    <x v="9"/>
    <m/>
    <n v="7"/>
    <s v="0VW"/>
    <s v="q"/>
    <n v="252.77"/>
    <n v="252.32499999999999"/>
    <m/>
    <s v="ALLE"/>
    <n v="252.32499999999999"/>
    <n v="252.77"/>
    <x v="4"/>
    <m/>
    <d v="2021-05-28T00:00:00"/>
    <m/>
    <m/>
    <m/>
    <m/>
    <m/>
    <m/>
  </r>
  <r>
    <s v="Dura-Vermeer/De Jong Zuurmond"/>
    <x v="9"/>
    <m/>
    <n v="7"/>
    <s v="0VW"/>
    <s v="y"/>
    <n v="252.6"/>
    <n v="252.43299999999999"/>
    <m/>
    <s v="ALLE"/>
    <n v="252.43299999999999"/>
    <n v="252.6"/>
    <x v="4"/>
    <m/>
    <d v="2021-05-28T00:00:00"/>
    <m/>
    <m/>
    <m/>
    <m/>
    <m/>
    <m/>
  </r>
  <r>
    <s v="Dura-Vermeer/De Jong Zuurmond"/>
    <x v="9"/>
    <m/>
    <n v="7"/>
    <s v="0VW"/>
    <s v="n"/>
    <n v="252.62"/>
    <n v="252.328"/>
    <m/>
    <s v="ALLE"/>
    <n v="252.328"/>
    <n v="252.62"/>
    <x v="4"/>
    <m/>
    <d v="2021-05-28T00:00:00"/>
    <m/>
    <m/>
    <m/>
    <m/>
    <m/>
    <m/>
  </r>
  <r>
    <s v="Dura-Vermeer/De Jong Zuurmond"/>
    <x v="9"/>
    <m/>
    <n v="7"/>
    <s v="0VW"/>
    <s v="c"/>
    <n v="251.86699999999999"/>
    <n v="252.63900000000001"/>
    <m/>
    <s v="ALLE"/>
    <n v="251.86699999999999"/>
    <n v="252.63900000000001"/>
    <x v="4"/>
    <m/>
    <d v="2021-05-28T00:00:00"/>
    <m/>
    <m/>
    <m/>
    <m/>
    <m/>
    <m/>
  </r>
  <r>
    <s v="Dura-Vermeer/De Jong Zuurmond"/>
    <x v="9"/>
    <m/>
    <n v="7"/>
    <s v="0VW"/>
    <s v="d"/>
    <n v="251.62200000000001"/>
    <n v="251.27099999999999"/>
    <m/>
    <s v="ALLE"/>
    <n v="251.27099999999999"/>
    <n v="251.62200000000001"/>
    <x v="4"/>
    <m/>
    <d v="2021-05-28T00:00:00"/>
    <m/>
    <m/>
    <m/>
    <m/>
    <m/>
    <m/>
  </r>
  <r>
    <s v="BAM"/>
    <x v="10"/>
    <m/>
    <n v="7"/>
    <s v="1HRR"/>
    <m/>
    <n v="119.1"/>
    <n v="120.19"/>
    <s v="1R-R"/>
    <m/>
    <n v="119.1"/>
    <n v="120.19"/>
    <x v="7"/>
    <m/>
    <d v="2021-06-15T00:00:00"/>
    <m/>
    <m/>
    <m/>
    <m/>
    <m/>
    <m/>
  </r>
  <r>
    <s v="BAM"/>
    <x v="10"/>
    <m/>
    <n v="6"/>
    <s v="1HRL"/>
    <m/>
    <n v="300.24"/>
    <n v="300.64"/>
    <s v="2R-L"/>
    <m/>
    <n v="300.24"/>
    <n v="300.64"/>
    <x v="1"/>
    <m/>
    <d v="2021-07-01T00:00:00"/>
    <m/>
    <m/>
    <m/>
    <m/>
    <m/>
    <m/>
  </r>
  <r>
    <s v="BAM"/>
    <x v="10"/>
    <m/>
    <n v="6"/>
    <s v="1HRL"/>
    <m/>
    <n v="300.5"/>
    <n v="300.25"/>
    <s v="1U-L"/>
    <m/>
    <n v="300.25"/>
    <n v="300.5"/>
    <x v="1"/>
    <m/>
    <d v="2021-07-01T00:00:00"/>
    <m/>
    <m/>
    <m/>
    <m/>
    <m/>
    <m/>
  </r>
  <r>
    <s v="BAM"/>
    <x v="10"/>
    <m/>
    <n v="6"/>
    <s v="1HRR"/>
    <m/>
    <n v="296.7"/>
    <n v="296.85000000000002"/>
    <s v="2R-R"/>
    <m/>
    <n v="296.7"/>
    <n v="296.85000000000002"/>
    <x v="7"/>
    <m/>
    <d v="2021-07-03T00:00:00"/>
    <m/>
    <m/>
    <m/>
    <m/>
    <m/>
    <m/>
  </r>
  <r>
    <s v="BAM"/>
    <x v="10"/>
    <m/>
    <n v="6"/>
    <s v="1HRR"/>
    <m/>
    <n v="296.7"/>
    <n v="296.85000000000002"/>
    <s v="1I-R"/>
    <m/>
    <n v="296.7"/>
    <n v="296.85000000000002"/>
    <x v="7"/>
    <m/>
    <d v="2021-07-03T00:00:00"/>
    <m/>
    <m/>
    <m/>
    <m/>
    <m/>
    <m/>
  </r>
  <r>
    <s v="BAM"/>
    <x v="10"/>
    <m/>
    <n v="6"/>
    <s v="1HRR"/>
    <m/>
    <n v="297.46499999999997"/>
    <n v="300"/>
    <s v="2R-R"/>
    <m/>
    <n v="297.46499999999997"/>
    <n v="300"/>
    <x v="1"/>
    <m/>
    <d v="2021-07-03T00:00:00"/>
    <m/>
    <m/>
    <m/>
    <m/>
    <m/>
    <m/>
  </r>
  <r>
    <s v="BAM"/>
    <x v="10"/>
    <m/>
    <n v="6"/>
    <s v="1HRR"/>
    <m/>
    <n v="300.60000000000002"/>
    <n v="301.57"/>
    <s v="2R-R"/>
    <m/>
    <n v="300.60000000000002"/>
    <n v="301.57"/>
    <x v="1"/>
    <m/>
    <d v="2021-07-03T00:00:00"/>
    <m/>
    <m/>
    <m/>
    <m/>
    <m/>
    <m/>
  </r>
  <r>
    <s v="BAM"/>
    <x v="10"/>
    <m/>
    <n v="7"/>
    <s v="1HRR"/>
    <m/>
    <n v="99.935000000000002"/>
    <n v="100.05"/>
    <s v="2R-R"/>
    <m/>
    <n v="99.935000000000002"/>
    <n v="100.05"/>
    <x v="7"/>
    <m/>
    <d v="2021-06-25T00:00:00"/>
    <m/>
    <m/>
    <m/>
    <m/>
    <m/>
    <m/>
  </r>
  <r>
    <s v="BAM"/>
    <x v="10"/>
    <m/>
    <n v="7"/>
    <s v="1HRR"/>
    <m/>
    <n v="104.9"/>
    <n v="105.09"/>
    <s v="2R-R"/>
    <m/>
    <n v="104.9"/>
    <n v="105.09"/>
    <x v="7"/>
    <m/>
    <d v="2021-06-25T00:00:00"/>
    <m/>
    <m/>
    <m/>
    <m/>
    <m/>
    <m/>
  </r>
  <r>
    <s v="BAM"/>
    <x v="10"/>
    <m/>
    <n v="7"/>
    <s v="1HRR"/>
    <m/>
    <n v="105.435"/>
    <n v="105.625"/>
    <s v="1I-R"/>
    <m/>
    <n v="105.435"/>
    <n v="105.625"/>
    <x v="7"/>
    <m/>
    <d v="2021-06-25T00:00:00"/>
    <m/>
    <m/>
    <m/>
    <m/>
    <m/>
    <m/>
  </r>
  <r>
    <s v="BAM"/>
    <x v="10"/>
    <m/>
    <n v="7"/>
    <s v="1HRR"/>
    <m/>
    <n v="114.21"/>
    <n v="114.29"/>
    <m/>
    <s v="ALLE"/>
    <n v="114.21"/>
    <n v="114.29"/>
    <x v="1"/>
    <m/>
    <d v="2021-06-21T00:00:00"/>
    <m/>
    <m/>
    <m/>
    <m/>
    <m/>
    <m/>
  </r>
  <r>
    <s v="BAM"/>
    <x v="10"/>
    <m/>
    <n v="7"/>
    <s v="1HRR"/>
    <m/>
    <n v="127.495"/>
    <n v="128.80000000000001"/>
    <s v="2R-R"/>
    <m/>
    <n v="127.495"/>
    <n v="128.80000000000001"/>
    <x v="7"/>
    <m/>
    <d v="2021-06-24T00:00:00"/>
    <m/>
    <m/>
    <m/>
    <m/>
    <m/>
    <m/>
  </r>
  <r>
    <s v="BAM"/>
    <x v="10"/>
    <m/>
    <n v="7"/>
    <s v="1HRR"/>
    <m/>
    <n v="131.69999999999999"/>
    <n v="132.69"/>
    <s v="2R-R"/>
    <m/>
    <n v="131.69999999999999"/>
    <n v="132.69"/>
    <x v="7"/>
    <m/>
    <d v="2021-06-24T00:00:00"/>
    <m/>
    <m/>
    <m/>
    <m/>
    <m/>
    <m/>
  </r>
  <r>
    <s v="BAM"/>
    <x v="10"/>
    <m/>
    <n v="7"/>
    <s v="1HRR"/>
    <m/>
    <n v="132.69"/>
    <n v="132.69999999999999"/>
    <s v="2R-R"/>
    <m/>
    <n v="132.69"/>
    <n v="132.69999999999999"/>
    <x v="7"/>
    <m/>
    <d v="2021-06-24T00:00:00"/>
    <m/>
    <m/>
    <m/>
    <m/>
    <m/>
    <m/>
  </r>
  <r>
    <s v="BAM"/>
    <x v="10"/>
    <m/>
    <n v="7"/>
    <s v="1HRR"/>
    <m/>
    <n v="132.69999999999999"/>
    <n v="133.77500000000001"/>
    <s v="2R-R"/>
    <m/>
    <n v="132.69999999999999"/>
    <n v="133.77500000000001"/>
    <x v="7"/>
    <m/>
    <d v="2021-06-24T00:00:00"/>
    <m/>
    <m/>
    <m/>
    <m/>
    <m/>
    <m/>
  </r>
  <r>
    <s v="BAM"/>
    <x v="10"/>
    <m/>
    <n v="7"/>
    <s v="1HRR"/>
    <m/>
    <n v="140"/>
    <n v="140.065"/>
    <s v="1W-R"/>
    <m/>
    <n v="140"/>
    <n v="140.065"/>
    <x v="7"/>
    <m/>
    <d v="2021-07-02T00:00:00"/>
    <m/>
    <m/>
    <m/>
    <m/>
    <m/>
    <m/>
  </r>
  <r>
    <s v="BAM"/>
    <x v="10"/>
    <m/>
    <n v="7"/>
    <s v="1HRR"/>
    <m/>
    <n v="141"/>
    <n v="141.86500000000001"/>
    <s v="2R-R"/>
    <m/>
    <n v="141"/>
    <n v="141.86500000000001"/>
    <x v="7"/>
    <m/>
    <d v="2021-07-02T00:00:00"/>
    <m/>
    <m/>
    <m/>
    <m/>
    <m/>
    <m/>
  </r>
  <r>
    <s v="BAM"/>
    <x v="10"/>
    <m/>
    <n v="7"/>
    <s v="1HRR"/>
    <m/>
    <n v="142.1"/>
    <n v="142.26499999999999"/>
    <s v="2R-R"/>
    <m/>
    <n v="142.1"/>
    <n v="142.26499999999999"/>
    <x v="7"/>
    <m/>
    <d v="2021-07-02T00:00:00"/>
    <m/>
    <m/>
    <m/>
    <m/>
    <m/>
    <m/>
  </r>
  <r>
    <s v="BAM"/>
    <x v="10"/>
    <m/>
    <n v="7"/>
    <s v="1HRR"/>
    <m/>
    <n v="142.46"/>
    <n v="142.935"/>
    <s v="1W-R"/>
    <m/>
    <n v="142.46"/>
    <n v="142.935"/>
    <x v="7"/>
    <m/>
    <d v="2021-07-02T00:00:00"/>
    <m/>
    <m/>
    <m/>
    <m/>
    <m/>
    <m/>
  </r>
  <r>
    <s v="BAM"/>
    <x v="10"/>
    <m/>
    <n v="7"/>
    <s v="1HRR"/>
    <m/>
    <n v="142.69999999999999"/>
    <n v="142.935"/>
    <s v="1R-R"/>
    <m/>
    <n v="142.69999999999999"/>
    <n v="142.935"/>
    <x v="7"/>
    <m/>
    <d v="2021-07-02T00:00:00"/>
    <m/>
    <m/>
    <m/>
    <m/>
    <m/>
    <m/>
  </r>
  <r>
    <s v="BAM"/>
    <x v="10"/>
    <m/>
    <n v="7"/>
    <s v="1HRR"/>
    <m/>
    <n v="142.69999999999999"/>
    <n v="142.935"/>
    <s v="2R-R"/>
    <m/>
    <n v="142.69999999999999"/>
    <n v="142.935"/>
    <x v="7"/>
    <m/>
    <d v="2021-07-02T00:00:00"/>
    <m/>
    <m/>
    <m/>
    <m/>
    <m/>
    <m/>
  </r>
  <r>
    <s v="BAM"/>
    <x v="10"/>
    <m/>
    <n v="7"/>
    <s v="1HRR"/>
    <m/>
    <n v="143.26"/>
    <n v="143.35"/>
    <m/>
    <s v="ALLE"/>
    <n v="143.26"/>
    <n v="143.35"/>
    <x v="1"/>
    <m/>
    <d v="2021-06-28T00:00:00"/>
    <m/>
    <m/>
    <m/>
    <m/>
    <m/>
    <m/>
  </r>
  <r>
    <s v="BAM"/>
    <x v="10"/>
    <m/>
    <n v="7"/>
    <s v="1HRR"/>
    <m/>
    <n v="143.35"/>
    <n v="143.46"/>
    <s v="2R-R"/>
    <m/>
    <n v="143.35"/>
    <n v="143.46"/>
    <x v="7"/>
    <m/>
    <d v="2021-07-02T00:00:00"/>
    <m/>
    <m/>
    <m/>
    <m/>
    <m/>
    <m/>
  </r>
  <r>
    <s v="BAM"/>
    <x v="10"/>
    <m/>
    <n v="7"/>
    <s v="1HRR"/>
    <m/>
    <n v="143.83500000000001"/>
    <n v="143.9"/>
    <s v="2R-R"/>
    <m/>
    <n v="143.83500000000001"/>
    <n v="143.9"/>
    <x v="7"/>
    <m/>
    <d v="2021-07-02T00:00:00"/>
    <m/>
    <m/>
    <m/>
    <m/>
    <m/>
    <m/>
  </r>
  <r>
    <s v="BAM"/>
    <x v="10"/>
    <m/>
    <n v="7"/>
    <s v="1HRR"/>
    <m/>
    <n v="144.65"/>
    <n v="144.69999999999999"/>
    <s v="2R-R"/>
    <m/>
    <n v="144.65"/>
    <n v="144.69999999999999"/>
    <x v="7"/>
    <m/>
    <d v="2021-07-02T00:00:00"/>
    <m/>
    <m/>
    <m/>
    <m/>
    <m/>
    <m/>
  </r>
  <r>
    <s v="BAM"/>
    <x v="10"/>
    <m/>
    <n v="7"/>
    <s v="1HRL"/>
    <m/>
    <n v="143.57499999999999"/>
    <n v="143.44999999999999"/>
    <m/>
    <s v="ALLE"/>
    <n v="143.44999999999999"/>
    <n v="143.57499999999999"/>
    <x v="1"/>
    <m/>
    <d v="2021-06-28T00:00:00"/>
    <m/>
    <m/>
    <m/>
    <m/>
    <m/>
    <m/>
  </r>
  <r>
    <s v="BAM"/>
    <x v="10"/>
    <m/>
    <n v="7"/>
    <s v="1HRL"/>
    <m/>
    <n v="127.8"/>
    <n v="127.5"/>
    <s v="1R-L"/>
    <m/>
    <n v="127.5"/>
    <n v="127.8"/>
    <x v="7"/>
    <m/>
    <d v="2021-06-24T00:00:00"/>
    <m/>
    <m/>
    <m/>
    <m/>
    <m/>
    <m/>
  </r>
  <r>
    <s v="BAM"/>
    <x v="10"/>
    <m/>
    <n v="7"/>
    <s v="1HRL"/>
    <m/>
    <n v="105.76"/>
    <n v="105.7"/>
    <s v="1U-L"/>
    <m/>
    <n v="105.7"/>
    <n v="105.76"/>
    <x v="7"/>
    <m/>
    <d v="2021-06-25T00:00:00"/>
    <m/>
    <m/>
    <m/>
    <m/>
    <m/>
    <m/>
  </r>
  <r>
    <s v="BAM"/>
    <x v="10"/>
    <m/>
    <n v="7"/>
    <s v="1HRL"/>
    <m/>
    <n v="105.76"/>
    <n v="105.7"/>
    <s v="2R-L"/>
    <m/>
    <n v="105.7"/>
    <n v="105.76"/>
    <x v="7"/>
    <m/>
    <d v="2021-06-25T00:00:00"/>
    <m/>
    <m/>
    <m/>
    <m/>
    <m/>
    <m/>
  </r>
  <r>
    <s v="BAM"/>
    <x v="10"/>
    <m/>
    <n v="7"/>
    <s v="1HRL"/>
    <m/>
    <n v="105.62"/>
    <n v="105.6"/>
    <s v="1U-L"/>
    <m/>
    <n v="105.6"/>
    <n v="105.62"/>
    <x v="7"/>
    <m/>
    <d v="2021-06-25T00:00:00"/>
    <m/>
    <m/>
    <m/>
    <m/>
    <m/>
    <m/>
  </r>
  <r>
    <s v="BAM"/>
    <x v="10"/>
    <m/>
    <n v="7"/>
    <s v="1HRL"/>
    <m/>
    <n v="105.62"/>
    <n v="105.6"/>
    <s v="2R-L"/>
    <m/>
    <n v="105.6"/>
    <n v="105.62"/>
    <x v="7"/>
    <m/>
    <d v="2021-06-25T00:00:00"/>
    <m/>
    <m/>
    <m/>
    <m/>
    <m/>
    <m/>
  </r>
  <r>
    <s v="BAM"/>
    <x v="10"/>
    <m/>
    <n v="7"/>
    <s v="0VW"/>
    <s v="n"/>
    <n v="103.925"/>
    <n v="103.905"/>
    <m/>
    <m/>
    <n v="103.905"/>
    <n v="103.925"/>
    <x v="60"/>
    <m/>
    <d v="2021-06-24T00:00:00"/>
    <m/>
    <m/>
    <m/>
    <m/>
    <m/>
    <s v="40mm SMA en 60mm tussenlaag; VZP Wildinghe."/>
  </r>
  <r>
    <s v="BAM"/>
    <x v="10"/>
    <m/>
    <n v="7"/>
    <s v="1HRL"/>
    <m/>
    <n v="103.6"/>
    <n v="103.01"/>
    <s v="2R-L"/>
    <m/>
    <n v="103.01"/>
    <n v="103.6"/>
    <x v="7"/>
    <m/>
    <d v="2021-06-25T00:00:00"/>
    <m/>
    <m/>
    <m/>
    <m/>
    <m/>
    <m/>
  </r>
  <r>
    <s v="BAM"/>
    <x v="10"/>
    <m/>
    <n v="7"/>
    <s v="1HRL"/>
    <m/>
    <n v="102.45"/>
    <n v="102.29"/>
    <s v="2R-L"/>
    <m/>
    <n v="102.29"/>
    <n v="102.45"/>
    <x v="7"/>
    <m/>
    <d v="2021-06-25T00:00:00"/>
    <m/>
    <m/>
    <m/>
    <m/>
    <m/>
    <m/>
  </r>
  <r>
    <s v="BAM"/>
    <x v="10"/>
    <m/>
    <n v="7"/>
    <s v="1HRL"/>
    <m/>
    <n v="100.2"/>
    <n v="99.9"/>
    <s v="2R-L"/>
    <m/>
    <n v="99.9"/>
    <n v="100.2"/>
    <x v="7"/>
    <m/>
    <d v="2021-06-25T00:00:00"/>
    <m/>
    <m/>
    <m/>
    <m/>
    <m/>
    <m/>
  </r>
  <r>
    <s v="BAM"/>
    <x v="10"/>
    <m/>
    <n v="31"/>
    <s v="1HRR"/>
    <m/>
    <n v="6"/>
    <n v="6.45"/>
    <s v="2R-R"/>
    <m/>
    <n v="6"/>
    <n v="6.45"/>
    <x v="7"/>
    <m/>
    <d v="2021-06-25T00:00:00"/>
    <m/>
    <m/>
    <m/>
    <m/>
    <m/>
    <m/>
  </r>
  <r>
    <s v="BAM"/>
    <x v="10"/>
    <m/>
    <n v="31"/>
    <s v="1HRR"/>
    <m/>
    <n v="6.9050000000000002"/>
    <n v="7.125"/>
    <s v="1I-R"/>
    <m/>
    <n v="6.9050000000000002"/>
    <n v="7.125"/>
    <x v="7"/>
    <m/>
    <d v="2021-06-25T00:00:00"/>
    <m/>
    <m/>
    <m/>
    <m/>
    <m/>
    <m/>
  </r>
  <r>
    <s v="BAM"/>
    <x v="10"/>
    <m/>
    <n v="32"/>
    <s v="1HRR"/>
    <m/>
    <n v="33.085000000000001"/>
    <n v="33.11"/>
    <m/>
    <s v="ALLE"/>
    <n v="33.085000000000001"/>
    <n v="33.11"/>
    <x v="1"/>
    <m/>
    <d v="2021-06-22T00:00:00"/>
    <m/>
    <m/>
    <m/>
    <m/>
    <m/>
    <m/>
  </r>
  <r>
    <s v="BAM"/>
    <x v="10"/>
    <m/>
    <n v="32"/>
    <s v="1HRR"/>
    <m/>
    <n v="37.1"/>
    <n v="38.25"/>
    <s v="2R-R"/>
    <m/>
    <n v="37.1"/>
    <n v="38.25"/>
    <x v="7"/>
    <m/>
    <d v="2021-06-26T00:00:00"/>
    <m/>
    <m/>
    <m/>
    <m/>
    <m/>
    <m/>
  </r>
  <r>
    <s v="BAM"/>
    <x v="10"/>
    <m/>
    <n v="32"/>
    <s v="1HRR"/>
    <m/>
    <n v="37.1"/>
    <n v="38.25"/>
    <s v="2R-R"/>
    <m/>
    <n v="37.1"/>
    <n v="38.25"/>
    <x v="7"/>
    <m/>
    <d v="2021-06-26T00:00:00"/>
    <m/>
    <m/>
    <m/>
    <m/>
    <m/>
    <m/>
  </r>
  <r>
    <s v="BAM"/>
    <x v="10"/>
    <m/>
    <n v="32"/>
    <s v="1HRR"/>
    <m/>
    <n v="40.215000000000003"/>
    <n v="41.05"/>
    <s v="2R-R"/>
    <m/>
    <n v="40.215000000000003"/>
    <n v="41.05"/>
    <x v="7"/>
    <m/>
    <d v="2021-06-26T00:00:00"/>
    <m/>
    <m/>
    <m/>
    <m/>
    <m/>
    <m/>
  </r>
  <r>
    <s v="BAM"/>
    <x v="10"/>
    <m/>
    <n v="32"/>
    <s v="1HRR"/>
    <m/>
    <n v="51.9"/>
    <n v="51.98"/>
    <s v="1R-R"/>
    <m/>
    <n v="51.9"/>
    <n v="51.98"/>
    <x v="1"/>
    <m/>
    <d v="2021-06-23T00:00:00"/>
    <m/>
    <m/>
    <m/>
    <m/>
    <m/>
    <m/>
  </r>
  <r>
    <s v="BAM"/>
    <x v="10"/>
    <m/>
    <n v="32"/>
    <s v="1HRR"/>
    <m/>
    <n v="52.814999999999998"/>
    <n v="53.3"/>
    <s v="1R-R"/>
    <m/>
    <n v="52.814999999999998"/>
    <n v="53.3"/>
    <x v="7"/>
    <m/>
    <d v="2021-06-26T00:00:00"/>
    <m/>
    <m/>
    <m/>
    <m/>
    <m/>
    <m/>
  </r>
  <r>
    <s v="BAM"/>
    <x v="10"/>
    <m/>
    <n v="32"/>
    <s v="1HRR"/>
    <m/>
    <n v="54.48"/>
    <n v="55"/>
    <s v="2R-R"/>
    <m/>
    <n v="54.48"/>
    <n v="55"/>
    <x v="7"/>
    <m/>
    <d v="2021-06-26T00:00:00"/>
    <m/>
    <m/>
    <m/>
    <m/>
    <m/>
    <m/>
  </r>
  <r>
    <s v="BAM"/>
    <x v="10"/>
    <m/>
    <n v="32"/>
    <s v="1HRR"/>
    <m/>
    <n v="55"/>
    <n v="55.38"/>
    <s v="2R-R"/>
    <m/>
    <n v="55"/>
    <n v="55.38"/>
    <x v="1"/>
    <m/>
    <d v="2021-08-17T00:00:00"/>
    <m/>
    <m/>
    <m/>
    <m/>
    <m/>
    <m/>
  </r>
  <r>
    <s v="BAM"/>
    <x v="10"/>
    <m/>
    <n v="32"/>
    <s v="1HRR"/>
    <m/>
    <n v="57.06"/>
    <n v="57.104999999999997"/>
    <m/>
    <s v="ALLE"/>
    <n v="57.06"/>
    <n v="57.104999999999997"/>
    <x v="1"/>
    <m/>
    <d v="2021-06-24T00:00:00"/>
    <m/>
    <m/>
    <m/>
    <m/>
    <m/>
    <m/>
  </r>
  <r>
    <s v="BAM"/>
    <x v="10"/>
    <m/>
    <n v="32"/>
    <s v="1HRR"/>
    <m/>
    <n v="57.104999999999997"/>
    <n v="57.48"/>
    <s v="1R-R"/>
    <m/>
    <n v="57.104999999999997"/>
    <n v="57.48"/>
    <x v="7"/>
    <m/>
    <d v="2021-06-26T00:00:00"/>
    <m/>
    <m/>
    <m/>
    <m/>
    <m/>
    <m/>
  </r>
  <r>
    <s v="BAM"/>
    <x v="10"/>
    <m/>
    <n v="32"/>
    <s v="1HRR"/>
    <m/>
    <n v="57.5"/>
    <n v="58.3"/>
    <s v="1R-R"/>
    <m/>
    <n v="57.5"/>
    <n v="58.3"/>
    <x v="1"/>
    <m/>
    <d v="2021-06-23T00:00:00"/>
    <m/>
    <m/>
    <m/>
    <m/>
    <m/>
    <m/>
  </r>
  <r>
    <s v="BAM"/>
    <x v="10"/>
    <m/>
    <n v="32"/>
    <s v="1HRR"/>
    <m/>
    <n v="60.7"/>
    <n v="60.765000000000001"/>
    <s v="2R-R"/>
    <m/>
    <n v="60.7"/>
    <n v="60.765000000000001"/>
    <x v="7"/>
    <m/>
    <d v="2021-06-26T00:00:00"/>
    <m/>
    <m/>
    <m/>
    <m/>
    <m/>
    <m/>
  </r>
  <r>
    <s v="BAM"/>
    <x v="10"/>
    <m/>
    <n v="32"/>
    <s v="1HRL"/>
    <m/>
    <n v="59.3"/>
    <n v="59.2"/>
    <s v="1R-L"/>
    <m/>
    <n v="59.2"/>
    <n v="59.3"/>
    <x v="7"/>
    <m/>
    <d v="2021-06-26T00:00:00"/>
    <m/>
    <m/>
    <m/>
    <m/>
    <m/>
    <m/>
  </r>
  <r>
    <s v="BAM"/>
    <x v="10"/>
    <m/>
    <n v="32"/>
    <s v="1HRL"/>
    <m/>
    <n v="59.3"/>
    <n v="59.2"/>
    <s v="2R-L"/>
    <m/>
    <n v="59.2"/>
    <n v="59.3"/>
    <x v="7"/>
    <m/>
    <d v="2021-06-26T00:00:00"/>
    <m/>
    <m/>
    <m/>
    <m/>
    <m/>
    <m/>
  </r>
  <r>
    <s v="BAM"/>
    <x v="10"/>
    <m/>
    <n v="32"/>
    <s v="1HRL"/>
    <m/>
    <n v="59.18"/>
    <n v="59.12"/>
    <s v="1R-L"/>
    <m/>
    <n v="59.12"/>
    <n v="59.18"/>
    <x v="7"/>
    <m/>
    <d v="2021-06-26T00:00:00"/>
    <m/>
    <m/>
    <m/>
    <m/>
    <m/>
    <m/>
  </r>
  <r>
    <s v="BAM"/>
    <x v="10"/>
    <m/>
    <n v="32"/>
    <s v="1HRL"/>
    <m/>
    <n v="56.45"/>
    <n v="56.2"/>
    <s v="1R-L"/>
    <m/>
    <n v="56.2"/>
    <n v="56.45"/>
    <x v="7"/>
    <m/>
    <d v="2021-06-26T00:00:00"/>
    <m/>
    <m/>
    <m/>
    <m/>
    <m/>
    <m/>
  </r>
  <r>
    <s v="BAM"/>
    <x v="10"/>
    <m/>
    <n v="32"/>
    <s v="1HRL"/>
    <m/>
    <n v="56.45"/>
    <n v="56.2"/>
    <s v="2R-L"/>
    <m/>
    <n v="56.2"/>
    <n v="56.45"/>
    <x v="7"/>
    <m/>
    <d v="2021-06-26T00:00:00"/>
    <m/>
    <m/>
    <m/>
    <m/>
    <m/>
    <m/>
  </r>
  <r>
    <s v="BAM"/>
    <x v="10"/>
    <m/>
    <n v="32"/>
    <s v="1HRL"/>
    <m/>
    <n v="30.925000000000001"/>
    <n v="30.9"/>
    <m/>
    <s v="ALLE"/>
    <n v="30.9"/>
    <n v="30.925000000000001"/>
    <x v="1"/>
    <m/>
    <d v="2021-06-22T00:00:00"/>
    <m/>
    <m/>
    <m/>
    <m/>
    <m/>
    <m/>
  </r>
  <r>
    <s v="BAM"/>
    <x v="10"/>
    <m/>
    <n v="32"/>
    <s v="0VW"/>
    <s v="w"/>
    <n v="48"/>
    <n v="47.87"/>
    <m/>
    <s v="ALLE"/>
    <n v="47.87"/>
    <n v="48"/>
    <x v="1"/>
    <m/>
    <d v="2021-08-17T00:00:00"/>
    <m/>
    <m/>
    <m/>
    <m/>
    <m/>
    <s v="Klopt dit wel? ZOAB op de krappe boog?"/>
  </r>
  <r>
    <s v="BAM"/>
    <x v="10"/>
    <m/>
    <n v="6"/>
    <s v="1HRR"/>
    <m/>
    <n v="296.14999999999998"/>
    <n v="296.35500000000002"/>
    <s v="2R-R"/>
    <m/>
    <n v="296.14999999999998"/>
    <n v="296.35500000000002"/>
    <x v="1"/>
    <m/>
    <d v="2021-09-23T00:00:00"/>
    <m/>
    <m/>
    <m/>
    <m/>
    <m/>
    <m/>
  </r>
  <r>
    <s v="BAM"/>
    <x v="10"/>
    <m/>
    <n v="6"/>
    <s v="1HRR"/>
    <m/>
    <n v="296.25"/>
    <n v="296.33999999999997"/>
    <s v="1U-R"/>
    <m/>
    <n v="296.25"/>
    <n v="296.33999999999997"/>
    <x v="1"/>
    <m/>
    <d v="2021-09-23T00:00:00"/>
    <m/>
    <m/>
    <m/>
    <m/>
    <m/>
    <s v="Inclusief puntstuk"/>
  </r>
  <r>
    <s v="BAM"/>
    <x v="10"/>
    <m/>
    <n v="6"/>
    <s v="1HRL"/>
    <m/>
    <n v="308.33499999999998"/>
    <n v="308.27499999999998"/>
    <m/>
    <s v="ALLE"/>
    <n v="308.27499999999998"/>
    <n v="308.33499999999998"/>
    <x v="8"/>
    <m/>
    <d v="2021-09-23T00:00:00"/>
    <m/>
    <m/>
    <m/>
    <m/>
    <m/>
    <m/>
  </r>
  <r>
    <s v="BAM"/>
    <x v="10"/>
    <m/>
    <n v="7"/>
    <s v="1HRR"/>
    <m/>
    <n v="139.05500000000001"/>
    <n v="140"/>
    <s v="1W-R"/>
    <m/>
    <n v="139.05500000000001"/>
    <n v="140"/>
    <x v="7"/>
    <m/>
    <d v="2021-08-26T00:00:00"/>
    <m/>
    <m/>
    <m/>
    <m/>
    <m/>
    <m/>
  </r>
  <r>
    <s v="BAM"/>
    <x v="10"/>
    <m/>
    <n v="7"/>
    <s v="1HRR"/>
    <m/>
    <n v="139.05500000000001"/>
    <n v="140.18"/>
    <s v="2R-R"/>
    <m/>
    <n v="139.05500000000001"/>
    <n v="140.18"/>
    <x v="7"/>
    <m/>
    <d v="2021-08-26T00:00:00"/>
    <m/>
    <m/>
    <m/>
    <m/>
    <m/>
    <m/>
  </r>
  <r>
    <s v="Gebr. van der Lee"/>
    <x v="10"/>
    <m/>
    <n v="31"/>
    <s v="0VW"/>
    <s v="v"/>
    <n v="75.765000000000001"/>
    <n v="76"/>
    <m/>
    <s v="ALLE"/>
    <n v="75.765000000000001"/>
    <n v="76"/>
    <x v="4"/>
    <m/>
    <d v="2021-08-09T00:00:00"/>
    <m/>
    <m/>
    <m/>
    <m/>
    <m/>
    <m/>
  </r>
  <r>
    <s v="Gebr. van der Lee"/>
    <x v="10"/>
    <m/>
    <n v="31"/>
    <s v="0VW"/>
    <s v="s"/>
    <n v="76"/>
    <n v="75.489999999999995"/>
    <m/>
    <s v="ALLE"/>
    <n v="75.489999999999995"/>
    <n v="76"/>
    <x v="9"/>
    <m/>
    <d v="2021-08-01T00:00:00"/>
    <s v="0/16"/>
    <m/>
    <m/>
    <m/>
    <m/>
    <m/>
  </r>
  <r>
    <s v="Gebr. van der Lee"/>
    <x v="10"/>
    <m/>
    <n v="7"/>
    <s v="0VW"/>
    <s v="e"/>
    <n v="164.875"/>
    <n v="165.39"/>
    <m/>
    <s v="ALLE"/>
    <n v="164.875"/>
    <n v="165.39"/>
    <x v="9"/>
    <m/>
    <d v="2021-08-01T00:00:00"/>
    <m/>
    <m/>
    <m/>
    <m/>
    <m/>
    <m/>
  </r>
  <r>
    <s v="Gebr. van der Lee"/>
    <x v="10"/>
    <m/>
    <n v="7"/>
    <s v="0VW"/>
    <s v="j"/>
    <n v="165.38499999999999"/>
    <n v="165.72499999999999"/>
    <m/>
    <s v="ALLE"/>
    <n v="165.38499999999999"/>
    <n v="165.72499999999999"/>
    <x v="4"/>
    <m/>
    <d v="2021-08-09T00:00:00"/>
    <m/>
    <m/>
    <m/>
    <m/>
    <m/>
    <m/>
  </r>
  <r>
    <s v="Gebr. van der Lee"/>
    <x v="10"/>
    <m/>
    <n v="7"/>
    <s v="1HRL"/>
    <m/>
    <n v="166.6"/>
    <n v="154.69999999999999"/>
    <m/>
    <s v="ALLE"/>
    <n v="154.69999999999999"/>
    <n v="166.6"/>
    <x v="9"/>
    <m/>
    <d v="2021-09-03T00:00:00"/>
    <s v="0/16"/>
    <m/>
    <m/>
    <m/>
    <m/>
    <m/>
  </r>
  <r>
    <s v="Gebr. van der Lee"/>
    <x v="10"/>
    <m/>
    <n v="7"/>
    <s v="0VW"/>
    <s v="f"/>
    <n v="165.6"/>
    <n v="165.2"/>
    <m/>
    <s v="ALLE"/>
    <n v="165.2"/>
    <n v="165.6"/>
    <x v="4"/>
    <m/>
    <d v="2021-09-03T00:00:00"/>
    <m/>
    <m/>
    <m/>
    <m/>
    <m/>
    <m/>
  </r>
  <r>
    <s v="Gebr. van der Lee"/>
    <x v="10"/>
    <m/>
    <n v="7"/>
    <s v="0VW"/>
    <s v="k"/>
    <n v="165.15"/>
    <n v="164.87"/>
    <m/>
    <s v="ALLE"/>
    <n v="164.87"/>
    <n v="165.15"/>
    <x v="4"/>
    <m/>
    <d v="2021-09-03T00:00:00"/>
    <m/>
    <m/>
    <m/>
    <m/>
    <m/>
    <m/>
  </r>
  <r>
    <s v="Gebr. van der Lee"/>
    <x v="10"/>
    <m/>
    <n v="7"/>
    <s v="0VW"/>
    <s v="c"/>
    <n v="161.88999999999999"/>
    <n v="161.58500000000001"/>
    <m/>
    <s v="ALLE"/>
    <n v="161.58500000000001"/>
    <n v="161.88999999999999"/>
    <x v="4"/>
    <m/>
    <d v="2021-09-03T00:00:00"/>
    <m/>
    <m/>
    <m/>
    <m/>
    <m/>
    <m/>
  </r>
  <r>
    <s v="Gebr. van der Lee"/>
    <x v="10"/>
    <m/>
    <n v="7"/>
    <s v="0VW"/>
    <s v="d"/>
    <n v="161.61099999999999"/>
    <n v="161.351"/>
    <m/>
    <s v="ALLE"/>
    <n v="161.351"/>
    <n v="161.61099999999999"/>
    <x v="4"/>
    <m/>
    <d v="2021-09-03T00:00:00"/>
    <m/>
    <m/>
    <m/>
    <m/>
    <m/>
    <m/>
  </r>
  <r>
    <s v="Gebr. van der Lee"/>
    <x v="10"/>
    <m/>
    <n v="7"/>
    <s v="0VW"/>
    <s v="c"/>
    <n v="157.73099999999999"/>
    <n v="157.483"/>
    <m/>
    <s v="ALLE"/>
    <n v="157.483"/>
    <n v="157.73099999999999"/>
    <x v="4"/>
    <m/>
    <d v="2021-09-03T00:00:00"/>
    <m/>
    <m/>
    <m/>
    <m/>
    <m/>
    <m/>
  </r>
  <r>
    <s v="Gebr. van der Lee"/>
    <x v="10"/>
    <m/>
    <n v="7"/>
    <s v="0VW"/>
    <s v="d"/>
    <n v="157.91499999999999"/>
    <n v="157.483"/>
    <m/>
    <s v="ALLE"/>
    <n v="157.483"/>
    <n v="157.91499999999999"/>
    <x v="4"/>
    <m/>
    <d v="2021-09-03T00:00:00"/>
    <m/>
    <m/>
    <m/>
    <m/>
    <m/>
    <m/>
  </r>
  <r>
    <s v="Gebr. van der Lee"/>
    <x v="10"/>
    <m/>
    <n v="31"/>
    <s v="0VW"/>
    <s v="w"/>
    <n v="75.515000000000001"/>
    <n v="75.165000000000006"/>
    <m/>
    <s v="ALLE"/>
    <n v="75.165000000000006"/>
    <n v="75.515000000000001"/>
    <x v="4"/>
    <m/>
    <d v="2021-08-16T00:00:00"/>
    <m/>
    <m/>
    <m/>
    <m/>
    <m/>
    <m/>
  </r>
  <r>
    <s v="Gebr. van der Lee"/>
    <x v="10"/>
    <m/>
    <n v="31"/>
    <s v="0VW"/>
    <s v="r"/>
    <n v="75.31"/>
    <n v="75.72"/>
    <m/>
    <s v="ALLE"/>
    <n v="75.31"/>
    <n v="75.72"/>
    <x v="9"/>
    <m/>
    <d v="2021-07-26T00:00:00"/>
    <s v="0/16"/>
    <m/>
    <m/>
    <m/>
    <m/>
    <m/>
  </r>
  <r>
    <s v="Gebr. van der Lee"/>
    <x v="10"/>
    <m/>
    <n v="32"/>
    <s v="1HRL"/>
    <m/>
    <n v="45"/>
    <n v="39.700000000000003"/>
    <m/>
    <s v="ALLE"/>
    <n v="39.700000000000003"/>
    <n v="45"/>
    <x v="9"/>
    <m/>
    <d v="2021-07-30T00:00:00"/>
    <s v="0/16"/>
    <m/>
    <m/>
    <m/>
    <m/>
    <m/>
  </r>
  <r>
    <s v="Gebr. van der Lee"/>
    <x v="10"/>
    <m/>
    <n v="32"/>
    <s v="0VW"/>
    <s v="d"/>
    <n v="45.22"/>
    <n v="44.86"/>
    <m/>
    <s v="ALLE"/>
    <n v="44.86"/>
    <n v="45.22"/>
    <x v="4"/>
    <m/>
    <d v="2021-07-30T00:00:00"/>
    <m/>
    <m/>
    <m/>
    <m/>
    <m/>
    <m/>
  </r>
  <r>
    <s v="Gebr. van der Lee"/>
    <x v="10"/>
    <m/>
    <n v="32"/>
    <s v="0VW"/>
    <s v="c"/>
    <n v="42.68"/>
    <n v="42.39"/>
    <m/>
    <s v="ALLE"/>
    <n v="42.39"/>
    <n v="42.68"/>
    <x v="4"/>
    <m/>
    <d v="2021-07-30T00:00:00"/>
    <m/>
    <m/>
    <m/>
    <m/>
    <m/>
    <m/>
  </r>
  <r>
    <s v="Gebr. van der Lee"/>
    <x v="10"/>
    <m/>
    <n v="32"/>
    <s v="0VW"/>
    <s v="d"/>
    <n v="42.4"/>
    <n v="42.22"/>
    <m/>
    <s v="ALLE"/>
    <n v="42.22"/>
    <n v="42.4"/>
    <x v="4"/>
    <m/>
    <d v="2021-07-30T00:00:00"/>
    <m/>
    <m/>
    <m/>
    <m/>
    <m/>
    <m/>
  </r>
  <r>
    <s v="Gebr. van der Lee"/>
    <x v="10"/>
    <m/>
    <n v="32"/>
    <s v="0VW"/>
    <s v="n"/>
    <n v="41.19"/>
    <n v="40.57"/>
    <m/>
    <s v="ALLE"/>
    <n v="40.57"/>
    <n v="41.19"/>
    <x v="4"/>
    <m/>
    <d v="2021-07-30T00:00:00"/>
    <m/>
    <m/>
    <m/>
    <m/>
    <m/>
    <m/>
  </r>
  <r>
    <s v="Gebr. van der Lee"/>
    <x v="10"/>
    <m/>
    <n v="32"/>
    <s v="0VW"/>
    <s v="q"/>
    <n v="41.134999999999998"/>
    <n v="40.72"/>
    <m/>
    <s v="ALLE"/>
    <n v="40.72"/>
    <n v="41.134999999999998"/>
    <x v="4"/>
    <m/>
    <d v="2021-07-30T00:00:00"/>
    <m/>
    <m/>
    <m/>
    <m/>
    <m/>
    <m/>
  </r>
  <r>
    <s v="Gebr. van der Lee"/>
    <x v="10"/>
    <m/>
    <n v="32"/>
    <s v="0VW"/>
    <s v="y"/>
    <n v="40.97"/>
    <n v="40.74"/>
    <m/>
    <s v="ALLE"/>
    <n v="40.74"/>
    <n v="40.97"/>
    <x v="4"/>
    <m/>
    <d v="2021-07-30T00:00:00"/>
    <m/>
    <m/>
    <m/>
    <m/>
    <m/>
    <m/>
  </r>
  <r>
    <s v="Mourik Infra B.V."/>
    <x v="11"/>
    <m/>
    <n v="15"/>
    <s v="0VW"/>
    <s v="m"/>
    <n v="63.16"/>
    <n v="63.2"/>
    <s v="2R-R"/>
    <m/>
    <n v="63.16"/>
    <n v="63.2"/>
    <x v="1"/>
    <m/>
    <d v="2021-05-03T00:00:00"/>
    <m/>
    <n v="757000"/>
    <s v="APH"/>
    <m/>
    <m/>
    <m/>
  </r>
  <r>
    <s v="Mourik Infra B.V."/>
    <x v="11"/>
    <m/>
    <n v="15"/>
    <s v="0VW"/>
    <s v="m"/>
    <n v="63.28"/>
    <n v="63.3"/>
    <s v="1R-R"/>
    <m/>
    <n v="63.28"/>
    <n v="63.3"/>
    <x v="1"/>
    <m/>
    <d v="2021-05-03T00:00:00"/>
    <m/>
    <n v="757000"/>
    <s v="APH"/>
    <m/>
    <m/>
    <m/>
  </r>
  <r>
    <s v="Mourik Infra B.V."/>
    <x v="11"/>
    <m/>
    <n v="15"/>
    <s v="0VW"/>
    <s v="m"/>
    <n v="63.28"/>
    <n v="63.3"/>
    <s v="2R-R"/>
    <m/>
    <n v="63.28"/>
    <n v="63.3"/>
    <x v="1"/>
    <m/>
    <d v="2021-05-03T00:00:00"/>
    <m/>
    <n v="757000"/>
    <s v="APH"/>
    <m/>
    <m/>
    <m/>
  </r>
  <r>
    <s v="Mourik Infra B.V."/>
    <x v="11"/>
    <m/>
    <n v="15"/>
    <s v="0VW"/>
    <s v="m"/>
    <n v="63.16"/>
    <n v="63.27"/>
    <s v="3R-R"/>
    <m/>
    <n v="63.16"/>
    <n v="63.27"/>
    <x v="1"/>
    <m/>
    <d v="2021-05-03T00:00:00"/>
    <m/>
    <n v="757000"/>
    <s v="APH"/>
    <m/>
    <m/>
    <m/>
  </r>
  <r>
    <s v="Mourik Infra B.V."/>
    <x v="11"/>
    <m/>
    <n v="15"/>
    <s v="0VW"/>
    <s v="m"/>
    <n v="63.16"/>
    <n v="63.27"/>
    <s v="1U-R"/>
    <m/>
    <n v="63.16"/>
    <n v="63.27"/>
    <x v="1"/>
    <m/>
    <d v="2021-05-03T00:00:00"/>
    <m/>
    <n v="757000"/>
    <s v="APH"/>
    <m/>
    <m/>
    <m/>
  </r>
  <r>
    <s v="Mourik Infra B.V."/>
    <x v="11"/>
    <m/>
    <n v="15"/>
    <s v="1HRR"/>
    <m/>
    <n v="77.900000000000006"/>
    <n v="78"/>
    <s v="3R-R"/>
    <m/>
    <n v="77.900000000000006"/>
    <n v="78"/>
    <x v="1"/>
    <m/>
    <d v="2021-05-10T00:00:00"/>
    <m/>
    <n v="757000"/>
    <s v="APH"/>
    <m/>
    <m/>
    <m/>
  </r>
  <r>
    <s v="Mourik Infra B.V."/>
    <x v="11"/>
    <m/>
    <n v="15"/>
    <s v="1HRR"/>
    <m/>
    <n v="77.900000000000006"/>
    <n v="78"/>
    <s v="3R-R"/>
    <m/>
    <n v="77.900000000000006"/>
    <n v="78"/>
    <x v="18"/>
    <m/>
    <d v="2021-05-10T00:00:00"/>
    <m/>
    <n v="163164"/>
    <s v="APH"/>
    <m/>
    <m/>
    <m/>
  </r>
  <r>
    <s v="Mourik Infra B.V."/>
    <x v="11"/>
    <m/>
    <n v="15"/>
    <s v="1HRR"/>
    <m/>
    <n v="101.5"/>
    <n v="101.9"/>
    <s v="1R-R"/>
    <m/>
    <n v="101.5"/>
    <n v="101.9"/>
    <x v="17"/>
    <m/>
    <d v="2021-05-10T00:00:00"/>
    <m/>
    <n v="163165"/>
    <s v="APH"/>
    <m/>
    <m/>
    <m/>
  </r>
  <r>
    <s v="Mourik Infra B.V."/>
    <x v="11"/>
    <m/>
    <n v="15"/>
    <s v="1HRR"/>
    <m/>
    <n v="98.32"/>
    <n v="98.32"/>
    <s v="2R-R"/>
    <m/>
    <n v="98.32"/>
    <n v="98.32"/>
    <x v="1"/>
    <m/>
    <d v="2021-05-10T00:00:00"/>
    <m/>
    <n v="757000"/>
    <s v="APH"/>
    <m/>
    <m/>
    <m/>
  </r>
  <r>
    <s v="Mourik Infra B.V."/>
    <x v="11"/>
    <m/>
    <n v="15"/>
    <s v="1HRR"/>
    <m/>
    <n v="98.32"/>
    <n v="98.32"/>
    <s v="2R-R"/>
    <m/>
    <n v="98.32"/>
    <n v="98.32"/>
    <x v="18"/>
    <m/>
    <d v="2021-05-10T00:00:00"/>
    <m/>
    <n v="163164"/>
    <s v="APH"/>
    <m/>
    <m/>
    <m/>
  </r>
  <r>
    <s v="Mourik Infra B.V."/>
    <x v="11"/>
    <m/>
    <n v="15"/>
    <s v="1HRR"/>
    <m/>
    <n v="114.6"/>
    <n v="115.1"/>
    <s v="2R-R"/>
    <m/>
    <n v="114.6"/>
    <n v="115.1"/>
    <x v="17"/>
    <m/>
    <d v="2021-05-11T00:00:00"/>
    <m/>
    <n v="163165"/>
    <s v="APH"/>
    <m/>
    <m/>
    <m/>
  </r>
  <r>
    <s v="Mourik Infra B.V."/>
    <x v="11"/>
    <m/>
    <n v="15"/>
    <s v="1HRR"/>
    <m/>
    <n v="115.3"/>
    <n v="115.4"/>
    <s v="2R-R"/>
    <m/>
    <n v="115.3"/>
    <n v="115.4"/>
    <x v="8"/>
    <m/>
    <d v="2021-05-11T00:00:00"/>
    <m/>
    <n v="457135"/>
    <s v="APH"/>
    <m/>
    <m/>
    <m/>
  </r>
  <r>
    <s v="Mourik Infra B.V."/>
    <x v="11"/>
    <m/>
    <n v="15"/>
    <s v="1HRL"/>
    <m/>
    <n v="116.2"/>
    <n v="115.5"/>
    <s v="2R-L"/>
    <m/>
    <n v="115.5"/>
    <n v="116.2"/>
    <x v="1"/>
    <m/>
    <d v="2021-05-11T00:00:00"/>
    <m/>
    <n v="757000"/>
    <s v="APH"/>
    <m/>
    <m/>
    <m/>
  </r>
  <r>
    <s v="Mourik Infra B.V."/>
    <x v="11"/>
    <m/>
    <n v="15"/>
    <s v="1HRL"/>
    <m/>
    <n v="115.4"/>
    <n v="115.3"/>
    <s v="2R-L"/>
    <m/>
    <n v="115.3"/>
    <n v="115.4"/>
    <x v="8"/>
    <m/>
    <d v="2021-05-11T00:00:00"/>
    <m/>
    <n v="457135"/>
    <s v="APH"/>
    <m/>
    <m/>
    <m/>
  </r>
  <r>
    <s v="Mourik Infra B.V."/>
    <x v="11"/>
    <m/>
    <n v="15"/>
    <s v="1HRR"/>
    <m/>
    <n v="72.53"/>
    <n v="72.900000000000006"/>
    <s v="1I-R"/>
    <m/>
    <n v="72.53"/>
    <n v="72.900000000000006"/>
    <x v="1"/>
    <m/>
    <d v="2021-07-06T00:00:00"/>
    <m/>
    <n v="757000"/>
    <s v="APH"/>
    <m/>
    <m/>
    <m/>
  </r>
  <r>
    <s v="Mourik Infra B.V."/>
    <x v="11"/>
    <m/>
    <n v="15"/>
    <s v="1HRL"/>
    <m/>
    <n v="74.8"/>
    <n v="74.7"/>
    <s v="3R-L"/>
    <m/>
    <n v="74.7"/>
    <n v="74.8"/>
    <x v="1"/>
    <m/>
    <d v="2021-09-22T00:00:00"/>
    <m/>
    <n v="757000"/>
    <s v="APH"/>
    <m/>
    <m/>
    <m/>
  </r>
  <r>
    <s v="Mourik Infra B.V."/>
    <x v="11"/>
    <m/>
    <n v="15"/>
    <s v="1HRR"/>
    <m/>
    <n v="90"/>
    <n v="90.424999999999997"/>
    <s v="1U-R"/>
    <m/>
    <n v="90"/>
    <n v="90.424999999999997"/>
    <x v="1"/>
    <m/>
    <d v="2021-09-22T00:00:00"/>
    <m/>
    <n v="757000"/>
    <s v="APH"/>
    <m/>
    <m/>
    <m/>
  </r>
  <r>
    <s v="Mourik Infra B.V."/>
    <x v="11"/>
    <m/>
    <n v="15"/>
    <s v="1HRR"/>
    <m/>
    <n v="91.114999999999995"/>
    <n v="91.26"/>
    <s v="1I-R"/>
    <m/>
    <n v="91.114999999999995"/>
    <n v="91.26"/>
    <x v="1"/>
    <m/>
    <d v="2021-10-08T00:00:00"/>
    <m/>
    <n v="757000"/>
    <s v="APH"/>
    <m/>
    <m/>
    <m/>
  </r>
  <r>
    <s v="Mourik Infra B.V."/>
    <x v="11"/>
    <m/>
    <n v="15"/>
    <s v="1HRL"/>
    <m/>
    <n v="114.85"/>
    <n v="114.83"/>
    <s v="2R-L"/>
    <m/>
    <n v="114.83"/>
    <n v="114.85"/>
    <x v="17"/>
    <m/>
    <d v="2021-10-08T00:00:00"/>
    <m/>
    <n v="163165"/>
    <s v="APH"/>
    <m/>
    <m/>
    <m/>
  </r>
  <r>
    <s v="Mourik Infra B.V."/>
    <x v="11"/>
    <m/>
    <n v="15"/>
    <s v="1HRL"/>
    <m/>
    <n v="114.3"/>
    <n v="114.25"/>
    <s v="2R-L"/>
    <m/>
    <n v="114.25"/>
    <n v="114.3"/>
    <x v="1"/>
    <m/>
    <d v="2021-10-08T00:00:00"/>
    <m/>
    <n v="757000"/>
    <s v="APH"/>
    <m/>
    <m/>
    <m/>
  </r>
  <r>
    <s v="Mourik Infra B.V."/>
    <x v="11"/>
    <m/>
    <n v="15"/>
    <s v="1HRL"/>
    <m/>
    <n v="113.8"/>
    <n v="113.55"/>
    <s v="2R-L"/>
    <m/>
    <n v="113.55"/>
    <n v="113.8"/>
    <x v="1"/>
    <m/>
    <d v="2021-10-08T00:00:00"/>
    <m/>
    <n v="757000"/>
    <s v="APH"/>
    <m/>
    <m/>
    <m/>
  </r>
  <r>
    <s v="Mourik Infra B.V."/>
    <x v="11"/>
    <m/>
    <n v="15"/>
    <s v="1HRL"/>
    <m/>
    <n v="113.55"/>
    <n v="113.53"/>
    <s v="2R-L"/>
    <m/>
    <n v="113.53"/>
    <n v="113.55"/>
    <x v="1"/>
    <m/>
    <d v="2021-10-08T00:00:00"/>
    <m/>
    <n v="757000"/>
    <s v="APH"/>
    <m/>
    <m/>
    <m/>
  </r>
  <r>
    <s v="Mourik Infra B.V."/>
    <x v="11"/>
    <m/>
    <n v="15"/>
    <s v="1HRL"/>
    <m/>
    <n v="113.15"/>
    <n v="112.95"/>
    <s v="2R-L"/>
    <m/>
    <n v="112.95"/>
    <n v="113.15"/>
    <x v="1"/>
    <m/>
    <d v="2021-10-08T00:00:00"/>
    <m/>
    <n v="757000"/>
    <s v="APH"/>
    <m/>
    <m/>
    <m/>
  </r>
  <r>
    <s v="Mourik Infra B.V."/>
    <x v="11"/>
    <m/>
    <n v="15"/>
    <s v="1HRL"/>
    <m/>
    <n v="112.12"/>
    <n v="111.68"/>
    <s v="1R-L"/>
    <m/>
    <n v="111.68"/>
    <n v="112.12"/>
    <x v="1"/>
    <m/>
    <d v="2021-10-08T00:00:00"/>
    <m/>
    <n v="757000"/>
    <s v="APH"/>
    <m/>
    <m/>
    <m/>
  </r>
  <r>
    <s v="Mourik Infra B.V."/>
    <x v="11"/>
    <m/>
    <n v="15"/>
    <s v="1HRL"/>
    <m/>
    <n v="112"/>
    <n v="111.68"/>
    <s v="2R-L"/>
    <m/>
    <n v="111.68"/>
    <n v="112"/>
    <x v="1"/>
    <m/>
    <d v="2021-10-08T00:00:00"/>
    <m/>
    <n v="757000"/>
    <s v="APH"/>
    <m/>
    <m/>
    <m/>
  </r>
  <r>
    <s v="Mourik Infra B.V."/>
    <x v="11"/>
    <m/>
    <n v="15"/>
    <s v="1HRL"/>
    <m/>
    <n v="111.68"/>
    <n v="111.5"/>
    <s v="2R-L"/>
    <m/>
    <n v="111.5"/>
    <n v="111.68"/>
    <x v="17"/>
    <m/>
    <d v="2021-10-08T00:00:00"/>
    <m/>
    <n v="163165"/>
    <s v="APH"/>
    <m/>
    <m/>
    <m/>
  </r>
  <r>
    <s v="Mourik Infra B.V."/>
    <x v="11"/>
    <m/>
    <n v="15"/>
    <s v="1HRL"/>
    <m/>
    <n v="111"/>
    <n v="110.8"/>
    <s v="2R-L"/>
    <m/>
    <n v="110.8"/>
    <n v="111"/>
    <x v="17"/>
    <m/>
    <d v="2021-10-08T00:00:00"/>
    <m/>
    <n v="163165"/>
    <s v="APH"/>
    <m/>
    <m/>
    <m/>
  </r>
  <r>
    <s v="Mourik Infra B.V."/>
    <x v="11"/>
    <m/>
    <n v="15"/>
    <s v="1HRL"/>
    <m/>
    <n v="109"/>
    <n v="108.9"/>
    <s v="2R-L"/>
    <m/>
    <n v="108.9"/>
    <n v="109"/>
    <x v="17"/>
    <m/>
    <d v="2021-10-08T00:00:00"/>
    <m/>
    <n v="163165"/>
    <s v="APH"/>
    <m/>
    <m/>
    <m/>
  </r>
  <r>
    <s v="Mourik Infra B.V."/>
    <x v="11"/>
    <m/>
    <n v="15"/>
    <s v="1HRL"/>
    <m/>
    <n v="108"/>
    <n v="107.9"/>
    <s v="2R-L"/>
    <m/>
    <n v="107.9"/>
    <n v="108"/>
    <x v="17"/>
    <m/>
    <d v="2021-10-08T00:00:00"/>
    <m/>
    <n v="163165"/>
    <s v="APH"/>
    <m/>
    <m/>
    <m/>
  </r>
  <r>
    <s v="Mourik Infra B.V."/>
    <x v="11"/>
    <m/>
    <n v="15"/>
    <s v="1HRL"/>
    <m/>
    <n v="106.93"/>
    <n v="106.9"/>
    <s v="2R-L"/>
    <m/>
    <n v="106.9"/>
    <n v="106.93"/>
    <x v="1"/>
    <m/>
    <d v="2021-10-08T00:00:00"/>
    <m/>
    <n v="757000"/>
    <s v="APH"/>
    <m/>
    <m/>
    <m/>
  </r>
  <r>
    <s v="Mourik Infra B.V."/>
    <x v="11"/>
    <m/>
    <n v="15"/>
    <s v="1HRL"/>
    <m/>
    <n v="106.9"/>
    <n v="106.8"/>
    <s v="1R-L"/>
    <m/>
    <n v="106.8"/>
    <n v="106.9"/>
    <x v="1"/>
    <m/>
    <d v="2021-10-08T00:00:00"/>
    <m/>
    <n v="757000"/>
    <s v="APH"/>
    <m/>
    <m/>
    <m/>
  </r>
  <r>
    <s v="Mourik Infra B.V."/>
    <x v="11"/>
    <m/>
    <n v="15"/>
    <s v="1HRL"/>
    <m/>
    <n v="105.4"/>
    <n v="105.3"/>
    <s v="2R-L"/>
    <m/>
    <n v="105.3"/>
    <n v="105.4"/>
    <x v="17"/>
    <m/>
    <d v="2021-10-08T00:00:00"/>
    <m/>
    <n v="163165"/>
    <s v="APH"/>
    <m/>
    <m/>
    <m/>
  </r>
  <r>
    <s v="Mourik Infra B.V."/>
    <x v="11"/>
    <m/>
    <n v="15"/>
    <s v="1HRL"/>
    <m/>
    <n v="101.6"/>
    <n v="101.4"/>
    <s v="2R-L"/>
    <m/>
    <n v="101.4"/>
    <n v="101.6"/>
    <x v="1"/>
    <m/>
    <d v="2021-10-08T00:00:00"/>
    <m/>
    <n v="757000"/>
    <s v="APH"/>
    <m/>
    <m/>
    <m/>
  </r>
  <r>
    <s v="Mourik Infra B.V."/>
    <x v="11"/>
    <m/>
    <n v="15"/>
    <s v="1HRL"/>
    <m/>
    <n v="99.5"/>
    <n v="99.38"/>
    <s v="2R-L"/>
    <m/>
    <n v="99.38"/>
    <n v="99.5"/>
    <x v="1"/>
    <m/>
    <d v="2021-10-08T00:00:00"/>
    <m/>
    <n v="757000"/>
    <s v="APH"/>
    <m/>
    <m/>
    <m/>
  </r>
  <r>
    <s v="Mourik Infra B.V."/>
    <x v="11"/>
    <m/>
    <n v="15"/>
    <s v="1HRL"/>
    <m/>
    <n v="99.05"/>
    <n v="98.95"/>
    <s v="2R-L"/>
    <m/>
    <n v="98.95"/>
    <n v="99.05"/>
    <x v="1"/>
    <m/>
    <d v="2021-10-08T00:00:00"/>
    <m/>
    <n v="757000"/>
    <s v="APH"/>
    <m/>
    <m/>
    <m/>
  </r>
  <r>
    <s v="Mourik Infra B.V."/>
    <x v="11"/>
    <m/>
    <n v="15"/>
    <s v="1HRL"/>
    <m/>
    <n v="98.625"/>
    <n v="98.3"/>
    <s v="2R-L"/>
    <m/>
    <n v="98.3"/>
    <n v="98.625"/>
    <x v="1"/>
    <m/>
    <d v="2021-10-08T00:00:00"/>
    <m/>
    <n v="757000"/>
    <s v="APH"/>
    <m/>
    <m/>
    <m/>
  </r>
  <r>
    <s v="Mourik Infra B.V."/>
    <x v="11"/>
    <m/>
    <n v="15"/>
    <s v="1HRL"/>
    <m/>
    <n v="98.3"/>
    <n v="98.2"/>
    <s v="2R-L"/>
    <m/>
    <n v="98.2"/>
    <n v="98.3"/>
    <x v="1"/>
    <m/>
    <d v="2021-10-08T00:00:00"/>
    <m/>
    <n v="757000"/>
    <s v="APH"/>
    <m/>
    <m/>
    <m/>
  </r>
  <r>
    <s v="Mourik Infra B.V."/>
    <x v="11"/>
    <m/>
    <n v="15"/>
    <s v="1HRL"/>
    <m/>
    <n v="98.2"/>
    <n v="98"/>
    <s v="2R-L"/>
    <m/>
    <n v="98"/>
    <n v="98.2"/>
    <x v="1"/>
    <m/>
    <d v="2021-10-08T00:00:00"/>
    <m/>
    <n v="757000"/>
    <s v="APH"/>
    <m/>
    <m/>
    <m/>
  </r>
  <r>
    <s v="Mourik Infra B.V."/>
    <x v="11"/>
    <m/>
    <n v="15"/>
    <s v="1HRL"/>
    <m/>
    <n v="98"/>
    <n v="97.95"/>
    <s v="2R-L"/>
    <m/>
    <n v="97.95"/>
    <n v="98"/>
    <x v="1"/>
    <m/>
    <d v="2021-10-08T00:00:00"/>
    <m/>
    <n v="757000"/>
    <s v="APH"/>
    <m/>
    <m/>
    <m/>
  </r>
  <r>
    <s v="Mourik Infra B.V."/>
    <x v="11"/>
    <m/>
    <n v="15"/>
    <s v="1HRL"/>
    <m/>
    <n v="97.3"/>
    <n v="97.95"/>
    <s v="2R-L"/>
    <m/>
    <n v="97.3"/>
    <n v="97.95"/>
    <x v="1"/>
    <m/>
    <d v="2021-10-08T00:00:00"/>
    <m/>
    <n v="757000"/>
    <s v="APH"/>
    <m/>
    <m/>
    <m/>
  </r>
  <r>
    <s v="Mourik Infra B.V."/>
    <x v="11"/>
    <m/>
    <n v="15"/>
    <s v="1HRL"/>
    <m/>
    <n v="96.82"/>
    <n v="96.7"/>
    <s v="1R-L"/>
    <m/>
    <n v="96.7"/>
    <n v="96.82"/>
    <x v="1"/>
    <m/>
    <d v="2021-10-08T00:00:00"/>
    <m/>
    <n v="757000"/>
    <s v="APH"/>
    <m/>
    <m/>
    <m/>
  </r>
  <r>
    <s v="Mourik Infra B.V."/>
    <x v="11"/>
    <m/>
    <n v="15"/>
    <s v="1HRL"/>
    <m/>
    <n v="96.82"/>
    <n v="96.7"/>
    <s v="1R-L"/>
    <m/>
    <n v="96.7"/>
    <n v="96.82"/>
    <x v="1"/>
    <m/>
    <d v="2021-10-08T00:00:00"/>
    <m/>
    <n v="757000"/>
    <s v="APH"/>
    <m/>
    <m/>
    <m/>
  </r>
  <r>
    <s v="Mourik Infra B.V."/>
    <x v="11"/>
    <m/>
    <n v="15"/>
    <s v="1HRR"/>
    <m/>
    <n v="103.1"/>
    <n v="103.6"/>
    <s v="2R-R"/>
    <m/>
    <n v="103.1"/>
    <n v="103.6"/>
    <x v="1"/>
    <m/>
    <d v="2021-10-10T00:00:00"/>
    <m/>
    <n v="757000"/>
    <s v="APH"/>
    <m/>
    <m/>
    <m/>
  </r>
  <r>
    <s v="Mourik Infra B.V."/>
    <x v="11"/>
    <m/>
    <n v="15"/>
    <s v="1HRR"/>
    <m/>
    <n v="107.6"/>
    <n v="107.7"/>
    <s v="2R-R"/>
    <m/>
    <n v="107.6"/>
    <n v="107.7"/>
    <x v="17"/>
    <m/>
    <d v="2021-10-10T00:00:00"/>
    <m/>
    <n v="163165"/>
    <s v="APH"/>
    <m/>
    <m/>
    <m/>
  </r>
  <r>
    <s v="Mourik Infra B.V."/>
    <x v="11"/>
    <m/>
    <n v="15"/>
    <s v="1HRR"/>
    <m/>
    <n v="107.7"/>
    <n v="108.5"/>
    <s v="2R-R"/>
    <m/>
    <n v="107.7"/>
    <n v="108.5"/>
    <x v="17"/>
    <m/>
    <d v="2021-10-10T00:00:00"/>
    <m/>
    <n v="163165"/>
    <s v="APH"/>
    <m/>
    <m/>
    <m/>
  </r>
  <r>
    <s v="Mourik Infra B.V."/>
    <x v="11"/>
    <m/>
    <n v="15"/>
    <s v="1HRR"/>
    <m/>
    <n v="108.91"/>
    <n v="108.98"/>
    <s v="2R-R"/>
    <m/>
    <n v="108.91"/>
    <n v="108.98"/>
    <x v="1"/>
    <m/>
    <d v="2021-10-10T00:00:00"/>
    <m/>
    <n v="757000"/>
    <s v="APH"/>
    <m/>
    <m/>
    <m/>
  </r>
  <r>
    <s v="Mourik Infra B.V."/>
    <x v="11"/>
    <m/>
    <n v="15"/>
    <s v="0VW"/>
    <s v="w"/>
    <n v="113.3"/>
    <n v="113.8"/>
    <s v="1W-R"/>
    <m/>
    <n v="113.3"/>
    <n v="113.8"/>
    <x v="1"/>
    <m/>
    <d v="2021-10-10T00:00:00"/>
    <m/>
    <n v="757000"/>
    <s v="APH"/>
    <m/>
    <m/>
    <m/>
  </r>
  <r>
    <s v="Mourik Infra B.V."/>
    <x v="11"/>
    <m/>
    <n v="15"/>
    <s v="0VW"/>
    <s v="w"/>
    <n v="113.8"/>
    <n v="113.95"/>
    <s v="1W-R"/>
    <m/>
    <n v="113.8"/>
    <n v="113.95"/>
    <x v="1"/>
    <m/>
    <d v="2021-10-10T00:00:00"/>
    <m/>
    <n v="757000"/>
    <s v="APH"/>
    <m/>
    <m/>
    <m/>
  </r>
  <r>
    <s v="Mourik Infra B.V."/>
    <x v="11"/>
    <m/>
    <n v="15"/>
    <s v="0VW"/>
    <s v="w"/>
    <n v="113.95"/>
    <n v="114"/>
    <s v="1W-R"/>
    <m/>
    <n v="113.95"/>
    <n v="114"/>
    <x v="1"/>
    <m/>
    <d v="2021-10-10T00:00:00"/>
    <m/>
    <n v="757000"/>
    <s v="APH"/>
    <m/>
    <m/>
    <m/>
  </r>
  <r>
    <s v="Mourik Infra B.V."/>
    <x v="11"/>
    <m/>
    <n v="15"/>
    <s v="0VW"/>
    <s v="w"/>
    <n v="113.8"/>
    <n v="113.95"/>
    <s v="2W-R"/>
    <m/>
    <n v="113.8"/>
    <n v="113.95"/>
    <x v="1"/>
    <m/>
    <d v="2021-10-10T00:00:00"/>
    <m/>
    <n v="757000"/>
    <s v="APH"/>
    <m/>
    <m/>
    <m/>
  </r>
  <r>
    <s v="Mourik Infra B.V."/>
    <x v="11"/>
    <m/>
    <n v="15"/>
    <s v="0VW"/>
    <s v="w"/>
    <n v="113.95"/>
    <n v="114"/>
    <s v="2W-R"/>
    <m/>
    <n v="113.95"/>
    <n v="114"/>
    <x v="1"/>
    <m/>
    <d v="2021-10-10T00:00:00"/>
    <m/>
    <n v="757000"/>
    <s v="APH"/>
    <m/>
    <m/>
    <m/>
  </r>
  <r>
    <s v="Mourik Infra B.V."/>
    <x v="11"/>
    <m/>
    <n v="15"/>
    <s v="1HRR"/>
    <m/>
    <n v="114.3"/>
    <s v="114,500r"/>
    <s v="2R-R"/>
    <m/>
    <n v="114.3"/>
    <n v="114.3"/>
    <x v="1"/>
    <m/>
    <d v="2021-10-10T00:00:00"/>
    <m/>
    <n v="757000"/>
    <s v="APH"/>
    <m/>
    <m/>
    <m/>
  </r>
  <r>
    <s v="Mourik Infra B.V."/>
    <x v="11"/>
    <m/>
    <n v="15"/>
    <s v="0VW"/>
    <s v="v"/>
    <n v="115.39"/>
    <n v="115.5"/>
    <s v="1R-R"/>
    <m/>
    <n v="115.39"/>
    <n v="115.5"/>
    <x v="1"/>
    <m/>
    <d v="2021-10-10T00:00:00"/>
    <m/>
    <n v="757000"/>
    <s v="APH"/>
    <m/>
    <m/>
    <m/>
  </r>
  <r>
    <s v="Mourik Infra B.V."/>
    <x v="11"/>
    <m/>
    <n v="15"/>
    <s v="1HRR"/>
    <m/>
    <n v="72.53"/>
    <n v="72.900000000000006"/>
    <s v="3R-R"/>
    <m/>
    <n v="72.53"/>
    <n v="72.900000000000006"/>
    <x v="1"/>
    <m/>
    <d v="2021-10-23T00:00:00"/>
    <m/>
    <n v="757000"/>
    <s v="APH"/>
    <m/>
    <m/>
    <m/>
  </r>
  <r>
    <s v="Mourik Infra B.V."/>
    <x v="11"/>
    <m/>
    <n v="15"/>
    <s v="1HRL"/>
    <m/>
    <n v="74.8"/>
    <n v="74.7"/>
    <s v="3R-L"/>
    <m/>
    <n v="74.7"/>
    <n v="74.8"/>
    <x v="1"/>
    <m/>
    <d v="2021-10-23T00:00:00"/>
    <m/>
    <n v="757000"/>
    <s v="APH"/>
    <m/>
    <m/>
    <m/>
  </r>
  <r>
    <s v="Mourik Infra B.V."/>
    <x v="11"/>
    <m/>
    <n v="15"/>
    <s v="1HRL"/>
    <m/>
    <n v="64.05"/>
    <n v="63.8"/>
    <s v="2R-L"/>
    <m/>
    <n v="63.8"/>
    <n v="64.05"/>
    <x v="1"/>
    <m/>
    <d v="2021-11-18T00:00:00"/>
    <m/>
    <n v="757000"/>
    <s v="APH"/>
    <m/>
    <m/>
    <m/>
  </r>
  <r>
    <s v="Mourik Infra B.V."/>
    <x v="11"/>
    <m/>
    <n v="15"/>
    <s v="1HRR"/>
    <m/>
    <n v="65.5"/>
    <n v="65.7"/>
    <s v="3R-R"/>
    <m/>
    <n v="65.5"/>
    <n v="65.7"/>
    <x v="1"/>
    <m/>
    <d v="2021-11-26T00:00:00"/>
    <m/>
    <n v="757000"/>
    <s v="APH"/>
    <m/>
    <m/>
    <m/>
  </r>
  <r>
    <s v="Mourik Infra B.V."/>
    <x v="11"/>
    <m/>
    <n v="15"/>
    <s v="1HRR"/>
    <m/>
    <n v="65.7"/>
    <n v="66"/>
    <s v="3R-R"/>
    <m/>
    <n v="65.7"/>
    <n v="66"/>
    <x v="1"/>
    <m/>
    <d v="2021-11-26T00:00:00"/>
    <m/>
    <n v="757000"/>
    <s v="APH"/>
    <m/>
    <m/>
    <m/>
  </r>
  <r>
    <s v="Mourik Infra B.V."/>
    <x v="11"/>
    <m/>
    <n v="15"/>
    <s v="1HRR"/>
    <m/>
    <n v="66"/>
    <n v="66.27"/>
    <s v="3R-R"/>
    <m/>
    <n v="66"/>
    <n v="66.27"/>
    <x v="1"/>
    <m/>
    <d v="2021-11-26T00:00:00"/>
    <m/>
    <n v="757000"/>
    <s v="APH"/>
    <m/>
    <m/>
    <m/>
  </r>
  <r>
    <s v="Mourik Infra B.V."/>
    <x v="11"/>
    <m/>
    <n v="15"/>
    <s v="1HRL"/>
    <m/>
    <n v="64.05"/>
    <n v="63.75"/>
    <s v="2R-L"/>
    <m/>
    <n v="63.75"/>
    <n v="64.05"/>
    <x v="8"/>
    <m/>
    <d v="2021-12-03T00:00:00"/>
    <m/>
    <n v="457135"/>
    <s v="APH"/>
    <m/>
    <m/>
    <m/>
  </r>
  <r>
    <s v="Mourik Infra B.V."/>
    <x v="11"/>
    <m/>
    <n v="15"/>
    <s v="1HRL"/>
    <m/>
    <n v="64.045000000000002"/>
    <n v="63.744999999999997"/>
    <s v="2R-L"/>
    <m/>
    <n v="63.744999999999997"/>
    <n v="64.045000000000002"/>
    <x v="1"/>
    <m/>
    <d v="2021-12-03T00:00:00"/>
    <m/>
    <n v="757000"/>
    <s v="APH"/>
    <m/>
    <m/>
    <m/>
  </r>
  <r>
    <s v="Mourik Infra B.V."/>
    <x v="11"/>
    <m/>
    <n v="15"/>
    <s v="1HRR"/>
    <m/>
    <n v="64.16"/>
    <n v="64.16"/>
    <s v="ALL"/>
    <s v="ALLE"/>
    <n v="64.16"/>
    <n v="64.16"/>
    <x v="8"/>
    <m/>
    <d v="2021-05-12T00:00:00"/>
    <m/>
    <n v="457135"/>
    <s v="APH"/>
    <m/>
    <m/>
    <m/>
  </r>
  <r>
    <s v="Mourik Infra B.V."/>
    <x v="11"/>
    <m/>
    <n v="15"/>
    <s v="1HRR"/>
    <m/>
    <n v="64.16"/>
    <n v="64.16"/>
    <s v="ALL"/>
    <s v="ALLE"/>
    <n v="64.16"/>
    <n v="64.16"/>
    <x v="1"/>
    <m/>
    <d v="2021-05-25T00:00:00"/>
    <m/>
    <n v="757000"/>
    <s v="APH"/>
    <m/>
    <m/>
    <m/>
  </r>
  <r>
    <s v="Mourik Infra B.V."/>
    <x v="11"/>
    <m/>
    <n v="15"/>
    <s v="1HRL"/>
    <m/>
    <n v="64.55"/>
    <n v="64.55"/>
    <s v="ALL"/>
    <s v="ALLE"/>
    <n v="64.55"/>
    <n v="64.55"/>
    <x v="18"/>
    <m/>
    <d v="2021-04-29T00:00:00"/>
    <m/>
    <n v="163164"/>
    <s v="APH"/>
    <m/>
    <m/>
    <m/>
  </r>
  <r>
    <s v="Mourik Infra B.V."/>
    <x v="11"/>
    <m/>
    <n v="15"/>
    <s v="1HRL"/>
    <m/>
    <n v="64.55"/>
    <n v="64.55"/>
    <s v="ALL"/>
    <s v="ALLE"/>
    <n v="64.55"/>
    <n v="64.55"/>
    <x v="1"/>
    <m/>
    <d v="2021-04-29T00:00:00"/>
    <m/>
    <n v="757000"/>
    <s v="APH"/>
    <m/>
    <m/>
    <m/>
  </r>
  <r>
    <s v="Mourik Infra B.V."/>
    <x v="11"/>
    <m/>
    <n v="15"/>
    <s v="1HRR"/>
    <m/>
    <n v="64.8"/>
    <n v="64.849999999999994"/>
    <s v="ALL"/>
    <s v="ALLE"/>
    <n v="64.8"/>
    <n v="64.849999999999994"/>
    <x v="18"/>
    <m/>
    <d v="2021-11-26T00:00:00"/>
    <m/>
    <n v="163164"/>
    <s v="APH"/>
    <m/>
    <m/>
    <m/>
  </r>
  <r>
    <s v="Mourik Infra B.V."/>
    <x v="11"/>
    <m/>
    <n v="15"/>
    <s v="1HRR"/>
    <m/>
    <n v="64.8"/>
    <n v="64.849999999999994"/>
    <s v="ALL"/>
    <s v="ALLE"/>
    <n v="64.8"/>
    <n v="64.849999999999994"/>
    <x v="1"/>
    <m/>
    <d v="2021-11-26T00:00:00"/>
    <m/>
    <n v="757000"/>
    <s v="APH"/>
    <m/>
    <m/>
    <m/>
  </r>
  <r>
    <s v="Mourik Infra B.V."/>
    <x v="11"/>
    <m/>
    <n v="15"/>
    <s v="1HRL"/>
    <m/>
    <n v="65.2"/>
    <n v="65.2"/>
    <s v="ALL"/>
    <s v="ALLE"/>
    <n v="65.2"/>
    <n v="65.2"/>
    <x v="1"/>
    <m/>
    <d v="2021-01-20T00:00:00"/>
    <m/>
    <n v="757000"/>
    <s v="APH"/>
    <m/>
    <m/>
    <m/>
  </r>
  <r>
    <s v="Mourik Infra B.V."/>
    <x v="11"/>
    <m/>
    <n v="15"/>
    <s v="1HRL"/>
    <m/>
    <n v="65.2"/>
    <n v="65.2"/>
    <s v="ALL"/>
    <s v="ALLE"/>
    <n v="65.2"/>
    <n v="65.2"/>
    <x v="18"/>
    <m/>
    <d v="2021-01-20T00:00:00"/>
    <m/>
    <n v="163164"/>
    <s v="APH"/>
    <m/>
    <m/>
    <m/>
  </r>
  <r>
    <s v="Mourik Infra B.V."/>
    <x v="11"/>
    <m/>
    <n v="16"/>
    <s v="0VW"/>
    <s v="y"/>
    <n v="23.64"/>
    <n v="23.64"/>
    <s v="ALL"/>
    <s v="ALLE"/>
    <n v="23.64"/>
    <n v="23.64"/>
    <x v="18"/>
    <m/>
    <d v="2021-04-21T00:00:00"/>
    <m/>
    <n v="163164"/>
    <s v="APH"/>
    <m/>
    <m/>
    <m/>
  </r>
  <r>
    <s v="Mourik Infra B.V."/>
    <x v="11"/>
    <m/>
    <n v="16"/>
    <s v="0VW"/>
    <s v="y"/>
    <n v="23.64"/>
    <n v="23.64"/>
    <s v="ALL"/>
    <s v="ALLE"/>
    <n v="23.64"/>
    <n v="23.64"/>
    <x v="1"/>
    <m/>
    <d v="2021-04-21T00:00:00"/>
    <m/>
    <n v="757000"/>
    <s v="APH"/>
    <m/>
    <m/>
    <m/>
  </r>
  <r>
    <s v="Mourik Infra B.V."/>
    <x v="11"/>
    <m/>
    <n v="16"/>
    <s v="1HRR"/>
    <m/>
    <n v="25.35"/>
    <n v="25.35"/>
    <s v="ALL"/>
    <s v="ALLE"/>
    <n v="25.35"/>
    <n v="25.35"/>
    <x v="18"/>
    <m/>
    <d v="2021-04-20T00:00:00"/>
    <m/>
    <n v="163164"/>
    <s v="APH"/>
    <m/>
    <m/>
    <m/>
  </r>
  <r>
    <s v="Mourik Infra B.V."/>
    <x v="11"/>
    <m/>
    <n v="16"/>
    <s v="1HRR"/>
    <m/>
    <n v="25.35"/>
    <n v="25.35"/>
    <s v="ALL"/>
    <s v="ALLE"/>
    <n v="25.35"/>
    <n v="25.35"/>
    <x v="1"/>
    <m/>
    <d v="2021-04-20T00:00:00"/>
    <m/>
    <n v="757000"/>
    <s v="APH"/>
    <m/>
    <m/>
    <m/>
  </r>
  <r>
    <s v="Mourik Infra B.V."/>
    <x v="11"/>
    <m/>
    <n v="16"/>
    <s v="1HRL"/>
    <m/>
    <n v="28.15"/>
    <n v="28.15"/>
    <s v="ALL"/>
    <s v="ALLE"/>
    <n v="28.15"/>
    <n v="28.15"/>
    <x v="18"/>
    <m/>
    <d v="2021-04-19T00:00:00"/>
    <m/>
    <n v="163164"/>
    <s v="APH"/>
    <m/>
    <m/>
    <m/>
  </r>
  <r>
    <s v="Mourik Infra B.V."/>
    <x v="11"/>
    <m/>
    <n v="16"/>
    <s v="1HRL"/>
    <m/>
    <n v="28.15"/>
    <n v="28.15"/>
    <s v="ALL"/>
    <s v="ALLE"/>
    <n v="28.15"/>
    <n v="28.15"/>
    <x v="1"/>
    <m/>
    <d v="2021-04-19T00:00:00"/>
    <m/>
    <n v="757000"/>
    <s v="APH"/>
    <m/>
    <m/>
    <m/>
  </r>
  <r>
    <s v="Mourik Infra B.V."/>
    <x v="11"/>
    <m/>
    <n v="16"/>
    <s v="1HRL"/>
    <m/>
    <n v="28.15"/>
    <n v="28.15"/>
    <s v="ALL"/>
    <s v="ALLE"/>
    <n v="28.15"/>
    <n v="28.15"/>
    <x v="18"/>
    <m/>
    <d v="2021-05-18T00:00:00"/>
    <m/>
    <n v="163164"/>
    <s v="APH"/>
    <m/>
    <m/>
    <m/>
  </r>
  <r>
    <s v="Mourik Infra B.V."/>
    <x v="11"/>
    <m/>
    <n v="16"/>
    <s v="1HRL"/>
    <m/>
    <n v="28.15"/>
    <n v="28.15"/>
    <s v="ALL"/>
    <s v="ALLE"/>
    <n v="28.15"/>
    <n v="28.15"/>
    <x v="1"/>
    <m/>
    <d v="2021-05-18T00:00:00"/>
    <m/>
    <n v="757000"/>
    <s v="APH"/>
    <m/>
    <m/>
    <m/>
  </r>
  <r>
    <s v="Mourik Infra B.V."/>
    <x v="11"/>
    <m/>
    <n v="16"/>
    <s v="1HRR"/>
    <m/>
    <n v="28.5"/>
    <n v="28.5"/>
    <s v="ALL"/>
    <s v="ALLE"/>
    <n v="28.5"/>
    <n v="28.5"/>
    <x v="18"/>
    <m/>
    <d v="2021-04-28T00:00:00"/>
    <m/>
    <n v="163164"/>
    <s v="APH"/>
    <m/>
    <m/>
    <m/>
  </r>
  <r>
    <s v="Mourik Infra B.V."/>
    <x v="11"/>
    <m/>
    <n v="16"/>
    <s v="1HRR"/>
    <m/>
    <n v="28.5"/>
    <n v="28.5"/>
    <s v="ALL"/>
    <s v="ALLE"/>
    <n v="28.5"/>
    <n v="28.5"/>
    <x v="1"/>
    <m/>
    <d v="2021-04-28T00:00:00"/>
    <m/>
    <n v="757000"/>
    <s v="APH"/>
    <m/>
    <m/>
    <m/>
  </r>
  <r>
    <s v="Mourik Infra B.V."/>
    <x v="11"/>
    <m/>
    <n v="16"/>
    <s v="0VW"/>
    <s v="m"/>
    <n v="35.24"/>
    <n v="35.24"/>
    <s v="ALL"/>
    <s v="ALLE"/>
    <n v="35.24"/>
    <n v="35.24"/>
    <x v="18"/>
    <m/>
    <d v="2021-04-22T00:00:00"/>
    <m/>
    <n v="163164"/>
    <s v="APH"/>
    <m/>
    <m/>
    <m/>
  </r>
  <r>
    <s v="Mourik Infra B.V."/>
    <x v="11"/>
    <m/>
    <n v="16"/>
    <s v="0VW"/>
    <s v="m"/>
    <n v="35.24"/>
    <n v="35.24"/>
    <s v="ALL"/>
    <s v="ALLE"/>
    <n v="35.24"/>
    <n v="35.24"/>
    <x v="1"/>
    <m/>
    <d v="2021-04-22T00:00:00"/>
    <m/>
    <n v="757000"/>
    <s v="APH"/>
    <m/>
    <m/>
    <m/>
  </r>
  <r>
    <s v="Mourik Infra B.V."/>
    <x v="11"/>
    <m/>
    <n v="16"/>
    <s v="1HRR"/>
    <m/>
    <n v="37.17"/>
    <n v="37.22"/>
    <s v="ALL"/>
    <s v="ALLE"/>
    <n v="37.17"/>
    <n v="37.22"/>
    <x v="1"/>
    <m/>
    <d v="2021-09-16T00:00:00"/>
    <m/>
    <n v="757000"/>
    <s v="APH"/>
    <m/>
    <m/>
    <m/>
  </r>
  <r>
    <s v="Mourik Infra B.V."/>
    <x v="11"/>
    <m/>
    <n v="16"/>
    <s v="1HRR"/>
    <m/>
    <n v="37.17"/>
    <n v="37.22"/>
    <s v="ALL"/>
    <s v="ALLE"/>
    <n v="37.17"/>
    <n v="37.22"/>
    <x v="1"/>
    <m/>
    <d v="2021-09-16T00:00:00"/>
    <m/>
    <n v="757000"/>
    <s v="APH"/>
    <m/>
    <m/>
    <m/>
  </r>
  <r>
    <s v="Mourik Infra B.V."/>
    <x v="11"/>
    <m/>
    <n v="16"/>
    <s v="0VW"/>
    <s v="p"/>
    <n v="27.2"/>
    <n v="27.2"/>
    <s v="2R-R"/>
    <m/>
    <n v="27.2"/>
    <n v="27.2"/>
    <x v="1"/>
    <m/>
    <d v="2021-05-04T00:00:00"/>
    <m/>
    <n v="757000"/>
    <s v="APH"/>
    <m/>
    <m/>
    <m/>
  </r>
  <r>
    <s v="Mourik Infra B.V."/>
    <x v="11"/>
    <m/>
    <n v="16"/>
    <s v="0VW"/>
    <s v="p"/>
    <n v="27.3"/>
    <n v="27.3"/>
    <s v="2R-R"/>
    <m/>
    <n v="27.3"/>
    <n v="27.3"/>
    <x v="1"/>
    <m/>
    <d v="2021-05-04T00:00:00"/>
    <m/>
    <n v="757000"/>
    <s v="APH"/>
    <m/>
    <m/>
    <m/>
  </r>
  <r>
    <s v="Mourik Infra B.V."/>
    <x v="11"/>
    <m/>
    <n v="16"/>
    <s v="0VW"/>
    <s v="p"/>
    <n v="27.2"/>
    <n v="27.54"/>
    <s v="2R-L"/>
    <m/>
    <n v="27.2"/>
    <n v="27.54"/>
    <x v="17"/>
    <m/>
    <d v="2021-05-04T00:00:00"/>
    <m/>
    <n v="163165"/>
    <s v="APH"/>
    <m/>
    <m/>
    <m/>
  </r>
  <r>
    <s v="Mourik Infra B.V."/>
    <x v="11"/>
    <m/>
    <n v="27"/>
    <s v="1HRR"/>
    <m/>
    <n v="37.85"/>
    <n v="37.950000000000003"/>
    <s v="ALL"/>
    <s v="ALLE"/>
    <n v="37.85"/>
    <n v="37.950000000000003"/>
    <x v="1"/>
    <m/>
    <d v="2021-12-02T00:00:00"/>
    <m/>
    <n v="757000"/>
    <s v="APH"/>
    <m/>
    <m/>
    <m/>
  </r>
  <r>
    <s v="Mourik Infra B.V."/>
    <x v="11"/>
    <m/>
    <n v="27"/>
    <s v="1HRL"/>
    <m/>
    <n v="35.075000000000003"/>
    <n v="35.06"/>
    <s v="2R-L"/>
    <m/>
    <n v="35.06"/>
    <n v="35.075000000000003"/>
    <x v="1"/>
    <m/>
    <d v="2021-11-19T00:00:00"/>
    <m/>
    <n v="757000"/>
    <s v="APH"/>
    <m/>
    <m/>
    <m/>
  </r>
  <r>
    <s v="Mourik Infra B.V."/>
    <x v="11"/>
    <m/>
    <n v="27"/>
    <s v="1HRR"/>
    <m/>
    <n v="36.049999999999997"/>
    <n v="36.4"/>
    <s v="1R-R"/>
    <m/>
    <n v="36.049999999999997"/>
    <n v="36.4"/>
    <x v="1"/>
    <m/>
    <d v="2021-11-29T00:00:00"/>
    <m/>
    <n v="757000"/>
    <s v="APH"/>
    <m/>
    <m/>
    <m/>
  </r>
  <r>
    <s v="Mourik Infra B.V."/>
    <x v="11"/>
    <m/>
    <n v="27"/>
    <s v="1HRR"/>
    <m/>
    <n v="36.049999999999997"/>
    <n v="36.4"/>
    <s v="2R-R"/>
    <m/>
    <n v="36.049999999999997"/>
    <n v="36.4"/>
    <x v="1"/>
    <m/>
    <d v="2021-11-29T00:00:00"/>
    <m/>
    <n v="757000"/>
    <s v="APH"/>
    <m/>
    <m/>
    <m/>
  </r>
  <r>
    <s v="Mourik Infra B.V."/>
    <x v="11"/>
    <m/>
    <n v="27"/>
    <s v="1HRR"/>
    <m/>
    <n v="36.5"/>
    <n v="36.770000000000003"/>
    <s v="2R-R"/>
    <m/>
    <n v="36.5"/>
    <n v="36.770000000000003"/>
    <x v="1"/>
    <m/>
    <d v="2021-11-29T00:00:00"/>
    <m/>
    <n v="757000"/>
    <s v="APH"/>
    <m/>
    <m/>
    <m/>
  </r>
  <r>
    <s v="Mourik Infra B.V."/>
    <x v="11"/>
    <m/>
    <n v="27"/>
    <s v="1HRR"/>
    <m/>
    <n v="36.475000000000001"/>
    <n v="36.619999999999997"/>
    <s v="2R-R"/>
    <m/>
    <n v="36.475000000000001"/>
    <n v="36.619999999999997"/>
    <x v="1"/>
    <m/>
    <d v="2021-11-30T00:00:00"/>
    <m/>
    <n v="757000"/>
    <s v="APH"/>
    <m/>
    <m/>
    <m/>
  </r>
  <r>
    <s v="Mourik Infra B.V."/>
    <x v="11"/>
    <m/>
    <n v="27"/>
    <s v="1HRR"/>
    <m/>
    <n v="36.880000000000003"/>
    <n v="37.07"/>
    <s v="2R-R"/>
    <m/>
    <n v="36.880000000000003"/>
    <n v="37.07"/>
    <x v="1"/>
    <m/>
    <d v="2021-11-30T00:00:00"/>
    <m/>
    <n v="757000"/>
    <s v="APH"/>
    <m/>
    <m/>
    <m/>
  </r>
  <r>
    <s v="Mourik Infra B.V."/>
    <x v="11"/>
    <m/>
    <n v="27"/>
    <s v="1HRR"/>
    <m/>
    <n v="37.049999999999997"/>
    <n v="37.07"/>
    <s v="1R-R"/>
    <m/>
    <n v="37.049999999999997"/>
    <n v="37.07"/>
    <x v="1"/>
    <m/>
    <d v="2021-11-30T00:00:00"/>
    <m/>
    <n v="757000"/>
    <s v="APH"/>
    <m/>
    <m/>
    <m/>
  </r>
  <r>
    <s v="Mourik Infra B.V."/>
    <x v="11"/>
    <m/>
    <n v="27"/>
    <s v="1HRR"/>
    <m/>
    <n v="37.07"/>
    <n v="37.090000000000003"/>
    <s v="1R-R"/>
    <m/>
    <n v="37.07"/>
    <n v="37.090000000000003"/>
    <x v="1"/>
    <m/>
    <d v="2021-11-30T00:00:00"/>
    <m/>
    <n v="757000"/>
    <s v="APH"/>
    <m/>
    <m/>
    <m/>
  </r>
  <r>
    <s v="Mourik Infra B.V."/>
    <x v="11"/>
    <m/>
    <n v="27"/>
    <s v="1HRR"/>
    <m/>
    <n v="37.1"/>
    <n v="37.200000000000003"/>
    <s v="2R-R"/>
    <m/>
    <n v="37.1"/>
    <n v="37.200000000000003"/>
    <x v="1"/>
    <m/>
    <d v="2021-11-30T00:00:00"/>
    <m/>
    <n v="757000"/>
    <s v="APH"/>
    <m/>
    <m/>
    <m/>
  </r>
  <r>
    <s v="Mourik Infra B.V."/>
    <x v="11"/>
    <m/>
    <n v="27"/>
    <s v="1HRR"/>
    <m/>
    <n v="37.700000000000003"/>
    <n v="38.200000000000003"/>
    <s v="2R-R"/>
    <m/>
    <n v="37.700000000000003"/>
    <n v="38.200000000000003"/>
    <x v="1"/>
    <m/>
    <d v="2021-11-30T00:00:00"/>
    <m/>
    <n v="757000"/>
    <s v="APH"/>
    <m/>
    <m/>
    <m/>
  </r>
  <r>
    <s v="Mourik Infra B.V."/>
    <x v="11"/>
    <m/>
    <n v="27"/>
    <s v="1HRR"/>
    <m/>
    <n v="39.81"/>
    <n v="39.9"/>
    <s v="3R-R"/>
    <m/>
    <n v="39.81"/>
    <n v="39.9"/>
    <x v="18"/>
    <m/>
    <d v="2021-12-01T00:00:00"/>
    <m/>
    <n v="163164"/>
    <s v="APH"/>
    <m/>
    <m/>
    <m/>
  </r>
  <r>
    <s v="Mourik Infra B.V."/>
    <x v="11"/>
    <m/>
    <n v="27"/>
    <s v="1HRR"/>
    <m/>
    <n v="39.799999999999997"/>
    <n v="40"/>
    <s v="3R-R"/>
    <m/>
    <n v="39.799999999999997"/>
    <n v="40"/>
    <x v="1"/>
    <m/>
    <d v="2021-12-01T00:00:00"/>
    <m/>
    <n v="757000"/>
    <s v="APH"/>
    <m/>
    <m/>
    <m/>
  </r>
  <r>
    <s v="Mourik Infra B.V."/>
    <x v="11"/>
    <m/>
    <n v="27"/>
    <s v="1HRR"/>
    <m/>
    <n v="41.54"/>
    <n v="41.6"/>
    <s v="3R-R"/>
    <m/>
    <n v="41.54"/>
    <n v="41.6"/>
    <x v="1"/>
    <m/>
    <d v="2021-12-01T00:00:00"/>
    <m/>
    <n v="757000"/>
    <s v="APH"/>
    <m/>
    <m/>
    <m/>
  </r>
  <r>
    <s v="Mourik Infra B.V."/>
    <x v="11"/>
    <m/>
    <n v="27"/>
    <s v="1HRR"/>
    <m/>
    <n v="42.2"/>
    <n v="42.5"/>
    <s v="1R-R"/>
    <m/>
    <n v="42.2"/>
    <n v="42.5"/>
    <x v="1"/>
    <m/>
    <d v="2021-12-01T00:00:00"/>
    <m/>
    <n v="757000"/>
    <s v="APH"/>
    <m/>
    <m/>
    <m/>
  </r>
  <r>
    <s v="Mourik Infra B.V."/>
    <x v="11"/>
    <m/>
    <n v="27"/>
    <s v="0VW"/>
    <s v="u"/>
    <n v="36.1"/>
    <n v="36.18"/>
    <s v="1U-R"/>
    <m/>
    <n v="36.1"/>
    <n v="36.18"/>
    <x v="1"/>
    <m/>
    <d v="2021-12-02T00:00:00"/>
    <m/>
    <n v="757000"/>
    <s v="APH"/>
    <m/>
    <m/>
    <m/>
  </r>
  <r>
    <s v="Mourik Infra B.V."/>
    <x v="11"/>
    <m/>
    <n v="27"/>
    <s v="0VW"/>
    <s v="u"/>
    <n v="36.07"/>
    <n v="36.1"/>
    <s v="2U-R"/>
    <m/>
    <n v="36.07"/>
    <n v="36.1"/>
    <x v="1"/>
    <m/>
    <d v="2021-12-02T00:00:00"/>
    <m/>
    <n v="757000"/>
    <s v="APH"/>
    <m/>
    <m/>
    <m/>
  </r>
  <r>
    <s v="Mourik Infra B.V."/>
    <x v="11"/>
    <m/>
    <n v="27"/>
    <s v="0VW"/>
    <s v="x"/>
    <n v="36.5"/>
    <n v="36.6"/>
    <s v="1R-R"/>
    <m/>
    <n v="36.5"/>
    <n v="36.6"/>
    <x v="1"/>
    <m/>
    <d v="2021-12-02T00:00:00"/>
    <m/>
    <n v="757000"/>
    <s v="APH"/>
    <m/>
    <m/>
    <m/>
  </r>
  <r>
    <s v="Mourik Infra B.V."/>
    <x v="11"/>
    <m/>
    <n v="27"/>
    <s v="1HRR"/>
    <m/>
    <n v="38.200000000000003"/>
    <n v="38.35"/>
    <s v="3R-R"/>
    <m/>
    <n v="38.200000000000003"/>
    <n v="38.35"/>
    <x v="1"/>
    <m/>
    <d v="2021-12-02T00:00:00"/>
    <m/>
    <n v="757000"/>
    <s v="APH"/>
    <m/>
    <m/>
    <m/>
  </r>
  <r>
    <s v="Mourik Infra B.V."/>
    <x v="11"/>
    <m/>
    <n v="27"/>
    <s v="1HRR"/>
    <m/>
    <n v="38.35"/>
    <n v="38.549999999999997"/>
    <s v="3R-R"/>
    <m/>
    <n v="38.35"/>
    <n v="38.549999999999997"/>
    <x v="1"/>
    <m/>
    <d v="2021-12-02T00:00:00"/>
    <m/>
    <n v="757000"/>
    <s v="APH"/>
    <m/>
    <m/>
    <m/>
  </r>
  <r>
    <s v="Mourik Infra B.V."/>
    <x v="11"/>
    <m/>
    <n v="27"/>
    <s v="1HRR"/>
    <m/>
    <n v="38.549999999999997"/>
    <n v="38.774999999999999"/>
    <s v="3R-R"/>
    <m/>
    <n v="38.549999999999997"/>
    <n v="38.774999999999999"/>
    <x v="1"/>
    <m/>
    <d v="2021-12-02T00:00:00"/>
    <m/>
    <n v="757000"/>
    <s v="APH"/>
    <m/>
    <m/>
    <m/>
  </r>
  <r>
    <s v="Dostal"/>
    <x v="12"/>
    <m/>
    <n v="1"/>
    <s v="1HRL"/>
    <m/>
    <n v="167.42"/>
    <n v="166.92"/>
    <s v="1R-L"/>
    <m/>
    <n v="166.92"/>
    <n v="167.42"/>
    <x v="6"/>
    <s v="35mm ZOAB 0/8 uit/in"/>
    <d v="2021-07-25T00:00:00"/>
    <m/>
    <m/>
    <m/>
    <m/>
    <m/>
    <m/>
  </r>
  <r>
    <s v="Dostal"/>
    <x v="12"/>
    <m/>
    <n v="1"/>
    <s v="1HRL"/>
    <m/>
    <n v="167.42"/>
    <n v="166.92"/>
    <s v="2R-L"/>
    <m/>
    <n v="166.92"/>
    <n v="167.42"/>
    <x v="6"/>
    <s v="35mm ZOAB 0/8 uit/in"/>
    <d v="2021-07-25T00:00:00"/>
    <m/>
    <m/>
    <m/>
    <m/>
    <m/>
    <m/>
  </r>
  <r>
    <s v="Dostal"/>
    <x v="12"/>
    <m/>
    <n v="1"/>
    <s v="1HRL"/>
    <m/>
    <n v="167.25"/>
    <n v="166.92"/>
    <s v="1U-L"/>
    <m/>
    <n v="166.92"/>
    <n v="167.25"/>
    <x v="6"/>
    <s v="35mm ZOAB 0/8 uit/in"/>
    <d v="2021-07-25T00:00:00"/>
    <m/>
    <m/>
    <m/>
    <m/>
    <m/>
    <m/>
  </r>
  <r>
    <s v="Dostal"/>
    <x v="12"/>
    <m/>
    <n v="1"/>
    <s v="1HRL"/>
    <m/>
    <n v="167.42"/>
    <n v="166.92"/>
    <s v="1V-L"/>
    <m/>
    <n v="166.92"/>
    <n v="167.42"/>
    <x v="6"/>
    <s v="35mm ZOAB 0/8 uit/in"/>
    <d v="2021-07-25T00:00:00"/>
    <m/>
    <m/>
    <m/>
    <m/>
    <m/>
    <m/>
  </r>
  <r>
    <s v="Dostal"/>
    <x v="12"/>
    <m/>
    <n v="1"/>
    <s v="1HRL"/>
    <m/>
    <n v="174.15"/>
    <n v="173.9"/>
    <s v="1R-L"/>
    <m/>
    <n v="173.9"/>
    <n v="174.15"/>
    <x v="9"/>
    <s v="50mm ZOAB uit/ZOAB+ in"/>
    <d v="2021-07-25T00:00:00"/>
    <m/>
    <m/>
    <m/>
    <m/>
    <m/>
    <m/>
  </r>
  <r>
    <s v="Dostal"/>
    <x v="12"/>
    <m/>
    <n v="1"/>
    <s v="1HRL"/>
    <m/>
    <n v="174.15"/>
    <n v="173.9"/>
    <s v="2R-L"/>
    <m/>
    <n v="173.9"/>
    <n v="174.15"/>
    <x v="9"/>
    <s v="50mm ZOAB uit/ZOAB+ in"/>
    <d v="2021-07-25T00:00:00"/>
    <m/>
    <m/>
    <m/>
    <m/>
    <m/>
    <m/>
  </r>
  <r>
    <s v="Dostal"/>
    <x v="12"/>
    <m/>
    <n v="1"/>
    <s v="1HRL"/>
    <m/>
    <n v="174.15"/>
    <n v="173.9"/>
    <s v="1V-L"/>
    <m/>
    <n v="173.9"/>
    <n v="174.15"/>
    <x v="9"/>
    <s v="50mm ZOAB uit/ZOAB+ in"/>
    <d v="2021-07-25T00:00:00"/>
    <m/>
    <m/>
    <m/>
    <m/>
    <m/>
    <m/>
  </r>
  <r>
    <s v="Dostal"/>
    <x v="12"/>
    <m/>
    <n v="1"/>
    <s v="1HRL"/>
    <m/>
    <n v="177.02500000000001"/>
    <n v="176.88"/>
    <s v="1R-L"/>
    <m/>
    <n v="176.88"/>
    <n v="177.02500000000001"/>
    <x v="6"/>
    <s v="30mm ZOAB uit/ZOAB+ 0/8 in"/>
    <d v="2021-07-25T00:00:00"/>
    <m/>
    <m/>
    <m/>
    <m/>
    <m/>
    <m/>
  </r>
  <r>
    <s v="Dostal"/>
    <x v="12"/>
    <m/>
    <n v="1"/>
    <s v="1HRL"/>
    <m/>
    <n v="177.02500000000001"/>
    <n v="176.88"/>
    <s v="2R-L"/>
    <m/>
    <n v="176.88"/>
    <n v="177.02500000000001"/>
    <x v="6"/>
    <s v="30mm ZOAB uit/ZOAB+ 0/8 in"/>
    <d v="2021-07-25T00:00:00"/>
    <m/>
    <m/>
    <m/>
    <m/>
    <m/>
    <m/>
  </r>
  <r>
    <s v="Dostal"/>
    <x v="12"/>
    <m/>
    <n v="1"/>
    <s v="1HRL"/>
    <m/>
    <n v="177.02500000000001"/>
    <n v="176.88"/>
    <s v="1V-L"/>
    <m/>
    <n v="176.88"/>
    <n v="177.02500000000001"/>
    <x v="6"/>
    <s v="30mm ZOAB uit/ZOAB+ 0/8 in"/>
    <d v="2021-07-25T00:00:00"/>
    <m/>
    <m/>
    <m/>
    <m/>
    <m/>
    <m/>
  </r>
  <r>
    <s v="Dostal"/>
    <x v="12"/>
    <m/>
    <n v="1"/>
    <s v="1HRL"/>
    <m/>
    <n v="176.88"/>
    <n v="176.8"/>
    <s v="1R-L"/>
    <m/>
    <n v="176.8"/>
    <n v="176.88"/>
    <x v="9"/>
    <s v="50mm ZOAB16 uit/ZOAB+ in"/>
    <d v="2021-07-25T00:00:00"/>
    <m/>
    <m/>
    <m/>
    <m/>
    <m/>
    <m/>
  </r>
  <r>
    <s v="Dostal"/>
    <x v="12"/>
    <m/>
    <n v="1"/>
    <s v="1HRL"/>
    <m/>
    <n v="176.88"/>
    <n v="176.8"/>
    <s v="2R-L"/>
    <m/>
    <n v="176.8"/>
    <n v="176.88"/>
    <x v="9"/>
    <s v="50mm ZOAB16 uit/ZOAB+ in"/>
    <d v="2021-07-25T00:00:00"/>
    <m/>
    <m/>
    <m/>
    <m/>
    <m/>
    <m/>
  </r>
  <r>
    <s v="Dostal"/>
    <x v="12"/>
    <m/>
    <n v="1"/>
    <s v="1HRL"/>
    <m/>
    <n v="176.88"/>
    <n v="176.8"/>
    <s v="1V-L"/>
    <m/>
    <n v="176.8"/>
    <n v="176.88"/>
    <x v="9"/>
    <s v="50mm ZOAB16 uit/ZOAB+ in"/>
    <d v="2021-07-25T00:00:00"/>
    <m/>
    <m/>
    <m/>
    <m/>
    <m/>
    <m/>
  </r>
  <r>
    <s v="Dostal"/>
    <x v="12"/>
    <m/>
    <n v="1"/>
    <s v="1HRL"/>
    <m/>
    <n v="176.5"/>
    <n v="176.39"/>
    <s v="1R-L"/>
    <m/>
    <n v="176.39"/>
    <n v="176.5"/>
    <x v="6"/>
    <s v="35mm ZOAB uit/ZOAB+ 0/8 in"/>
    <d v="2021-07-25T00:00:00"/>
    <m/>
    <m/>
    <m/>
    <m/>
    <m/>
    <m/>
  </r>
  <r>
    <s v="Dostal"/>
    <x v="12"/>
    <m/>
    <n v="1"/>
    <s v="1HRL"/>
    <m/>
    <n v="176.5"/>
    <n v="176.39"/>
    <s v="2R-L"/>
    <m/>
    <n v="176.39"/>
    <n v="176.5"/>
    <x v="6"/>
    <s v="35mm ZOAB uit/ZOAB+ 0/8 in"/>
    <d v="2021-07-25T00:00:00"/>
    <m/>
    <m/>
    <m/>
    <m/>
    <m/>
    <m/>
  </r>
  <r>
    <s v="Dostal"/>
    <x v="12"/>
    <m/>
    <n v="1"/>
    <s v="1HRL"/>
    <m/>
    <n v="176.5"/>
    <n v="176.39"/>
    <s v="1U-L"/>
    <m/>
    <n v="176.39"/>
    <n v="176.5"/>
    <x v="6"/>
    <s v="35mm ZOAB uit/ZOAB+ 0/8 in"/>
    <d v="2021-07-25T00:00:00"/>
    <m/>
    <m/>
    <m/>
    <m/>
    <m/>
    <m/>
  </r>
  <r>
    <s v="Dostal"/>
    <x v="12"/>
    <m/>
    <n v="1"/>
    <s v="1HRL"/>
    <m/>
    <n v="176.5"/>
    <n v="176.39"/>
    <s v="1V-L"/>
    <m/>
    <n v="176.39"/>
    <n v="176.5"/>
    <x v="6"/>
    <s v="35mm ZOAB uit/ZOAB+ 0/8 in"/>
    <d v="2021-07-25T00:00:00"/>
    <m/>
    <m/>
    <m/>
    <m/>
    <m/>
    <m/>
  </r>
  <r>
    <s v="Dostal"/>
    <x v="12"/>
    <m/>
    <n v="1"/>
    <s v="1HRL"/>
    <m/>
    <n v="176.1"/>
    <n v="176.035"/>
    <s v="1R-L"/>
    <m/>
    <n v="176.035"/>
    <n v="176.1"/>
    <x v="6"/>
    <s v="30mm ZOAB uit/ZOAB+ 0/8 in"/>
    <d v="2021-07-25T00:00:00"/>
    <m/>
    <m/>
    <m/>
    <m/>
    <m/>
    <m/>
  </r>
  <r>
    <s v="Dostal"/>
    <x v="12"/>
    <m/>
    <n v="1"/>
    <s v="1HRL"/>
    <m/>
    <n v="176.1"/>
    <n v="176.035"/>
    <s v="2R-L"/>
    <m/>
    <n v="176.035"/>
    <n v="176.1"/>
    <x v="6"/>
    <s v="30mm ZOAB uit/ZOAB+ 0/8 in"/>
    <d v="2021-07-25T00:00:00"/>
    <m/>
    <m/>
    <m/>
    <m/>
    <m/>
    <m/>
  </r>
  <r>
    <s v="Dostal"/>
    <x v="12"/>
    <m/>
    <n v="1"/>
    <s v="1HRL"/>
    <m/>
    <n v="176.1"/>
    <n v="176.035"/>
    <s v="1V-L"/>
    <m/>
    <n v="176.035"/>
    <n v="176.1"/>
    <x v="6"/>
    <s v="30mm ZOAB uit/ZOAB+ 0/8 in"/>
    <d v="2021-07-25T00:00:00"/>
    <m/>
    <m/>
    <m/>
    <m/>
    <m/>
    <m/>
  </r>
  <r>
    <s v="Dostal"/>
    <x v="12"/>
    <m/>
    <n v="1"/>
    <s v="0VW"/>
    <s v="c"/>
    <n v="169.65"/>
    <n v="169.55"/>
    <s v="1R-L"/>
    <m/>
    <n v="169.55"/>
    <n v="169.65"/>
    <x v="4"/>
    <s v="40mm SMA-NL 11b uit/in"/>
    <d v="2021-07-25T00:00:00"/>
    <m/>
    <m/>
    <m/>
    <m/>
    <m/>
    <m/>
  </r>
  <r>
    <s v="Dostal"/>
    <x v="12"/>
    <m/>
    <n v="1"/>
    <s v="1HRL"/>
    <m/>
    <n v="169.97"/>
    <n v="169.85"/>
    <s v="1R-L"/>
    <m/>
    <n v="169.85"/>
    <n v="169.97"/>
    <x v="9"/>
    <s v="50mm ZOAB uit/ZOAB+ in"/>
    <d v="2021-07-25T00:00:00"/>
    <m/>
    <m/>
    <m/>
    <m/>
    <m/>
    <m/>
  </r>
  <r>
    <s v="Dostal"/>
    <x v="12"/>
    <m/>
    <n v="1"/>
    <s v="1HRL"/>
    <m/>
    <n v="169.97"/>
    <n v="169.85"/>
    <s v="2R-L"/>
    <m/>
    <n v="169.85"/>
    <n v="169.97"/>
    <x v="9"/>
    <s v="50mm ZOAB uit/ZOAB+ in"/>
    <d v="2021-07-25T00:00:00"/>
    <m/>
    <m/>
    <m/>
    <m/>
    <m/>
    <m/>
  </r>
  <r>
    <s v="Dostal"/>
    <x v="12"/>
    <m/>
    <n v="1"/>
    <s v="1HRL"/>
    <m/>
    <n v="169.97"/>
    <n v="169.85"/>
    <s v="1U-L"/>
    <m/>
    <n v="169.85"/>
    <n v="169.97"/>
    <x v="9"/>
    <s v="50mm ZOAB uit/ZOAB+ in"/>
    <d v="2021-07-25T00:00:00"/>
    <m/>
    <m/>
    <m/>
    <m/>
    <m/>
    <m/>
  </r>
  <r>
    <s v="Dostal"/>
    <x v="12"/>
    <m/>
    <n v="1"/>
    <s v="1HRL"/>
    <m/>
    <n v="169.97"/>
    <n v="169.85"/>
    <s v="1V-L"/>
    <m/>
    <n v="169.85"/>
    <n v="169.97"/>
    <x v="9"/>
    <s v="50mm ZOAB uit/ZOAB+ in"/>
    <d v="2021-07-25T00:00:00"/>
    <m/>
    <m/>
    <m/>
    <m/>
    <m/>
    <m/>
  </r>
  <r>
    <s v="Dostal"/>
    <x v="12"/>
    <m/>
    <n v="1"/>
    <s v="1HRR"/>
    <m/>
    <n v="166.78"/>
    <n v="167.42"/>
    <s v="1R-R"/>
    <m/>
    <n v="166.78"/>
    <n v="167.42"/>
    <x v="6"/>
    <s v="25mm ZOABTW PA toplaag uit/in (toplaag)"/>
    <d v="2021-07-11T00:00:00"/>
    <m/>
    <m/>
    <m/>
    <m/>
    <m/>
    <m/>
  </r>
  <r>
    <s v="Dostal"/>
    <x v="12"/>
    <m/>
    <n v="1"/>
    <s v="1HRR"/>
    <m/>
    <n v="166.78"/>
    <n v="167.42"/>
    <s v="2R-R"/>
    <m/>
    <n v="166.78"/>
    <n v="167.42"/>
    <x v="6"/>
    <s v="25mm ZOABTW PA toplaag uit/in (toplaag)"/>
    <d v="2021-07-11T00:00:00"/>
    <m/>
    <m/>
    <m/>
    <m/>
    <m/>
    <m/>
  </r>
  <r>
    <s v="Dostal"/>
    <x v="12"/>
    <m/>
    <n v="1"/>
    <s v="1HRR"/>
    <m/>
    <n v="166.78"/>
    <n v="167.215"/>
    <s v="1U-R"/>
    <m/>
    <n v="166.78"/>
    <n v="167.215"/>
    <x v="6"/>
    <s v="25mm ZOABTW PA toplaag uit/in (toplaag)"/>
    <d v="2021-07-11T00:00:00"/>
    <m/>
    <m/>
    <m/>
    <m/>
    <m/>
    <m/>
  </r>
  <r>
    <s v="Dostal"/>
    <x v="12"/>
    <m/>
    <n v="1"/>
    <s v="1HRR"/>
    <m/>
    <n v="166.78"/>
    <n v="167.42"/>
    <s v="1V-R"/>
    <m/>
    <n v="166.78"/>
    <n v="167.42"/>
    <x v="6"/>
    <s v="25mm ZOABTW PA toplaag uit/in (toplaag)"/>
    <d v="2021-07-11T00:00:00"/>
    <m/>
    <m/>
    <m/>
    <m/>
    <m/>
    <m/>
  </r>
  <r>
    <s v="Dostal"/>
    <x v="12"/>
    <m/>
    <n v="1"/>
    <s v="1HRR"/>
    <m/>
    <n v="174.07499999999999"/>
    <n v="174.5"/>
    <s v="1R-R"/>
    <m/>
    <n v="174.07499999999999"/>
    <n v="174.5"/>
    <x v="6"/>
    <s v="70mm ZOAB+ uit/in"/>
    <d v="2021-07-11T00:00:00"/>
    <m/>
    <m/>
    <m/>
    <m/>
    <m/>
    <m/>
  </r>
  <r>
    <s v="Dostal"/>
    <x v="12"/>
    <m/>
    <n v="1"/>
    <s v="1HRR"/>
    <m/>
    <n v="174.07499999999999"/>
    <n v="174.32499999999999"/>
    <s v="2R-R"/>
    <m/>
    <n v="174.07499999999999"/>
    <n v="174.32499999999999"/>
    <x v="6"/>
    <s v="70mm ZOAB+ uit/in"/>
    <d v="2021-07-11T00:00:00"/>
    <m/>
    <m/>
    <m/>
    <m/>
    <m/>
    <m/>
  </r>
  <r>
    <s v="Dostal"/>
    <x v="12"/>
    <m/>
    <n v="1"/>
    <s v="1HRR"/>
    <m/>
    <n v="174.07499999999999"/>
    <n v="174.32499999999999"/>
    <s v="1V-R"/>
    <m/>
    <n v="174.07499999999999"/>
    <n v="174.32499999999999"/>
    <x v="6"/>
    <s v="70mm ZOAB+ uit/in"/>
    <d v="2021-07-11T00:00:00"/>
    <m/>
    <m/>
    <m/>
    <m/>
    <m/>
    <m/>
  </r>
  <r>
    <s v="Dostal"/>
    <x v="12"/>
    <m/>
    <n v="1"/>
    <s v="1HRR"/>
    <m/>
    <n v="169.86"/>
    <n v="170"/>
    <s v="1R-R"/>
    <m/>
    <n v="169.86"/>
    <n v="170"/>
    <x v="1"/>
    <s v="50mm ZOAB uit/in"/>
    <d v="2021-07-11T00:00:00"/>
    <m/>
    <m/>
    <m/>
    <m/>
    <m/>
    <m/>
  </r>
  <r>
    <s v="Dostal"/>
    <x v="12"/>
    <m/>
    <n v="1"/>
    <s v="1HRR"/>
    <m/>
    <n v="169.86"/>
    <n v="170"/>
    <s v="2R-R"/>
    <m/>
    <n v="169.86"/>
    <n v="170"/>
    <x v="1"/>
    <s v="50mm ZOAB uit/in"/>
    <d v="2021-07-11T00:00:00"/>
    <m/>
    <m/>
    <m/>
    <m/>
    <m/>
    <m/>
  </r>
  <r>
    <s v="Dostal"/>
    <x v="12"/>
    <m/>
    <n v="1"/>
    <s v="1HRR"/>
    <m/>
    <n v="169.75"/>
    <n v="170"/>
    <s v="1I-R"/>
    <m/>
    <n v="169.75"/>
    <n v="170"/>
    <x v="1"/>
    <s v="50mm ZOAB uit/in"/>
    <d v="2021-07-11T00:00:00"/>
    <m/>
    <m/>
    <m/>
    <m/>
    <m/>
    <m/>
  </r>
  <r>
    <s v="Dostal"/>
    <x v="12"/>
    <m/>
    <n v="1"/>
    <s v="1HRR"/>
    <m/>
    <n v="169.75"/>
    <n v="170"/>
    <s v="1V-R"/>
    <m/>
    <n v="169.75"/>
    <n v="170"/>
    <x v="1"/>
    <s v="50mm ZOAB uit/in"/>
    <d v="2021-07-11T00:00:00"/>
    <m/>
    <m/>
    <m/>
    <m/>
    <m/>
    <m/>
  </r>
  <r>
    <s v="Dostal"/>
    <x v="12"/>
    <m/>
    <n v="1"/>
    <s v="1HRR"/>
    <m/>
    <n v="176.5"/>
    <n v="176.6"/>
    <s v="1R-R"/>
    <m/>
    <n v="176.5"/>
    <n v="176.6"/>
    <x v="9"/>
    <s v="50mm ZOAB+ uit/in"/>
    <d v="2021-07-11T00:00:00"/>
    <m/>
    <m/>
    <m/>
    <m/>
    <m/>
    <m/>
  </r>
  <r>
    <s v="Dostal"/>
    <x v="12"/>
    <m/>
    <n v="1"/>
    <s v="1HRR"/>
    <m/>
    <n v="176.5"/>
    <n v="176.6"/>
    <s v="2R-R"/>
    <m/>
    <n v="176.5"/>
    <n v="176.6"/>
    <x v="9"/>
    <s v="50mm ZOAB+ uit/in"/>
    <d v="2021-07-11T00:00:00"/>
    <m/>
    <m/>
    <m/>
    <m/>
    <m/>
    <m/>
  </r>
  <r>
    <s v="Dostal"/>
    <x v="12"/>
    <m/>
    <n v="1"/>
    <s v="1HRR"/>
    <m/>
    <n v="176.5"/>
    <n v="176.6"/>
    <s v="1V-R"/>
    <m/>
    <n v="176.5"/>
    <n v="176.6"/>
    <x v="9"/>
    <s v="50mm ZOAB+ uit/in"/>
    <d v="2021-07-11T00:00:00"/>
    <m/>
    <m/>
    <m/>
    <m/>
    <m/>
    <m/>
  </r>
  <r>
    <s v="Dostal"/>
    <x v="12"/>
    <m/>
    <n v="1"/>
    <s v="1HRR"/>
    <m/>
    <n v="176.4"/>
    <n v="176.5"/>
    <s v="1R-R"/>
    <m/>
    <n v="176.4"/>
    <n v="176.5"/>
    <x v="17"/>
    <s v="30mm ZOAB 0/8 uit/in"/>
    <d v="2021-07-11T00:00:00"/>
    <m/>
    <m/>
    <m/>
    <m/>
    <m/>
    <m/>
  </r>
  <r>
    <s v="Dostal"/>
    <x v="12"/>
    <m/>
    <n v="1"/>
    <s v="1HRR"/>
    <m/>
    <n v="176.4"/>
    <n v="176.5"/>
    <s v="2R-R"/>
    <m/>
    <n v="176.4"/>
    <n v="176.5"/>
    <x v="17"/>
    <s v="30mm ZOAB 0/8 uit/in"/>
    <d v="2021-07-11T00:00:00"/>
    <m/>
    <m/>
    <m/>
    <m/>
    <m/>
    <m/>
  </r>
  <r>
    <s v="Dostal"/>
    <x v="12"/>
    <m/>
    <n v="1"/>
    <s v="1HRR"/>
    <m/>
    <n v="176.4"/>
    <n v="176.5"/>
    <s v="1V-R"/>
    <m/>
    <n v="176.4"/>
    <n v="176.5"/>
    <x v="17"/>
    <s v="30mm ZOAB 0/8 uit/in"/>
    <d v="2021-07-11T00:00:00"/>
    <m/>
    <m/>
    <m/>
    <m/>
    <m/>
    <m/>
  </r>
  <r>
    <s v="Dostal"/>
    <x v="12"/>
    <m/>
    <n v="1"/>
    <s v="1HRR"/>
    <m/>
    <n v="176"/>
    <n v="176.1"/>
    <s v="1R-R"/>
    <m/>
    <n v="176"/>
    <n v="176.1"/>
    <x v="17"/>
    <s v="30mm ZOAB 0/8 uit/in"/>
    <d v="2021-07-11T00:00:00"/>
    <m/>
    <m/>
    <m/>
    <m/>
    <m/>
    <m/>
  </r>
  <r>
    <s v="Dostal"/>
    <x v="12"/>
    <m/>
    <n v="1"/>
    <s v="1HRR"/>
    <m/>
    <n v="176"/>
    <n v="176.1"/>
    <s v="2R-R"/>
    <m/>
    <n v="176"/>
    <n v="176.1"/>
    <x v="17"/>
    <s v="30mm ZOAB 0/8 uit/in"/>
    <d v="2021-07-11T00:00:00"/>
    <m/>
    <m/>
    <m/>
    <m/>
    <m/>
    <m/>
  </r>
  <r>
    <s v="Dostal"/>
    <x v="12"/>
    <m/>
    <n v="1"/>
    <s v="1HRR"/>
    <m/>
    <n v="175.95"/>
    <n v="176.1"/>
    <s v="1I-R"/>
    <m/>
    <n v="175.95"/>
    <n v="176.1"/>
    <x v="17"/>
    <s v="30mm ZOAB 0/8 uit/in"/>
    <d v="2021-07-11T00:00:00"/>
    <m/>
    <m/>
    <m/>
    <m/>
    <m/>
    <m/>
  </r>
  <r>
    <s v="Dostal"/>
    <x v="12"/>
    <m/>
    <n v="1"/>
    <s v="1HRR"/>
    <m/>
    <n v="175.95"/>
    <n v="176.1"/>
    <s v="1V-R"/>
    <m/>
    <n v="175.95"/>
    <n v="176.1"/>
    <x v="17"/>
    <s v="30mm ZOAB 0/8 uit/in"/>
    <d v="2021-07-11T00:00:00"/>
    <m/>
    <m/>
    <m/>
    <m/>
    <m/>
    <m/>
  </r>
  <r>
    <s v="Dostal"/>
    <x v="12"/>
    <m/>
    <n v="1"/>
    <s v="1HRR"/>
    <m/>
    <n v="177.01"/>
    <n v="176.88"/>
    <s v="1R-R"/>
    <m/>
    <n v="176.88"/>
    <n v="177.01"/>
    <x v="17"/>
    <s v="25mm ZOAB 0/8 uit/in "/>
    <d v="2021-07-11T00:00:00"/>
    <m/>
    <m/>
    <m/>
    <m/>
    <m/>
    <m/>
  </r>
  <r>
    <s v="Dostal"/>
    <x v="12"/>
    <m/>
    <n v="1"/>
    <s v="1HRR"/>
    <m/>
    <n v="177.01"/>
    <n v="176.88"/>
    <s v="2R-R"/>
    <m/>
    <n v="176.88"/>
    <n v="177.01"/>
    <x v="17"/>
    <s v="25mm ZOAB 0/8 uit/in "/>
    <d v="2021-07-11T00:00:00"/>
    <m/>
    <m/>
    <m/>
    <m/>
    <m/>
    <m/>
  </r>
  <r>
    <s v="Dostal"/>
    <x v="12"/>
    <m/>
    <n v="1"/>
    <s v="1HRR"/>
    <m/>
    <n v="177.01"/>
    <n v="176.88"/>
    <s v="1V-R"/>
    <m/>
    <n v="176.88"/>
    <n v="177.01"/>
    <x v="17"/>
    <s v="25mm ZOAB 0/8 uit/in "/>
    <d v="2021-07-11T00:00:00"/>
    <m/>
    <m/>
    <m/>
    <m/>
    <m/>
    <m/>
  </r>
  <r>
    <s v="Dostal"/>
    <x v="12"/>
    <m/>
    <n v="1"/>
    <s v="1HRR"/>
    <m/>
    <n v="177.2"/>
    <n v="177.01"/>
    <s v="2R-R"/>
    <m/>
    <n v="177.01"/>
    <n v="177.2"/>
    <x v="9"/>
    <s v="50mm ZOAB+ uit/in"/>
    <d v="2021-07-11T00:00:00"/>
    <m/>
    <m/>
    <m/>
    <m/>
    <m/>
    <m/>
  </r>
  <r>
    <s v="Dostal"/>
    <x v="12"/>
    <m/>
    <n v="1"/>
    <s v="1HRR"/>
    <m/>
    <n v="177.3"/>
    <n v="177.2"/>
    <s v="1R-R"/>
    <m/>
    <n v="177.2"/>
    <n v="177.3"/>
    <x v="9"/>
    <s v="50mm ZOAB+ uit/in"/>
    <d v="2021-07-11T00:00:00"/>
    <m/>
    <m/>
    <m/>
    <m/>
    <m/>
    <m/>
  </r>
  <r>
    <s v="Dostal"/>
    <x v="12"/>
    <m/>
    <n v="1"/>
    <s v="1HRR"/>
    <m/>
    <n v="177.3"/>
    <n v="177.2"/>
    <s v="2R-R"/>
    <m/>
    <n v="177.2"/>
    <n v="177.3"/>
    <x v="9"/>
    <s v="50mm ZOAB+ uit/in"/>
    <d v="2021-07-11T00:00:00"/>
    <m/>
    <m/>
    <m/>
    <m/>
    <m/>
    <m/>
  </r>
  <r>
    <s v="Dostal"/>
    <x v="12"/>
    <m/>
    <n v="1"/>
    <s v="1HRR"/>
    <m/>
    <n v="177.3"/>
    <n v="177.2"/>
    <s v="1V-R"/>
    <m/>
    <n v="177.2"/>
    <n v="177.3"/>
    <x v="9"/>
    <s v="50mm ZOAB+ uit/in"/>
    <d v="2021-07-11T00:00:00"/>
    <m/>
    <m/>
    <m/>
    <m/>
    <m/>
    <m/>
  </r>
  <r>
    <s v="Dostal"/>
    <x v="12"/>
    <m/>
    <n v="35"/>
    <s v="1HRR"/>
    <m/>
    <n v="36.475000000000001"/>
    <n v="37.075000000000003"/>
    <s v="1R-R"/>
    <m/>
    <n v="36.475000000000001"/>
    <n v="37.075000000000003"/>
    <x v="60"/>
    <s v="40mm SMA-NL 11b uit/in"/>
    <d v="2021-12-11T00:00:00"/>
    <m/>
    <m/>
    <m/>
    <m/>
    <m/>
    <m/>
  </r>
  <r>
    <s v="Dostal"/>
    <x v="12"/>
    <m/>
    <n v="35"/>
    <s v="1HRR"/>
    <m/>
    <n v="35.78"/>
    <n v="36"/>
    <s v="2R-R"/>
    <m/>
    <n v="35.78"/>
    <n v="36"/>
    <x v="61"/>
    <s v="35mm SMA 8G+ uit/in"/>
    <d v="2021-12-11T00:00:00"/>
    <m/>
    <m/>
    <m/>
    <m/>
    <m/>
    <m/>
  </r>
  <r>
    <s v="Dostal"/>
    <x v="12"/>
    <m/>
    <n v="35"/>
    <s v="1HRM"/>
    <m/>
    <n v="37.475000000000001"/>
    <n v="37.585000000000001"/>
    <s v="1R-R"/>
    <m/>
    <n v="37.475000000000001"/>
    <n v="37.585000000000001"/>
    <x v="60"/>
    <s v="40mm DAB uit/ SMA-NL 11b in"/>
    <d v="2021-12-11T00:00:00"/>
    <m/>
    <m/>
    <m/>
    <m/>
    <m/>
    <m/>
  </r>
  <r>
    <s v="Dostal"/>
    <x v="12"/>
    <m/>
    <n v="35"/>
    <s v="1HRM"/>
    <m/>
    <n v="37.475000000000001"/>
    <n v="37.585000000000001"/>
    <s v="1R-L"/>
    <m/>
    <n v="37.475000000000001"/>
    <n v="37.585000000000001"/>
    <x v="60"/>
    <s v="40mm DAB uit/ SMA-NL 11b in"/>
    <d v="2021-12-11T00:00:00"/>
    <m/>
    <m/>
    <m/>
    <m/>
    <m/>
    <m/>
  </r>
  <r>
    <s v="Dostal"/>
    <x v="12"/>
    <m/>
    <n v="35"/>
    <s v="0VW"/>
    <s v="a"/>
    <n v="43.62"/>
    <n v="43.91"/>
    <s v="1R-R"/>
    <m/>
    <n v="43.62"/>
    <n v="43.91"/>
    <x v="60"/>
    <s v="50mm ZOAB uit/in"/>
    <d v="2021-12-10T00:00:00"/>
    <m/>
    <m/>
    <m/>
    <m/>
    <m/>
    <m/>
  </r>
  <r>
    <s v="Dostal"/>
    <x v="12"/>
    <m/>
    <n v="35"/>
    <s v="0VW"/>
    <s v="a"/>
    <n v="43.62"/>
    <n v="43.91"/>
    <s v="1V-R"/>
    <m/>
    <n v="43.62"/>
    <n v="43.91"/>
    <x v="1"/>
    <s v="50mm ZOAB uit/in"/>
    <d v="2021-12-10T00:00:00"/>
    <m/>
    <m/>
    <m/>
    <m/>
    <m/>
    <m/>
  </r>
  <r>
    <s v="Dostal"/>
    <x v="12"/>
    <m/>
    <n v="36"/>
    <s v="1HRR"/>
    <m/>
    <n v="3.19"/>
    <n v="3.33"/>
    <s v="1R-R"/>
    <m/>
    <n v="3.19"/>
    <n v="3.33"/>
    <x v="60"/>
    <s v="40mm SMA-NL 11b uit/in"/>
    <d v="2021-12-10T00:00:00"/>
    <m/>
    <m/>
    <m/>
    <m/>
    <m/>
    <m/>
  </r>
  <r>
    <s v="Dostal"/>
    <x v="12"/>
    <m/>
    <n v="36"/>
    <s v="1HRR"/>
    <m/>
    <n v="3.33"/>
    <n v="3.39"/>
    <s v="1R-R"/>
    <m/>
    <n v="3.33"/>
    <n v="3.39"/>
    <x v="1"/>
    <s v="50mm ZOAB uit/in"/>
    <d v="2021-12-10T00:00:00"/>
    <m/>
    <m/>
    <m/>
    <m/>
    <m/>
    <m/>
  </r>
  <r>
    <s v="Dostal"/>
    <x v="12"/>
    <m/>
    <n v="36"/>
    <s v="1HRR"/>
    <m/>
    <n v="3.39"/>
    <n v="3.5950000000000002"/>
    <s v="1R-R"/>
    <m/>
    <n v="3.39"/>
    <n v="3.5950000000000002"/>
    <x v="60"/>
    <s v="40mm SMA-NL 11b uit/in"/>
    <d v="2021-12-10T00:00:00"/>
    <m/>
    <m/>
    <m/>
    <m/>
    <m/>
    <m/>
  </r>
  <r>
    <s v="Dostal"/>
    <x v="12"/>
    <m/>
    <n v="36"/>
    <s v="1HRR"/>
    <m/>
    <n v="3.47"/>
    <n v="3.5950000000000002"/>
    <s v="2R-R"/>
    <m/>
    <n v="3.47"/>
    <n v="3.5950000000000002"/>
    <x v="60"/>
    <s v="40mm SMA-NL 11b uit/in"/>
    <d v="2021-12-10T00:00:00"/>
    <m/>
    <m/>
    <m/>
    <m/>
    <m/>
    <m/>
  </r>
  <r>
    <s v="Dostal"/>
    <x v="12"/>
    <m/>
    <n v="35"/>
    <s v="0VW"/>
    <s v="c"/>
    <n v="43.76"/>
    <n v="43.825000000000003"/>
    <s v="1R-L"/>
    <m/>
    <n v="43.76"/>
    <n v="43.825000000000003"/>
    <x v="60"/>
    <s v="40mm SMA-NL 11b uit/in"/>
    <d v="2021-12-10T00:00:00"/>
    <m/>
    <m/>
    <m/>
    <m/>
    <m/>
    <m/>
  </r>
  <r>
    <s v="Dostal"/>
    <x v="12"/>
    <m/>
    <n v="1"/>
    <s v="1HRL"/>
    <m/>
    <n v="157.15"/>
    <n v="156.35"/>
    <s v="1R-L"/>
    <m/>
    <n v="156.35"/>
    <n v="157.15"/>
    <x v="9"/>
    <s v="50mm D-ZOAB Pa 16 Bestone"/>
    <d v="2021-12-21T00:00:00"/>
    <m/>
    <m/>
    <m/>
    <m/>
    <m/>
    <m/>
  </r>
  <r>
    <s v="Dostal"/>
    <x v="12"/>
    <m/>
    <n v="1"/>
    <s v="1HRL"/>
    <m/>
    <n v="157.15"/>
    <n v="156.35"/>
    <s v="2R-L"/>
    <m/>
    <n v="156.35"/>
    <n v="157.15"/>
    <x v="9"/>
    <s v="50mm D-ZOAB Pa 16 Bestone"/>
    <d v="2021-12-21T00:00:00"/>
    <m/>
    <m/>
    <m/>
    <m/>
    <m/>
    <m/>
  </r>
  <r>
    <s v="Dostal"/>
    <x v="12"/>
    <m/>
    <n v="1"/>
    <s v="1HRR"/>
    <m/>
    <n v="156.38"/>
    <n v="157.15"/>
    <s v="1R-R"/>
    <m/>
    <n v="156.38"/>
    <n v="157.15"/>
    <x v="9"/>
    <s v="50mm D-ZOAB Pa 16 Bestone"/>
    <d v="2021-12-21T00:00:00"/>
    <m/>
    <m/>
    <m/>
    <m/>
    <m/>
    <m/>
  </r>
  <r>
    <s v="Dostal"/>
    <x v="12"/>
    <m/>
    <n v="1"/>
    <s v="1HRR"/>
    <m/>
    <n v="156.38"/>
    <n v="157.15"/>
    <s v="2R-R"/>
    <m/>
    <n v="156.38"/>
    <n v="157.15"/>
    <x v="9"/>
    <s v="50mm D-ZOAB Pa 16 Bestone"/>
    <d v="2021-12-21T00:00:00"/>
    <m/>
    <m/>
    <m/>
    <m/>
    <m/>
    <m/>
  </r>
  <r>
    <s v="Vermeulen"/>
    <x v="13"/>
    <n v="31108570"/>
    <n v="16"/>
    <s v="1HRL"/>
    <m/>
    <n v="19.899999999999999"/>
    <n v="19.7"/>
    <s v="2R-L"/>
    <m/>
    <n v="19.7"/>
    <n v="19.899999999999999"/>
    <x v="1"/>
    <m/>
    <d v="2021-03-12T00:00:00"/>
    <s v="0/16"/>
    <n v="76300601"/>
    <s v="APRR"/>
    <n v="73.49999999999973"/>
    <m/>
    <m/>
  </r>
  <r>
    <s v="Vermeulen"/>
    <x v="13"/>
    <n v="31108570"/>
    <n v="16"/>
    <s v="1HRL"/>
    <m/>
    <n v="19.25"/>
    <n v="19.2"/>
    <s v="Toerit"/>
    <m/>
    <n v="19.2"/>
    <n v="19.25"/>
    <x v="1"/>
    <m/>
    <d v="2021-03-12T00:00:00"/>
    <s v="0/16"/>
    <n v="76300601"/>
    <s v="APRR"/>
    <n v="23.625000000000334"/>
    <m/>
    <m/>
  </r>
  <r>
    <s v="Vermeulen"/>
    <x v="13"/>
    <n v="31108570"/>
    <n v="16"/>
    <s v="1HRL"/>
    <m/>
    <n v="19.3"/>
    <n v="19.100000000000001"/>
    <s v="R1,2 en 3"/>
    <m/>
    <n v="19.100000000000001"/>
    <n v="19.3"/>
    <x v="1"/>
    <m/>
    <d v="2021-03-12T00:00:00"/>
    <s v="0/16"/>
    <n v="76300601"/>
    <s v="APRR"/>
    <n v="241.49999999999912"/>
    <m/>
    <m/>
  </r>
  <r>
    <s v="Vermeulen"/>
    <x v="13"/>
    <n v="31108570"/>
    <n v="16"/>
    <s v="1HRL"/>
    <m/>
    <n v="19"/>
    <n v="18.899999999999999"/>
    <s v="1R-L"/>
    <m/>
    <n v="18.899999999999999"/>
    <n v="19"/>
    <x v="1"/>
    <m/>
    <d v="2021-03-12T00:00:00"/>
    <s v="0/16"/>
    <n v="76300601"/>
    <s v="APRR"/>
    <n v="38.06250000000054"/>
    <m/>
    <m/>
  </r>
  <r>
    <s v="Vermeulen"/>
    <x v="13"/>
    <n v="31108570"/>
    <n v="16"/>
    <s v="1HRL"/>
    <m/>
    <n v="18.899999999999999"/>
    <n v="18.649999999999999"/>
    <s v="R1,2 en 3"/>
    <m/>
    <n v="18.649999999999999"/>
    <n v="18.899999999999999"/>
    <x v="1"/>
    <m/>
    <d v="2021-03-12T00:00:00"/>
    <s v="0/16"/>
    <n v="76300601"/>
    <s v="APRR"/>
    <n v="301.875"/>
    <m/>
    <m/>
  </r>
  <r>
    <s v="Vermeulen"/>
    <x v="13"/>
    <n v="31108570"/>
    <n v="16"/>
    <s v="1HRL"/>
    <m/>
    <n v="18.350000000000001"/>
    <n v="18.3"/>
    <s v="1R-L"/>
    <m/>
    <n v="18.3"/>
    <n v="18.350000000000001"/>
    <x v="1"/>
    <m/>
    <d v="2021-03-12T00:00:00"/>
    <s v="0/16"/>
    <n v="76300601"/>
    <s v="APRR"/>
    <n v="19.03125000000027"/>
    <m/>
    <m/>
  </r>
  <r>
    <s v="Vermeulen"/>
    <x v="13"/>
    <n v="31108570"/>
    <n v="16"/>
    <s v="1HRL"/>
    <m/>
    <n v="17.8"/>
    <n v="17.7"/>
    <s v="5R-L"/>
    <m/>
    <n v="17.7"/>
    <n v="17.8"/>
    <x v="1"/>
    <m/>
    <d v="2021-03-12T00:00:00"/>
    <s v="0/16"/>
    <n v="76300601"/>
    <s v="APRR"/>
    <n v="45.937500000000647"/>
    <m/>
    <m/>
  </r>
  <r>
    <s v="Vermeulen"/>
    <x v="13"/>
    <n v="31108570"/>
    <n v="16"/>
    <s v="1HRL"/>
    <m/>
    <n v="17.600000000000001"/>
    <n v="17.5"/>
    <s v="R1+2"/>
    <m/>
    <n v="17.5"/>
    <n v="17.600000000000001"/>
    <x v="1"/>
    <m/>
    <d v="2021-03-12T00:00:00"/>
    <s v="0/16"/>
    <n v="76300601"/>
    <s v="APRR"/>
    <n v="74.812500000001066"/>
    <m/>
    <m/>
  </r>
  <r>
    <s v="Vermeulen"/>
    <x v="13"/>
    <n v="31108570"/>
    <n v="4"/>
    <s v="1HRL"/>
    <m/>
    <n v="71.930000000000007"/>
    <n v="71.900000000000006"/>
    <s v="ALL"/>
    <s v="ALLE"/>
    <n v="71.900000000000006"/>
    <n v="71.930000000000007"/>
    <x v="1"/>
    <m/>
    <d v="2021-06-11T00:00:00"/>
    <s v="0/16"/>
    <n v="76300601"/>
    <s v="APRR"/>
    <n v="78.750000000002984"/>
    <m/>
    <m/>
  </r>
  <r>
    <s v="Vermeulen"/>
    <x v="13"/>
    <n v="31108570"/>
    <n v="4"/>
    <s v="0VW"/>
    <s v="c"/>
    <n v="29.2"/>
    <n v="29.3"/>
    <s v="1R-L"/>
    <m/>
    <n v="29.2"/>
    <n v="29.3"/>
    <x v="1"/>
    <m/>
    <d v="2021-07-05T00:00:00"/>
    <s v="0/16"/>
    <n v="36330400"/>
    <s v="APA"/>
    <n v="85.05"/>
    <m/>
    <m/>
  </r>
  <r>
    <s v="Vermeulen"/>
    <x v="13"/>
    <n v="31108570"/>
    <n v="4"/>
    <s v="0VW"/>
    <s v="c"/>
    <n v="29.1"/>
    <n v="29.2"/>
    <s v="1R-L"/>
    <m/>
    <n v="29.1"/>
    <n v="29.2"/>
    <x v="1"/>
    <m/>
    <d v="2021-07-05T00:00:00"/>
    <s v="0/16"/>
    <n v="36330400"/>
    <s v="APA"/>
    <n v="85.05"/>
    <m/>
    <m/>
  </r>
  <r>
    <s v="Vermeulen"/>
    <x v="13"/>
    <n v="31108570"/>
    <n v="4"/>
    <s v="0VW"/>
    <s v="c"/>
    <n v="29"/>
    <n v="29.1"/>
    <s v="1R-L"/>
    <m/>
    <n v="29"/>
    <n v="29.1"/>
    <x v="1"/>
    <m/>
    <d v="2021-07-05T00:00:00"/>
    <s v="0/16"/>
    <n v="36330400"/>
    <s v="APA"/>
    <n v="85.05"/>
    <m/>
    <m/>
  </r>
  <r>
    <s v="Vermeulen"/>
    <x v="13"/>
    <n v="31108570"/>
    <n v="20"/>
    <s v="1HRL"/>
    <m/>
    <n v="41.92"/>
    <n v="41.97"/>
    <s v="ALL"/>
    <s v="ALLE"/>
    <n v="41.92"/>
    <n v="41.97"/>
    <x v="1"/>
    <m/>
    <d v="2021-07-07T00:00:00"/>
    <s v="0/16"/>
    <n v="76300601"/>
    <s v="APRR"/>
    <n v="84"/>
    <m/>
    <m/>
  </r>
  <r>
    <s v="Vermeulen"/>
    <x v="13"/>
    <n v="31108570"/>
    <n v="20"/>
    <s v="1HRR"/>
    <m/>
    <n v="29.175000000000001"/>
    <n v="29.2"/>
    <s v="ALL"/>
    <s v="ALLE"/>
    <n v="29.175000000000001"/>
    <n v="29.2"/>
    <x v="1"/>
    <m/>
    <d v="2021-08-16T00:00:00"/>
    <s v="0/16"/>
    <n v="76300601"/>
    <s v="APRR"/>
    <n v="42"/>
    <m/>
    <m/>
  </r>
  <r>
    <s v="Vermeulen"/>
    <x v="13"/>
    <n v="31108570"/>
    <n v="4"/>
    <s v="1HRL"/>
    <m/>
    <n v="29.925000000000001"/>
    <n v="29.95"/>
    <s v="ALL"/>
    <s v="ALLE"/>
    <n v="29.925000000000001"/>
    <n v="29.95"/>
    <x v="1"/>
    <m/>
    <d v="2021-08-17T00:00:00"/>
    <s v="0/16"/>
    <n v="36330400"/>
    <s v="APA"/>
    <n v="60.375"/>
    <m/>
    <m/>
  </r>
  <r>
    <s v="Vermeulen"/>
    <x v="13"/>
    <n v="31108570"/>
    <n v="4"/>
    <s v="0VW"/>
    <s v="c"/>
    <n v="29.97"/>
    <n v="29.995000000000001"/>
    <s v="ALL"/>
    <s v="ALLE"/>
    <n v="29.97"/>
    <n v="29.995000000000001"/>
    <x v="1"/>
    <m/>
    <d v="2021-08-17T00:00:00"/>
    <s v="0/16"/>
    <n v="36330400"/>
    <s v="APA"/>
    <n v="60.375"/>
    <m/>
    <m/>
  </r>
  <r>
    <s v="Vermeulen"/>
    <x v="13"/>
    <n v="31108570"/>
    <n v="20"/>
    <s v="1HRL"/>
    <m/>
    <n v="41.9"/>
    <n v="41.7"/>
    <s v="3R-L"/>
    <m/>
    <n v="41.7"/>
    <n v="41.9"/>
    <x v="1"/>
    <m/>
    <d v="2021-08-18T00:00:00"/>
    <s v="0/16"/>
    <n v="76300601"/>
    <s v="APRR"/>
    <n v="91.875"/>
    <m/>
    <m/>
  </r>
  <r>
    <s v="Vermeulen"/>
    <x v="13"/>
    <n v="31108570"/>
    <n v="20"/>
    <s v="1HRR"/>
    <m/>
    <n v="45.9"/>
    <n v="46.1"/>
    <s v="2R-R"/>
    <m/>
    <n v="45.9"/>
    <n v="46.1"/>
    <x v="1"/>
    <m/>
    <d v="2021-08-18T00:00:00"/>
    <s v="0/16"/>
    <n v="76300601"/>
    <s v="APRR"/>
    <n v="92.4"/>
    <m/>
    <m/>
  </r>
  <r>
    <s v="Vermeulen"/>
    <x v="13"/>
    <n v="31108570"/>
    <n v="20"/>
    <s v="1HRL"/>
    <m/>
    <n v="46.2"/>
    <n v="46.1"/>
    <s v="2R-L"/>
    <m/>
    <n v="46.1"/>
    <n v="46.2"/>
    <x v="1"/>
    <m/>
    <d v="2021-08-19T00:00:00"/>
    <s v="0/16"/>
    <n v="76300601"/>
    <s v="APRR"/>
    <n v="46.200000000000664"/>
    <m/>
    <m/>
  </r>
  <r>
    <s v="Vermeulen"/>
    <x v="13"/>
    <n v="31108570"/>
    <n v="20"/>
    <s v="1HRL"/>
    <m/>
    <n v="11.16"/>
    <n v="11.19"/>
    <s v="ALL"/>
    <s v="ALLE"/>
    <n v="11.16"/>
    <n v="11.19"/>
    <x v="1"/>
    <m/>
    <d v="2021-09-16T00:00:00"/>
    <s v="0/16"/>
    <n v="76300601"/>
    <s v="APRR"/>
    <n v="24.254999999999999"/>
    <m/>
    <m/>
  </r>
  <r>
    <s v="Vermeulen"/>
    <x v="13"/>
    <n v="31108570"/>
    <n v="20"/>
    <s v="0VW"/>
    <m/>
    <n v="29.38"/>
    <n v="29.41"/>
    <s v="ALL"/>
    <s v="ALLE"/>
    <n v="29.38"/>
    <n v="29.41"/>
    <x v="1"/>
    <m/>
    <d v="2021-09-21T00:00:00"/>
    <s v="0/16"/>
    <n v="76300601"/>
    <s v="APA"/>
    <n v="25.2"/>
    <m/>
    <m/>
  </r>
  <r>
    <s v="Vermeulen"/>
    <x v="13"/>
    <n v="31108570"/>
    <n v="20"/>
    <s v="0VW"/>
    <m/>
    <n v="29.524999999999999"/>
    <n v="29.574999999999999"/>
    <s v="ALL"/>
    <s v="ALLE"/>
    <n v="29.524999999999999"/>
    <n v="29.574999999999999"/>
    <x v="1"/>
    <m/>
    <d v="2021-09-21T00:00:00"/>
    <s v="0/16"/>
    <n v="76300601"/>
    <s v="APA"/>
    <n v="42"/>
    <m/>
    <m/>
  </r>
  <r>
    <s v="Vermeulen"/>
    <x v="13"/>
    <n v="31108570"/>
    <n v="13"/>
    <s v="0VW"/>
    <s v="g"/>
    <n v="18.93"/>
    <n v="19.3"/>
    <s v="2R-R"/>
    <m/>
    <n v="18.93"/>
    <n v="19.3"/>
    <x v="1"/>
    <m/>
    <d v="2021-10-11T00:00:00"/>
    <s v="0/16"/>
    <s v="453k009"/>
    <s v="RAC"/>
    <n v="170.94000000000003"/>
    <m/>
    <m/>
  </r>
  <r>
    <s v="Vermeulen"/>
    <x v="13"/>
    <n v="31108570"/>
    <n v="20"/>
    <s v="1HRL"/>
    <m/>
    <n v="30.9"/>
    <n v="30.8"/>
    <s v="2R-L"/>
    <m/>
    <n v="30.8"/>
    <n v="30.9"/>
    <x v="1"/>
    <m/>
    <d v="2021-10-15T00:00:00"/>
    <s v="0/16"/>
    <n v="76300601"/>
    <s v="APA"/>
    <n v="45.9375"/>
    <m/>
    <m/>
  </r>
  <r>
    <s v="Vermeulen"/>
    <x v="13"/>
    <n v="31108570"/>
    <n v="20"/>
    <s v="1HRR"/>
    <m/>
    <n v="43.95"/>
    <n v="44.05"/>
    <s v="2R-R"/>
    <m/>
    <n v="43.95"/>
    <n v="44.05"/>
    <x v="1"/>
    <m/>
    <d v="2021-10-19T00:00:00"/>
    <s v="0/16"/>
    <n v="76300601"/>
    <s v="APA"/>
    <n v="36.75"/>
    <m/>
    <m/>
  </r>
  <r>
    <s v="Vermeulen"/>
    <x v="13"/>
    <n v="31108570"/>
    <n v="20"/>
    <s v="1HRR"/>
    <m/>
    <n v="47.4"/>
    <n v="47.3"/>
    <s v="2R-R"/>
    <m/>
    <n v="47.3"/>
    <n v="47.4"/>
    <x v="1"/>
    <m/>
    <d v="2021-10-19T00:00:00"/>
    <s v="0/16"/>
    <n v="76300601"/>
    <s v="APA"/>
    <n v="45.9375"/>
    <m/>
    <m/>
  </r>
  <r>
    <s v="Vermeulen"/>
    <x v="13"/>
    <n v="31108570"/>
    <n v="20"/>
    <s v="1HRR"/>
    <m/>
    <n v="48.05"/>
    <n v="48.1"/>
    <s v="1V-R"/>
    <m/>
    <n v="48.05"/>
    <n v="48.1"/>
    <x v="1"/>
    <m/>
    <d v="2021-10-19T00:00:00"/>
    <s v="0/16"/>
    <n v="76300601"/>
    <s v="APA"/>
    <n v="16.8"/>
    <m/>
    <m/>
  </r>
  <r>
    <s v="Vermeulen"/>
    <x v="13"/>
    <n v="31108570"/>
    <n v="12"/>
    <s v="0VW"/>
    <s v="b"/>
    <n v="16.100000000000001"/>
    <n v="16.2"/>
    <s v="1R-R"/>
    <m/>
    <n v="16.100000000000001"/>
    <n v="16.2"/>
    <x v="1"/>
    <m/>
    <d v="2021-10-20T00:00:00"/>
    <s v="0/16"/>
    <n v="76300601"/>
    <s v="APA"/>
    <n v="45.9375"/>
    <m/>
    <m/>
  </r>
  <r>
    <s v="Vermeulen"/>
    <x v="13"/>
    <n v="31108570"/>
    <n v="12"/>
    <s v="1HRR"/>
    <m/>
    <n v="17.100000000000001"/>
    <n v="17.2"/>
    <s v="3R-R"/>
    <m/>
    <n v="17.100000000000001"/>
    <n v="17.2"/>
    <x v="1"/>
    <m/>
    <d v="2021-10-20T00:00:00"/>
    <s v="0/16"/>
    <n v="76300601"/>
    <s v="APA"/>
    <n v="45.937499999999019"/>
    <m/>
    <m/>
  </r>
  <r>
    <s v="Vermeulen"/>
    <x v="13"/>
    <n v="31108570"/>
    <n v="12"/>
    <s v="1HRR"/>
    <m/>
    <n v="18"/>
    <n v="18.2"/>
    <s v="3R-R"/>
    <m/>
    <n v="18"/>
    <n v="18.2"/>
    <x v="1"/>
    <m/>
    <d v="2021-10-22T00:00:00"/>
    <s v="0/16"/>
    <n v="76300601"/>
    <s v="APA"/>
    <n v="91.875"/>
    <m/>
    <m/>
  </r>
  <r>
    <s v="Vermeulen"/>
    <x v="13"/>
    <n v="31108570"/>
    <n v="12"/>
    <s v="1HRR"/>
    <m/>
    <n v="19"/>
    <n v="19.2"/>
    <s v="3R-R"/>
    <m/>
    <n v="19"/>
    <n v="19.2"/>
    <x v="1"/>
    <m/>
    <d v="2021-10-22T00:00:00"/>
    <s v="0/16"/>
    <n v="76300601"/>
    <s v="APA"/>
    <n v="91.875"/>
    <m/>
    <m/>
  </r>
  <r>
    <s v="Vermeulen"/>
    <x v="13"/>
    <n v="31108570"/>
    <n v="13"/>
    <s v="1HRR"/>
    <m/>
    <n v="10.8"/>
    <n v="10.9"/>
    <s v="3R-R"/>
    <m/>
    <n v="10.8"/>
    <n v="10.9"/>
    <x v="1"/>
    <m/>
    <d v="2021-10-22T00:00:00"/>
    <s v="0/16"/>
    <n v="76300601"/>
    <s v="APA"/>
    <n v="45.9375"/>
    <m/>
    <m/>
  </r>
  <r>
    <s v="Vermeulen"/>
    <x v="13"/>
    <n v="31108570"/>
    <n v="13"/>
    <s v="1HRR"/>
    <m/>
    <n v="11.2"/>
    <n v="11.3"/>
    <s v="3R-R"/>
    <m/>
    <n v="11.2"/>
    <n v="11.3"/>
    <x v="1"/>
    <m/>
    <d v="2021-10-22T00:00:00"/>
    <s v="0/16"/>
    <n v="76300601"/>
    <s v="APA"/>
    <n v="45.9375"/>
    <m/>
    <m/>
  </r>
  <r>
    <s v="Vermeulen"/>
    <x v="13"/>
    <n v="31108570"/>
    <n v="13"/>
    <s v="1HRR"/>
    <m/>
    <n v="12.2"/>
    <n v="12.5"/>
    <s v="3R-R"/>
    <m/>
    <n v="12.2"/>
    <n v="12.5"/>
    <x v="1"/>
    <m/>
    <d v="2021-10-22T00:00:00"/>
    <s v="0/16"/>
    <n v="76300601"/>
    <s v="APA"/>
    <n v="137.655"/>
    <m/>
    <m/>
  </r>
  <r>
    <s v="Vermeulen"/>
    <x v="13"/>
    <n v="31108570"/>
    <n v="12"/>
    <s v="1HRR"/>
    <m/>
    <n v="9.6999999999999993"/>
    <n v="9.8000000000000007"/>
    <s v="3R-R"/>
    <m/>
    <n v="9.6999999999999993"/>
    <n v="9.8000000000000007"/>
    <x v="1"/>
    <m/>
    <d v="2021-10-25T00:00:00"/>
    <s v="0/16"/>
    <n v="76300601"/>
    <s v="APA"/>
    <n v="45.9375"/>
    <m/>
    <m/>
  </r>
  <r>
    <s v="Vermeulen"/>
    <x v="13"/>
    <n v="31108570"/>
    <n v="12"/>
    <s v="1HRR"/>
    <m/>
    <n v="20.100000000000001"/>
    <n v="20.5"/>
    <s v="3R-R"/>
    <m/>
    <n v="20.100000000000001"/>
    <n v="20.5"/>
    <x v="1"/>
    <m/>
    <d v="2021-10-26T00:00:00"/>
    <s v="0/16"/>
    <n v="76300601"/>
    <s v="APA"/>
    <n v="275.625"/>
    <m/>
    <m/>
  </r>
  <r>
    <s v="Vermeulen"/>
    <x v="13"/>
    <n v="31108570"/>
    <n v="12"/>
    <s v="1HRR"/>
    <m/>
    <n v="21.7"/>
    <n v="21.9"/>
    <s v="3R-R"/>
    <m/>
    <n v="21.7"/>
    <n v="21.9"/>
    <x v="1"/>
    <m/>
    <d v="2021-10-27T00:00:00"/>
    <s v="0/16"/>
    <n v="76300601"/>
    <s v="APA"/>
    <n v="91.875"/>
    <m/>
    <m/>
  </r>
  <r>
    <s v="Vermeulen"/>
    <x v="13"/>
    <n v="31108570"/>
    <n v="12"/>
    <s v="1HRL"/>
    <m/>
    <n v="30.7"/>
    <n v="30.4"/>
    <s v="1R-L"/>
    <m/>
    <n v="30.4"/>
    <n v="30.7"/>
    <x v="1"/>
    <m/>
    <d v="2021-10-30T00:00:00"/>
    <s v="0/16"/>
    <n v="76300601"/>
    <s v="APA"/>
    <n v="114.1875"/>
    <m/>
    <m/>
  </r>
  <r>
    <s v="Vermeulen"/>
    <x v="13"/>
    <n v="31108570"/>
    <n v="12"/>
    <s v="1HRL"/>
    <m/>
    <n v="28"/>
    <n v="27.9"/>
    <s v="1R-L"/>
    <m/>
    <n v="27.9"/>
    <n v="28"/>
    <x v="1"/>
    <m/>
    <d v="2021-10-30T00:00:00"/>
    <s v="0/16"/>
    <n v="76300601"/>
    <s v="APA"/>
    <n v="36.75"/>
    <m/>
    <m/>
  </r>
  <r>
    <s v="Vermeulen"/>
    <x v="13"/>
    <n v="31108570"/>
    <n v="20"/>
    <s v="1HRL"/>
    <m/>
    <n v="40.4"/>
    <n v="40.299999999999997"/>
    <s v="3R-L"/>
    <m/>
    <n v="40.299999999999997"/>
    <n v="40.4"/>
    <x v="1"/>
    <m/>
    <d v="2021-11-01T00:00:00"/>
    <s v="0/16"/>
    <n v="76300601"/>
    <s v="APA"/>
    <n v="45.9375"/>
    <m/>
    <m/>
  </r>
  <r>
    <s v="Vermeulen"/>
    <x v="13"/>
    <n v="31108570"/>
    <n v="13"/>
    <s v="1HRR"/>
    <m/>
    <n v="7.5"/>
    <n v="7.8"/>
    <s v="2R-R"/>
    <m/>
    <n v="7.5"/>
    <n v="7.8"/>
    <x v="1"/>
    <m/>
    <d v="2021-11-02T00:00:00"/>
    <s v="0/16"/>
    <n v="76300601"/>
    <s v="APA"/>
    <n v="110.25"/>
    <m/>
    <m/>
  </r>
  <r>
    <s v="Vermeulen"/>
    <x v="13"/>
    <n v="31108570"/>
    <n v="13"/>
    <s v="1HRR"/>
    <m/>
    <n v="7.8"/>
    <n v="7.9"/>
    <s v="3R-R"/>
    <m/>
    <n v="7.8"/>
    <n v="7.9"/>
    <x v="1"/>
    <m/>
    <d v="2021-11-02T00:00:00"/>
    <s v="0/16"/>
    <n v="76300601"/>
    <s v="APA"/>
    <n v="45.9375"/>
    <m/>
    <m/>
  </r>
  <r>
    <s v="Vermeulen"/>
    <x v="13"/>
    <n v="31108570"/>
    <n v="13"/>
    <s v="1HRR"/>
    <m/>
    <n v="9.1"/>
    <n v="9.1999999999999993"/>
    <s v="3R-R"/>
    <m/>
    <n v="9.1"/>
    <n v="9.1999999999999993"/>
    <x v="1"/>
    <m/>
    <d v="2021-11-02T00:00:00"/>
    <s v="0/16"/>
    <n v="76300601"/>
    <s v="APA"/>
    <n v="45.9375"/>
    <m/>
    <m/>
  </r>
  <r>
    <s v="Vermeulen"/>
    <x v="13"/>
    <n v="31108570"/>
    <n v="13"/>
    <s v="1HRR"/>
    <m/>
    <n v="5.5"/>
    <n v="5.55"/>
    <s v="2+3R-R"/>
    <m/>
    <n v="5.5"/>
    <n v="5.55"/>
    <x v="1"/>
    <m/>
    <d v="2021-11-02T00:00:00"/>
    <s v="0/16"/>
    <n v="76300601"/>
    <s v="APA"/>
    <n v="36.75"/>
    <m/>
    <m/>
  </r>
  <r>
    <s v="Vermeulen"/>
    <x v="13"/>
    <n v="31108570"/>
    <n v="13"/>
    <s v="1HRR"/>
    <m/>
    <n v="5.8"/>
    <n v="5.9"/>
    <s v="3R-R"/>
    <m/>
    <n v="5.8"/>
    <n v="5.9"/>
    <x v="1"/>
    <m/>
    <d v="2021-11-02T00:00:00"/>
    <s v="0/16"/>
    <n v="76300601"/>
    <s v="APA"/>
    <n v="45.9375"/>
    <m/>
    <m/>
  </r>
  <r>
    <s v="Vermeulen"/>
    <x v="13"/>
    <n v="31108570"/>
    <n v="13"/>
    <s v="1HRR"/>
    <m/>
    <n v="6"/>
    <n v="6.3"/>
    <s v="1W-R"/>
    <m/>
    <n v="6"/>
    <n v="6.3"/>
    <x v="1"/>
    <m/>
    <d v="2021-11-02T00:00:00"/>
    <s v="0/16"/>
    <n v="76300601"/>
    <s v="APA"/>
    <n v="36.75"/>
    <m/>
    <m/>
  </r>
  <r>
    <s v="Vermeulen"/>
    <x v="13"/>
    <n v="31108570"/>
    <n v="13"/>
    <s v="1HRR"/>
    <m/>
    <n v="6.4"/>
    <n v="6.6"/>
    <s v="1W-R"/>
    <m/>
    <n v="6.4"/>
    <n v="6.6"/>
    <x v="1"/>
    <m/>
    <d v="2021-11-03T00:00:00"/>
    <s v="0/16"/>
    <n v="76300601"/>
    <s v="APA"/>
    <n v="73.5"/>
    <m/>
    <m/>
  </r>
  <r>
    <s v="Vermeulen"/>
    <x v="13"/>
    <n v="31108570"/>
    <n v="12"/>
    <s v="1HRL"/>
    <m/>
    <n v="34.700000000000003"/>
    <n v="34.6"/>
    <s v="4R-L"/>
    <m/>
    <n v="34.6"/>
    <n v="34.700000000000003"/>
    <x v="1"/>
    <m/>
    <d v="2021-11-06T00:00:00"/>
    <s v="0/16"/>
    <n v="76300601"/>
    <s v="APA"/>
    <n v="45.9375"/>
    <m/>
    <m/>
  </r>
  <r>
    <s v="Vermeulen"/>
    <x v="13"/>
    <n v="31108570"/>
    <n v="12"/>
    <s v="1HRL"/>
    <m/>
    <n v="33.299999999999997"/>
    <n v="32.799999999999997"/>
    <s v="4R-L"/>
    <m/>
    <n v="32.799999999999997"/>
    <n v="33.299999999999997"/>
    <x v="1"/>
    <m/>
    <d v="2021-11-06T00:00:00"/>
    <s v="0/16"/>
    <n v="76300601"/>
    <s v="APA"/>
    <n v="229.6875"/>
    <m/>
    <m/>
  </r>
  <r>
    <s v="Vermeulen"/>
    <x v="13"/>
    <n v="31108570"/>
    <n v="12"/>
    <s v="1HRR"/>
    <m/>
    <n v="22.5"/>
    <n v="22.6"/>
    <s v="3R-R"/>
    <m/>
    <n v="22.5"/>
    <n v="22.6"/>
    <x v="1"/>
    <m/>
    <d v="2021-11-08T00:00:00"/>
    <s v="0/16"/>
    <n v="76300601"/>
    <s v="APA"/>
    <n v="45.9375"/>
    <m/>
    <m/>
  </r>
  <r>
    <s v="Vermeulen"/>
    <x v="13"/>
    <n v="31108570"/>
    <n v="12"/>
    <s v="1HRR"/>
    <m/>
    <n v="23.4"/>
    <n v="23.6"/>
    <s v="3R-R"/>
    <m/>
    <n v="23.4"/>
    <n v="23.6"/>
    <x v="1"/>
    <m/>
    <d v="2021-11-08T00:00:00"/>
    <s v="0/16"/>
    <n v="76300601"/>
    <s v="APA"/>
    <n v="91.875"/>
    <m/>
    <m/>
  </r>
  <r>
    <s v="Vermeulen"/>
    <x v="13"/>
    <n v="31108570"/>
    <n v="12"/>
    <s v="1HRR"/>
    <m/>
    <n v="23.8"/>
    <n v="23.9"/>
    <s v="3R-R INV"/>
    <m/>
    <n v="23.8"/>
    <n v="23.9"/>
    <x v="1"/>
    <m/>
    <d v="2021-11-09T00:00:00"/>
    <s v="0/16"/>
    <n v="76300601"/>
    <s v="APA"/>
    <n v="105"/>
    <m/>
    <m/>
  </r>
  <r>
    <s v="Vermeulen"/>
    <x v="13"/>
    <n v="31108570"/>
    <n v="12"/>
    <s v="1HRR"/>
    <m/>
    <n v="24"/>
    <n v="24.2"/>
    <s v="3R-R"/>
    <m/>
    <n v="24"/>
    <n v="24.2"/>
    <x v="1"/>
    <m/>
    <d v="2021-11-09T00:00:00"/>
    <s v="0/16"/>
    <n v="76300601"/>
    <s v="APA"/>
    <n v="91.875"/>
    <m/>
    <m/>
  </r>
  <r>
    <s v="Vermeulen"/>
    <x v="13"/>
    <n v="31108570"/>
    <n v="12"/>
    <s v="1HRR"/>
    <m/>
    <n v="24.5"/>
    <n v="24.6"/>
    <s v="2R-R"/>
    <m/>
    <n v="24.5"/>
    <n v="24.6"/>
    <x v="1"/>
    <m/>
    <d v="2021-11-09T00:00:00"/>
    <s v="0/16"/>
    <n v="76300601"/>
    <s v="APA"/>
    <n v="36.75"/>
    <m/>
    <m/>
  </r>
  <r>
    <s v="Vermeulen"/>
    <x v="13"/>
    <n v="31108570"/>
    <n v="12"/>
    <s v="1HRR"/>
    <m/>
    <n v="26.7"/>
    <n v="27"/>
    <s v="2R-R"/>
    <m/>
    <n v="26.7"/>
    <n v="27"/>
    <x v="1"/>
    <m/>
    <d v="2021-11-10T00:00:00"/>
    <s v="0/16"/>
    <n v="76300601"/>
    <s v="APA"/>
    <n v="248.11499999999998"/>
    <m/>
    <m/>
  </r>
  <r>
    <s v="Vermeulen"/>
    <x v="13"/>
    <n v="31108570"/>
    <n v="12"/>
    <s v="1HRR"/>
    <m/>
    <n v="27.8"/>
    <n v="28"/>
    <s v="1U-R"/>
    <m/>
    <n v="27.8"/>
    <n v="28"/>
    <x v="1"/>
    <m/>
    <d v="2021-11-16T00:00:00"/>
    <s v="0/16"/>
    <n v="76300601"/>
    <s v="APA"/>
    <n v="91.875"/>
    <m/>
    <m/>
  </r>
  <r>
    <s v="Vermeulen"/>
    <x v="13"/>
    <n v="31108570"/>
    <n v="12"/>
    <s v="1HRL"/>
    <m/>
    <n v="24.9"/>
    <n v="24.8"/>
    <s v="2R-L"/>
    <m/>
    <n v="24.8"/>
    <n v="24.9"/>
    <x v="1"/>
    <m/>
    <d v="2021-11-22T00:00:00"/>
    <s v="0/16"/>
    <n v="76300601"/>
    <s v="APA"/>
    <n v="36.75"/>
    <m/>
    <m/>
  </r>
  <r>
    <s v="Vermeulen"/>
    <x v="13"/>
    <n v="31108570"/>
    <n v="12"/>
    <s v="1HRL"/>
    <m/>
    <n v="23.9"/>
    <n v="23.7"/>
    <s v="2R-L"/>
    <m/>
    <n v="23.7"/>
    <n v="23.9"/>
    <x v="1"/>
    <m/>
    <d v="2021-11-22T00:00:00"/>
    <s v="0/16"/>
    <n v="76300601"/>
    <s v="APA"/>
    <n v="73.5"/>
    <m/>
    <m/>
  </r>
  <r>
    <s v="Vermeulen"/>
    <x v="13"/>
    <n v="31108570"/>
    <n v="12"/>
    <s v="1HRR"/>
    <m/>
    <n v="22.7"/>
    <n v="22.8"/>
    <s v="3R-L"/>
    <m/>
    <n v="22.7"/>
    <n v="22.8"/>
    <x v="1"/>
    <m/>
    <d v="2021-11-23T00:00:00"/>
    <s v="0/16"/>
    <n v="76300601"/>
    <s v="APA"/>
    <n v="45.9375"/>
    <m/>
    <m/>
  </r>
  <r>
    <s v="Vermeulen"/>
    <x v="13"/>
    <n v="31108570"/>
    <n v="12"/>
    <s v="1HRL"/>
    <m/>
    <n v="16"/>
    <n v="15.8"/>
    <s v="3R-L"/>
    <m/>
    <n v="15.8"/>
    <n v="16"/>
    <x v="1"/>
    <m/>
    <d v="2021-11-23T00:00:00"/>
    <s v="0/16"/>
    <n v="76300601"/>
    <s v="APA"/>
    <n v="91.875"/>
    <m/>
    <m/>
  </r>
  <r>
    <s v="Vermeulen"/>
    <x v="13"/>
    <n v="31108570"/>
    <n v="20"/>
    <s v="1HRL"/>
    <m/>
    <n v="46.8"/>
    <n v="46.7"/>
    <s v="2R-L"/>
    <m/>
    <n v="46.7"/>
    <n v="46.8"/>
    <x v="1"/>
    <m/>
    <d v="2021-11-24T00:00:00"/>
    <s v="0/16"/>
    <n v="76300601"/>
    <s v="APA"/>
    <n v="45.9375"/>
    <m/>
    <m/>
  </r>
  <r>
    <s v="Vermeulen"/>
    <x v="13"/>
    <n v="31108570"/>
    <n v="20"/>
    <s v="1HRL"/>
    <m/>
    <n v="45.3"/>
    <n v="45.2"/>
    <s v="1R-L"/>
    <m/>
    <n v="45.2"/>
    <n v="45.3"/>
    <x v="1"/>
    <m/>
    <d v="2021-11-24T00:00:00"/>
    <s v="0/16"/>
    <n v="76300601"/>
    <s v="APA"/>
    <n v="45.9375"/>
    <m/>
    <m/>
  </r>
  <r>
    <s v="Vermeulen"/>
    <x v="13"/>
    <n v="31108570"/>
    <n v="13"/>
    <s v="1HRR"/>
    <m/>
    <n v="18"/>
    <n v="18.149999999999999"/>
    <s v="2R-R"/>
    <m/>
    <n v="18"/>
    <n v="18.149999999999999"/>
    <x v="1"/>
    <m/>
    <d v="2021-11-25T00:00:00"/>
    <s v="0/16"/>
    <n v="76300601"/>
    <s v="APA"/>
    <n v="55.125"/>
    <m/>
    <m/>
  </r>
  <r>
    <s v="Vermeulen"/>
    <x v="13"/>
    <n v="31108570"/>
    <n v="13"/>
    <s v="1HRR"/>
    <m/>
    <n v="18.399999999999999"/>
    <n v="18.600000000000001"/>
    <s v="3R-R"/>
    <m/>
    <n v="18.399999999999999"/>
    <n v="18.600000000000001"/>
    <x v="1"/>
    <m/>
    <d v="2021-11-25T00:00:00"/>
    <s v="0/16"/>
    <n v="76300601"/>
    <s v="APA"/>
    <n v="91.875"/>
    <m/>
    <m/>
  </r>
  <r>
    <s v="Vermeulen"/>
    <x v="13"/>
    <n v="31108570"/>
    <n v="20"/>
    <s v="1HRR"/>
    <m/>
    <n v="29.524999999999999"/>
    <n v="29.574999999999999"/>
    <s v="ALL"/>
    <s v="ALLE"/>
    <n v="29.524999999999999"/>
    <n v="29.574999999999999"/>
    <x v="1"/>
    <m/>
    <d v="2021-11-26T00:00:00"/>
    <s v="0/16"/>
    <n v="76300601"/>
    <s v="APA"/>
    <n v="94.5"/>
    <m/>
    <m/>
  </r>
  <r>
    <s v="Vermeulen"/>
    <x v="13"/>
    <n v="31108570"/>
    <n v="12"/>
    <s v="1HRR"/>
    <m/>
    <n v="3.7"/>
    <n v="4.3"/>
    <s v="3R-R"/>
    <m/>
    <n v="3.7"/>
    <n v="4.3"/>
    <x v="1"/>
    <m/>
    <d v="2021-11-26T00:00:00"/>
    <s v="0/16"/>
    <n v="76300601"/>
    <s v="APA"/>
    <n v="275.625"/>
    <m/>
    <m/>
  </r>
  <r>
    <s v="Vermeulen"/>
    <x v="13"/>
    <n v="31108570"/>
    <n v="12"/>
    <s v="1HRR"/>
    <m/>
    <n v="5.3"/>
    <n v="5.5"/>
    <s v="3R-R"/>
    <m/>
    <n v="5.3"/>
    <n v="5.5"/>
    <x v="1"/>
    <m/>
    <d v="2021-11-26T00:00:00"/>
    <s v="0/16"/>
    <n v="76300601"/>
    <s v="APA"/>
    <n v="91.875"/>
    <m/>
    <m/>
  </r>
  <r>
    <s v="Vermeulen"/>
    <x v="13"/>
    <n v="31108570"/>
    <n v="12"/>
    <s v="1HRR"/>
    <m/>
    <n v="6"/>
    <n v="6.2"/>
    <s v="2R-R"/>
    <m/>
    <n v="6"/>
    <n v="6.2"/>
    <x v="1"/>
    <m/>
    <d v="2021-11-29T00:00:00"/>
    <s v="0/16"/>
    <n v="76300601"/>
    <s v="APA"/>
    <n v="73.5"/>
    <m/>
    <m/>
  </r>
  <r>
    <s v="Vermeulen"/>
    <x v="13"/>
    <n v="31108570"/>
    <n v="12"/>
    <s v="1HRR"/>
    <m/>
    <n v="6.6"/>
    <n v="6.7"/>
    <s v="1U-R"/>
    <m/>
    <n v="6.6"/>
    <n v="6.7"/>
    <x v="1"/>
    <m/>
    <d v="2021-11-29T00:00:00"/>
    <s v="0/16"/>
    <n v="76300601"/>
    <s v="APA"/>
    <n v="45.9375"/>
    <m/>
    <m/>
  </r>
  <r>
    <s v="Vermeulen"/>
    <x v="13"/>
    <n v="31108570"/>
    <n v="13"/>
    <s v="1HRR"/>
    <m/>
    <n v="6.1"/>
    <n v="6.8"/>
    <s v="3R-R"/>
    <m/>
    <n v="6.1"/>
    <n v="6.8"/>
    <x v="1"/>
    <m/>
    <d v="2021-11-30T00:00:00"/>
    <s v="0/16"/>
    <n v="76300601"/>
    <s v="APA"/>
    <n v="321.40499999999997"/>
    <m/>
    <m/>
  </r>
  <r>
    <s v="Vermeulen"/>
    <x v="13"/>
    <n v="31108570"/>
    <n v="12"/>
    <s v="1HRR"/>
    <m/>
    <n v="19.5"/>
    <n v="19.7"/>
    <s v="3R-R"/>
    <m/>
    <n v="19.5"/>
    <n v="19.7"/>
    <x v="1"/>
    <m/>
    <d v="2021-12-01T00:00:00"/>
    <s v="0/16"/>
    <n v="76300601"/>
    <s v="APA"/>
    <n v="165.375"/>
    <m/>
    <m/>
  </r>
  <r>
    <s v="Vermeulen"/>
    <x v="13"/>
    <n v="31108570"/>
    <n v="20"/>
    <s v="1HRR"/>
    <m/>
    <n v="10.6"/>
    <n v="10.7"/>
    <s v="2R-R"/>
    <m/>
    <n v="10.6"/>
    <n v="10.7"/>
    <x v="1"/>
    <m/>
    <d v="2021-12-02T00:00:00"/>
    <s v="0/16"/>
    <n v="76300601"/>
    <s v="APA"/>
    <n v="45.9375"/>
    <m/>
    <m/>
  </r>
  <r>
    <s v="Vermeulen"/>
    <x v="13"/>
    <n v="31108570"/>
    <n v="20"/>
    <s v="1HRR"/>
    <m/>
    <n v="12.9"/>
    <n v="13"/>
    <s v="1I-R"/>
    <m/>
    <n v="12.9"/>
    <n v="13"/>
    <x v="1"/>
    <m/>
    <d v="2021-12-02T00:00:00"/>
    <s v="0/16"/>
    <n v="76300601"/>
    <s v="APA"/>
    <n v="45.9375"/>
    <m/>
    <m/>
  </r>
  <r>
    <s v="Vermeulen"/>
    <x v="13"/>
    <n v="31108570"/>
    <n v="20"/>
    <s v="1HRR"/>
    <m/>
    <n v="13.4"/>
    <n v="13.5"/>
    <s v="2R-R"/>
    <m/>
    <n v="13.4"/>
    <n v="13.5"/>
    <x v="1"/>
    <m/>
    <d v="2021-12-02T00:00:00"/>
    <s v="0/16"/>
    <n v="76300601"/>
    <s v="APA"/>
    <n v="45.9375"/>
    <m/>
    <m/>
  </r>
  <r>
    <s v="Vermeulen"/>
    <x v="13"/>
    <n v="31108570"/>
    <n v="20"/>
    <s v="1HRR"/>
    <m/>
    <n v="24.65"/>
    <n v="24.7"/>
    <s v="2R-R"/>
    <m/>
    <n v="24.65"/>
    <n v="24.7"/>
    <x v="1"/>
    <m/>
    <d v="2021-12-06T00:00:00"/>
    <s v="0/16"/>
    <n v="76300601"/>
    <s v="APRR"/>
    <n v="45.9375"/>
    <m/>
    <m/>
  </r>
  <r>
    <s v="Vermeulen"/>
    <x v="13"/>
    <n v="31108570"/>
    <n v="20"/>
    <s v="1HRR"/>
    <m/>
    <n v="24.9"/>
    <n v="25.3"/>
    <s v="1R-R"/>
    <m/>
    <n v="24.9"/>
    <n v="25.3"/>
    <x v="1"/>
    <m/>
    <d v="2021-12-06T00:00:00"/>
    <s v="0/16"/>
    <n v="76300601"/>
    <s v="APRR"/>
    <n v="152.25"/>
    <m/>
    <m/>
  </r>
  <r>
    <s v="Vermeulen"/>
    <x v="13"/>
    <n v="31108570"/>
    <n v="20"/>
    <s v="1HRR"/>
    <m/>
    <n v="25.6"/>
    <n v="25.8"/>
    <s v="1R-R"/>
    <m/>
    <n v="25.6"/>
    <n v="25.8"/>
    <x v="1"/>
    <m/>
    <d v="2021-12-06T00:00:00"/>
    <s v="0/16"/>
    <n v="76300601"/>
    <s v="APRR"/>
    <n v="76.125"/>
    <m/>
    <m/>
  </r>
  <r>
    <s v="Vermeulen"/>
    <x v="13"/>
    <n v="31108570"/>
    <n v="12"/>
    <s v="1HRL"/>
    <m/>
    <n v="38.9"/>
    <n v="38.799999999999997"/>
    <s v="4R-L"/>
    <m/>
    <n v="38.799999999999997"/>
    <n v="38.9"/>
    <x v="1"/>
    <m/>
    <d v="2021-12-17T00:00:00"/>
    <s v="0/16"/>
    <n v="76300601"/>
    <s v="APRR"/>
    <n v="45.885000000000652"/>
    <m/>
    <m/>
  </r>
  <r>
    <s v="Vermeulen"/>
    <x v="13"/>
    <n v="31108570"/>
    <n v="12"/>
    <s v="1HRL"/>
    <m/>
    <n v="38.1"/>
    <n v="37.9"/>
    <s v="4R-L"/>
    <m/>
    <n v="37.9"/>
    <n v="38.1"/>
    <x v="1"/>
    <m/>
    <d v="2021-12-17T00:00:00"/>
    <s v="0/16"/>
    <n v="76300601"/>
    <s v="APRR"/>
    <n v="91.770000000001303"/>
    <m/>
    <m/>
  </r>
  <r>
    <s v="Vermeulen"/>
    <x v="13"/>
    <n v="31108570"/>
    <n v="12"/>
    <s v="1HRL"/>
    <m/>
    <n v="37.700000000000003"/>
    <n v="37.6"/>
    <s v="4R-L"/>
    <m/>
    <n v="37.6"/>
    <n v="37.700000000000003"/>
    <x v="1"/>
    <m/>
    <d v="2021-12-17T00:00:00"/>
    <s v="0/16"/>
    <n v="76300601"/>
    <s v="APRR"/>
    <n v="45.885000000000652"/>
    <m/>
    <m/>
  </r>
  <r>
    <m/>
    <x v="2"/>
    <m/>
    <n v="58"/>
    <s v="1HRL"/>
    <m/>
    <n v="162.15"/>
    <n v="160.80000000000001"/>
    <s v="2R-L"/>
    <m/>
    <n v="160.80000000000001"/>
    <n v="162.15"/>
    <x v="7"/>
    <m/>
    <d v="2021-09-20T00:00:00"/>
    <m/>
    <m/>
    <m/>
    <m/>
    <m/>
    <m/>
  </r>
  <r>
    <m/>
    <x v="2"/>
    <m/>
    <n v="58"/>
    <s v="1HRL"/>
    <m/>
    <n v="161.84"/>
    <n v="161.5"/>
    <s v="1R-L"/>
    <m/>
    <n v="161.5"/>
    <n v="161.84"/>
    <x v="7"/>
    <m/>
    <d v="2021-09-20T00:00:00"/>
    <m/>
    <m/>
    <m/>
    <m/>
    <m/>
    <m/>
  </r>
  <r>
    <m/>
    <x v="2"/>
    <m/>
    <n v="57"/>
    <s v="0HRM"/>
    <m/>
    <n v="75.92"/>
    <n v="77.8"/>
    <s v="1R-R"/>
    <m/>
    <n v="75.92"/>
    <n v="77.8"/>
    <x v="7"/>
    <m/>
    <d v="2021-09-30T00:00:00"/>
    <m/>
    <m/>
    <m/>
    <m/>
    <m/>
    <m/>
  </r>
  <r>
    <m/>
    <x v="2"/>
    <m/>
    <n v="58"/>
    <s v="0VW"/>
    <s v="u"/>
    <n v="166.9"/>
    <n v="166.3"/>
    <s v="1R-L"/>
    <m/>
    <n v="166.3"/>
    <n v="166.9"/>
    <x v="62"/>
    <m/>
    <d v="2021-06-03T00:00:00"/>
    <m/>
    <m/>
    <m/>
    <m/>
    <m/>
    <m/>
  </r>
  <r>
    <m/>
    <x v="8"/>
    <m/>
    <n v="73"/>
    <s v="1HRR"/>
    <m/>
    <n v="91.4"/>
    <n v="92.1"/>
    <s v="1R-R"/>
    <m/>
    <n v="91.4"/>
    <n v="92.1"/>
    <x v="7"/>
    <m/>
    <d v="2021-06-05T00:00:00"/>
    <m/>
    <m/>
    <m/>
    <m/>
    <m/>
    <m/>
  </r>
  <r>
    <m/>
    <x v="8"/>
    <m/>
    <n v="73"/>
    <s v="1HRR"/>
    <m/>
    <n v="86.15"/>
    <n v="86.7"/>
    <s v="1R-R"/>
    <m/>
    <n v="86.15"/>
    <n v="86.7"/>
    <x v="7"/>
    <m/>
    <d v="2021-06-05T00:00:0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34">
  <r>
    <d v="2021-07-23T00:00:00"/>
    <s v="4/8"/>
    <x v="0"/>
    <x v="0"/>
  </r>
  <r>
    <d v="2021-07-23T00:00:00"/>
    <m/>
    <x v="1"/>
    <x v="0"/>
  </r>
  <r>
    <d v="2021-07-23T00:00:00"/>
    <m/>
    <x v="1"/>
    <x v="0"/>
  </r>
  <r>
    <d v="2021-07-23T00:00:00"/>
    <m/>
    <x v="1"/>
    <x v="0"/>
  </r>
  <r>
    <d v="2021-07-14T00:00:00"/>
    <m/>
    <x v="0"/>
    <x v="0"/>
  </r>
  <r>
    <d v="2021-07-14T00:00:00"/>
    <m/>
    <x v="2"/>
    <x v="0"/>
  </r>
  <r>
    <d v="2021-07-14T00:00:00"/>
    <m/>
    <x v="2"/>
    <x v="0"/>
  </r>
  <r>
    <d v="2021-07-14T00:00:00"/>
    <m/>
    <x v="2"/>
    <x v="0"/>
  </r>
  <r>
    <d v="2021-07-14T00:00:00"/>
    <m/>
    <x v="0"/>
    <x v="0"/>
  </r>
  <r>
    <d v="2021-07-14T00:00:00"/>
    <m/>
    <x v="3"/>
    <x v="0"/>
  </r>
  <r>
    <d v="2021-07-14T00:00:00"/>
    <m/>
    <x v="1"/>
    <x v="0"/>
  </r>
  <r>
    <d v="2021-07-14T00:00:00"/>
    <s v="AC Surf PMB HR&lt;5% (≥ 50 mm)"/>
    <x v="4"/>
    <x v="0"/>
  </r>
  <r>
    <d v="2021-07-20T00:00:00"/>
    <s v="SMA-NL 11B PMB SBS BeStone 35mm"/>
    <x v="5"/>
    <x v="0"/>
  </r>
  <r>
    <d v="2021-07-14T00:00:00"/>
    <m/>
    <x v="6"/>
    <x v="0"/>
  </r>
  <r>
    <d v="2021-07-14T00:00:00"/>
    <m/>
    <x v="0"/>
    <x v="0"/>
  </r>
  <r>
    <d v="2021-07-14T00:00:00"/>
    <m/>
    <x v="6"/>
    <x v="0"/>
  </r>
  <r>
    <d v="2021-07-16T00:00:00"/>
    <s v="0/11 35mm"/>
    <x v="5"/>
    <x v="0"/>
  </r>
  <r>
    <d v="2021-07-16T00:00:00"/>
    <s v="0/11 35mm"/>
    <x v="5"/>
    <x v="0"/>
  </r>
  <r>
    <d v="2021-07-16T00:00:00"/>
    <s v="0/11 35mm"/>
    <x v="5"/>
    <x v="0"/>
  </r>
  <r>
    <d v="2021-07-16T00:00:00"/>
    <m/>
    <x v="6"/>
    <x v="0"/>
  </r>
  <r>
    <d v="2021-07-16T00:00:00"/>
    <m/>
    <x v="0"/>
    <x v="0"/>
  </r>
  <r>
    <d v="2021-09-13T00:00:00"/>
    <s v="0/11"/>
    <x v="5"/>
    <x v="0"/>
  </r>
  <r>
    <d v="2021-09-09T00:00:00"/>
    <m/>
    <x v="6"/>
    <x v="0"/>
  </r>
  <r>
    <d v="2021-09-09T00:00:00"/>
    <m/>
    <x v="0"/>
    <x v="0"/>
  </r>
  <r>
    <d v="2021-08-17T00:00:00"/>
    <s v="0/11"/>
    <x v="5"/>
    <x v="0"/>
  </r>
  <r>
    <d v="2021-08-18T00:00:00"/>
    <m/>
    <x v="6"/>
    <x v="0"/>
  </r>
  <r>
    <d v="2021-08-18T00:00:00"/>
    <m/>
    <x v="0"/>
    <x v="0"/>
  </r>
  <r>
    <d v="2021-08-31T00:00:00"/>
    <s v="0/11"/>
    <x v="5"/>
    <x v="0"/>
  </r>
  <r>
    <d v="2021-08-31T00:00:00"/>
    <m/>
    <x v="0"/>
    <x v="0"/>
  </r>
  <r>
    <d v="2021-08-31T00:00:00"/>
    <m/>
    <x v="0"/>
    <x v="0"/>
  </r>
  <r>
    <d v="2021-08-31T00:00:00"/>
    <m/>
    <x v="6"/>
    <x v="0"/>
  </r>
  <r>
    <d v="2021-08-31T00:00:00"/>
    <m/>
    <x v="6"/>
    <x v="0"/>
  </r>
  <r>
    <d v="2021-08-31T00:00:00"/>
    <m/>
    <x v="6"/>
    <x v="0"/>
  </r>
  <r>
    <d v="2021-08-31T00:00:00"/>
    <m/>
    <x v="0"/>
    <x v="0"/>
  </r>
  <r>
    <d v="2021-08-31T00:00:00"/>
    <s v="0/11"/>
    <x v="5"/>
    <x v="0"/>
  </r>
  <r>
    <d v="2021-09-14T00:00:00"/>
    <m/>
    <x v="0"/>
    <x v="0"/>
  </r>
  <r>
    <d v="2021-09-14T00:00:00"/>
    <m/>
    <x v="0"/>
    <x v="0"/>
  </r>
  <r>
    <d v="2021-09-14T00:00:00"/>
    <m/>
    <x v="0"/>
    <x v="0"/>
  </r>
  <r>
    <d v="2021-09-14T00:00:00"/>
    <m/>
    <x v="0"/>
    <x v="0"/>
  </r>
  <r>
    <d v="2021-09-10T00:00:00"/>
    <m/>
    <x v="1"/>
    <x v="0"/>
  </r>
  <r>
    <d v="2021-09-10T00:00:00"/>
    <m/>
    <x v="1"/>
    <x v="0"/>
  </r>
  <r>
    <d v="2021-09-10T00:00:00"/>
    <m/>
    <x v="0"/>
    <x v="0"/>
  </r>
  <r>
    <d v="2021-09-10T00:00:00"/>
    <s v="0/11"/>
    <x v="5"/>
    <x v="0"/>
  </r>
  <r>
    <d v="2021-08-19T00:00:00"/>
    <m/>
    <x v="1"/>
    <x v="0"/>
  </r>
  <r>
    <d v="2021-08-19T00:00:00"/>
    <m/>
    <x v="5"/>
    <x v="0"/>
  </r>
  <r>
    <d v="2021-09-14T00:00:00"/>
    <m/>
    <x v="4"/>
    <x v="0"/>
  </r>
  <r>
    <d v="2021-09-14T00:00:00"/>
    <m/>
    <x v="1"/>
    <x v="0"/>
  </r>
  <r>
    <d v="2021-09-10T00:00:00"/>
    <m/>
    <x v="1"/>
    <x v="0"/>
  </r>
  <r>
    <d v="2021-09-10T00:00:00"/>
    <m/>
    <x v="1"/>
    <x v="0"/>
  </r>
  <r>
    <d v="2021-09-10T00:00:00"/>
    <m/>
    <x v="1"/>
    <x v="0"/>
  </r>
  <r>
    <d v="2021-09-09T00:00:00"/>
    <m/>
    <x v="2"/>
    <x v="0"/>
  </r>
  <r>
    <d v="2021-09-09T00:00:00"/>
    <m/>
    <x v="1"/>
    <x v="0"/>
  </r>
  <r>
    <d v="2021-09-09T00:00:00"/>
    <m/>
    <x v="2"/>
    <x v="0"/>
  </r>
  <r>
    <d v="2021-10-19T00:00:00"/>
    <m/>
    <x v="0"/>
    <x v="0"/>
  </r>
  <r>
    <d v="2021-10-19T00:00:00"/>
    <m/>
    <x v="0"/>
    <x v="0"/>
  </r>
  <r>
    <d v="2021-10-19T00:00:00"/>
    <m/>
    <x v="0"/>
    <x v="0"/>
  </r>
  <r>
    <d v="2021-10-20T00:00:00"/>
    <m/>
    <x v="0"/>
    <x v="0"/>
  </r>
  <r>
    <d v="2021-10-20T00:00:00"/>
    <m/>
    <x v="0"/>
    <x v="0"/>
  </r>
  <r>
    <d v="2021-10-20T00:00:00"/>
    <m/>
    <x v="0"/>
    <x v="0"/>
  </r>
  <r>
    <d v="2021-10-20T00:00:00"/>
    <m/>
    <x v="0"/>
    <x v="0"/>
  </r>
  <r>
    <d v="2021-09-13T00:00:00"/>
    <m/>
    <x v="5"/>
    <x v="0"/>
  </r>
  <r>
    <d v="2021-10-18T00:00:00"/>
    <m/>
    <x v="0"/>
    <x v="0"/>
  </r>
  <r>
    <d v="2021-10-18T00:00:00"/>
    <m/>
    <x v="0"/>
    <x v="0"/>
  </r>
  <r>
    <d v="2021-10-18T00:00:00"/>
    <m/>
    <x v="0"/>
    <x v="0"/>
  </r>
  <r>
    <d v="2021-09-09T00:00:00"/>
    <s v="0/11"/>
    <x v="5"/>
    <x v="0"/>
  </r>
  <r>
    <d v="2021-11-15T00:00:00"/>
    <m/>
    <x v="7"/>
    <x v="0"/>
  </r>
  <r>
    <d v="2021-11-15T00:00:00"/>
    <m/>
    <x v="7"/>
    <x v="0"/>
  </r>
  <r>
    <d v="2021-11-15T00:00:00"/>
    <m/>
    <x v="7"/>
    <x v="0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7"/>
    <x v="1"/>
  </r>
  <r>
    <d v="2021-09-28T00:00:00"/>
    <m/>
    <x v="8"/>
    <x v="1"/>
  </r>
  <r>
    <d v="2021-09-28T00:00:00"/>
    <m/>
    <x v="9"/>
    <x v="1"/>
  </r>
  <r>
    <d v="2021-09-28T00:00:00"/>
    <m/>
    <x v="8"/>
    <x v="1"/>
  </r>
  <r>
    <d v="2021-09-28T00:00:00"/>
    <m/>
    <x v="8"/>
    <x v="1"/>
  </r>
  <r>
    <d v="2021-09-28T00:00:00"/>
    <m/>
    <x v="8"/>
    <x v="1"/>
  </r>
  <r>
    <d v="2021-09-28T00:00:00"/>
    <m/>
    <x v="8"/>
    <x v="1"/>
  </r>
  <r>
    <d v="2021-09-28T00:00:00"/>
    <m/>
    <x v="8"/>
    <x v="1"/>
  </r>
  <r>
    <d v="2021-09-28T00:00:00"/>
    <m/>
    <x v="8"/>
    <x v="1"/>
  </r>
  <r>
    <d v="2021-09-30T00:00:00"/>
    <m/>
    <x v="1"/>
    <x v="1"/>
  </r>
  <r>
    <d v="2021-10-18T00:00:00"/>
    <m/>
    <x v="0"/>
    <x v="0"/>
  </r>
  <r>
    <d v="2021-10-18T00:00:00"/>
    <m/>
    <x v="0"/>
    <x v="0"/>
  </r>
  <r>
    <d v="2021-11-03T00:00:00"/>
    <m/>
    <x v="6"/>
    <x v="0"/>
  </r>
  <r>
    <d v="2021-09-10T00:00:00"/>
    <s v="0/11"/>
    <x v="5"/>
    <x v="0"/>
  </r>
  <r>
    <d v="2021-10-18T00:00:00"/>
    <m/>
    <x v="0"/>
    <x v="0"/>
  </r>
  <r>
    <d v="2021-09-14T00:00:00"/>
    <m/>
    <x v="1"/>
    <x v="0"/>
  </r>
  <r>
    <d v="2021-09-30T00:00:00"/>
    <m/>
    <x v="0"/>
    <x v="2"/>
  </r>
  <r>
    <d v="2021-09-30T00:00:00"/>
    <m/>
    <x v="0"/>
    <x v="2"/>
  </r>
  <r>
    <d v="2021-09-30T00:00:00"/>
    <m/>
    <x v="0"/>
    <x v="2"/>
  </r>
  <r>
    <d v="2021-10-06T00:00:00"/>
    <m/>
    <x v="1"/>
    <x v="2"/>
  </r>
  <r>
    <d v="2021-10-06T00:00:00"/>
    <m/>
    <x v="0"/>
    <x v="2"/>
  </r>
  <r>
    <d v="2021-10-06T00:00:00"/>
    <m/>
    <x v="0"/>
    <x v="2"/>
  </r>
  <r>
    <d v="2021-10-06T00:00:00"/>
    <m/>
    <x v="0"/>
    <x v="2"/>
  </r>
  <r>
    <d v="2021-10-06T00:00:00"/>
    <m/>
    <x v="0"/>
    <x v="2"/>
  </r>
  <r>
    <d v="2021-10-06T00:00:00"/>
    <m/>
    <x v="0"/>
    <x v="2"/>
  </r>
  <r>
    <d v="2021-10-06T00:00:00"/>
    <m/>
    <x v="0"/>
    <x v="2"/>
  </r>
  <r>
    <d v="2021-10-06T00:00:00"/>
    <m/>
    <x v="5"/>
    <x v="1"/>
  </r>
  <r>
    <d v="2021-12-04T00:00:00"/>
    <m/>
    <x v="7"/>
    <x v="1"/>
  </r>
  <r>
    <d v="2021-12-04T00:00:00"/>
    <m/>
    <x v="7"/>
    <x v="1"/>
  </r>
  <r>
    <d v="2021-12-04T00:00:00"/>
    <m/>
    <x v="8"/>
    <x v="1"/>
  </r>
  <r>
    <d v="2021-12-04T00:00:00"/>
    <m/>
    <x v="8"/>
    <x v="1"/>
  </r>
  <r>
    <d v="2021-12-04T00:00:00"/>
    <m/>
    <x v="8"/>
    <x v="1"/>
  </r>
  <r>
    <d v="2021-12-04T00:00:00"/>
    <m/>
    <x v="7"/>
    <x v="1"/>
  </r>
  <r>
    <d v="2021-12-04T00:00:00"/>
    <m/>
    <x v="7"/>
    <x v="1"/>
  </r>
  <r>
    <d v="2021-12-04T00:00:00"/>
    <m/>
    <x v="7"/>
    <x v="1"/>
  </r>
  <r>
    <d v="2021-12-04T00:00:00"/>
    <m/>
    <x v="7"/>
    <x v="1"/>
  </r>
  <r>
    <d v="2021-11-29T00:00:00"/>
    <m/>
    <x v="8"/>
    <x v="1"/>
  </r>
  <r>
    <d v="2021-11-29T00:00:00"/>
    <m/>
    <x v="7"/>
    <x v="1"/>
  </r>
  <r>
    <d v="2021-11-29T00:00:00"/>
    <m/>
    <x v="8"/>
    <x v="1"/>
  </r>
  <r>
    <d v="2021-11-29T00:00:00"/>
    <m/>
    <x v="8"/>
    <x v="1"/>
  </r>
  <r>
    <d v="2021-11-29T00:00:00"/>
    <m/>
    <x v="7"/>
    <x v="1"/>
  </r>
  <r>
    <d v="2021-11-29T00:00:00"/>
    <m/>
    <x v="8"/>
    <x v="1"/>
  </r>
  <r>
    <d v="2021-11-29T00:00:00"/>
    <m/>
    <x v="8"/>
    <x v="1"/>
  </r>
  <r>
    <d v="2021-11-29T00:00:00"/>
    <m/>
    <x v="8"/>
    <x v="1"/>
  </r>
  <r>
    <d v="2021-11-29T00:00:00"/>
    <m/>
    <x v="8"/>
    <x v="1"/>
  </r>
  <r>
    <d v="2021-11-29T00:00:00"/>
    <m/>
    <x v="8"/>
    <x v="1"/>
  </r>
  <r>
    <d v="2021-11-29T00:00:00"/>
    <m/>
    <x v="8"/>
    <x v="1"/>
  </r>
  <r>
    <d v="2021-11-29T00:00:00"/>
    <m/>
    <x v="7"/>
    <x v="1"/>
  </r>
  <r>
    <d v="2021-11-29T00:00:00"/>
    <m/>
    <x v="8"/>
    <x v="1"/>
  </r>
  <r>
    <d v="2021-11-29T00:00:00"/>
    <m/>
    <x v="7"/>
    <x v="1"/>
  </r>
  <r>
    <d v="2021-11-29T00:00:00"/>
    <m/>
    <x v="8"/>
    <x v="1"/>
  </r>
  <r>
    <d v="2021-11-29T00:00:00"/>
    <m/>
    <x v="10"/>
    <x v="1"/>
  </r>
  <r>
    <d v="2021-11-29T00:00:00"/>
    <m/>
    <x v="7"/>
    <x v="1"/>
  </r>
  <r>
    <d v="2021-11-30T00:00:00"/>
    <m/>
    <x v="8"/>
    <x v="1"/>
  </r>
  <r>
    <d v="2021-11-30T00:00:00"/>
    <m/>
    <x v="8"/>
    <x v="1"/>
  </r>
  <r>
    <d v="2021-11-30T00:00:00"/>
    <m/>
    <x v="8"/>
    <x v="1"/>
  </r>
  <r>
    <d v="2021-11-30T00:00:00"/>
    <m/>
    <x v="8"/>
    <x v="1"/>
  </r>
  <r>
    <d v="2021-11-30T00:00:00"/>
    <m/>
    <x v="7"/>
    <x v="1"/>
  </r>
  <r>
    <d v="2021-11-30T00:00:00"/>
    <m/>
    <x v="7"/>
    <x v="1"/>
  </r>
  <r>
    <d v="2021-11-30T00:00:00"/>
    <m/>
    <x v="7"/>
    <x v="1"/>
  </r>
  <r>
    <d v="2021-11-30T00:00:00"/>
    <m/>
    <x v="8"/>
    <x v="1"/>
  </r>
  <r>
    <d v="2021-11-30T00:00:00"/>
    <m/>
    <x v="8"/>
    <x v="1"/>
  </r>
  <r>
    <d v="2021-11-30T00:00:00"/>
    <m/>
    <x v="8"/>
    <x v="1"/>
  </r>
  <r>
    <d v="2021-11-30T00:00:00"/>
    <m/>
    <x v="8"/>
    <x v="1"/>
  </r>
  <r>
    <d v="2021-11-30T00:00:00"/>
    <s v=" "/>
    <x v="8"/>
    <x v="1"/>
  </r>
  <r>
    <d v="2021-11-30T00:00:00"/>
    <m/>
    <x v="11"/>
    <x v="1"/>
  </r>
  <r>
    <d v="2021-11-30T00:00:00"/>
    <m/>
    <x v="11"/>
    <x v="1"/>
  </r>
  <r>
    <d v="2021-11-30T00:00:00"/>
    <m/>
    <x v="11"/>
    <x v="1"/>
  </r>
  <r>
    <d v="2021-11-30T00:00:00"/>
    <m/>
    <x v="11"/>
    <x v="1"/>
  </r>
  <r>
    <d v="2021-11-30T00:00:00"/>
    <m/>
    <x v="11"/>
    <x v="1"/>
  </r>
  <r>
    <d v="2021-11-30T00:00:00"/>
    <m/>
    <x v="5"/>
    <x v="1"/>
  </r>
  <r>
    <d v="2021-11-30T00:00:00"/>
    <m/>
    <x v="11"/>
    <x v="1"/>
  </r>
  <r>
    <d v="2021-11-30T00:00:00"/>
    <m/>
    <x v="8"/>
    <x v="1"/>
  </r>
  <r>
    <d v="2021-11-30T00:00:00"/>
    <m/>
    <x v="8"/>
    <x v="1"/>
  </r>
  <r>
    <d v="2021-06-01T00:00:00"/>
    <s v="16 70/100 Bestone"/>
    <x v="12"/>
    <x v="3"/>
  </r>
  <r>
    <d v="2021-06-01T00:00:00"/>
    <s v="PA8 Periphalt 45a Speciaal"/>
    <x v="13"/>
    <x v="3"/>
  </r>
  <r>
    <d v="2021-06-02T00:00:00"/>
    <s v="PA8 Periphalt 45a Speciaal"/>
    <x v="13"/>
    <x v="3"/>
  </r>
  <r>
    <d v="2021-06-02T00:00:00"/>
    <s v="16 70/100 Bestone"/>
    <x v="12"/>
    <x v="3"/>
  </r>
  <r>
    <d v="2021-06-03T00:00:00"/>
    <s v="PA8 Periphalt 45a Speciaal"/>
    <x v="13"/>
    <x v="3"/>
  </r>
  <r>
    <d v="2021-06-02T00:00:00"/>
    <s v="16 70/100 Bestone"/>
    <x v="12"/>
    <x v="3"/>
  </r>
  <r>
    <d v="2021-06-03T00:00:00"/>
    <s v="PA8 Periphalt 45a Speciaal"/>
    <x v="13"/>
    <x v="3"/>
  </r>
  <r>
    <d v="2021-06-03T00:00:00"/>
    <s v="PA8 Periphalt 45a Speciaal"/>
    <x v="13"/>
    <x v="3"/>
  </r>
  <r>
    <d v="2021-06-08T00:00:00"/>
    <s v="PA8 Periphalt 45a Speciaal"/>
    <x v="13"/>
    <x v="3"/>
  </r>
  <r>
    <d v="2021-06-09T00:00:00"/>
    <s v="16 70/100 Bestone"/>
    <x v="12"/>
    <x v="3"/>
  </r>
  <r>
    <d v="2021-06-08T00:00:00"/>
    <s v="PA8 Periphalt 45a Speciaal"/>
    <x v="13"/>
    <x v="3"/>
  </r>
  <r>
    <d v="2021-06-09T00:00:00"/>
    <s v="16 70/100 Bestone"/>
    <x v="12"/>
    <x v="3"/>
  </r>
  <r>
    <m/>
    <m/>
    <x v="9"/>
    <x v="3"/>
  </r>
  <r>
    <d v="2021-06-22T00:00:00"/>
    <s v="16 70/100 Bestone"/>
    <x v="12"/>
    <x v="3"/>
  </r>
  <r>
    <d v="2021-06-23T00:00:00"/>
    <s v="16 70/100 Bestone"/>
    <x v="12"/>
    <x v="3"/>
  </r>
  <r>
    <d v="2021-06-23T00:00:00"/>
    <s v="16 70/100 Bestone"/>
    <x v="12"/>
    <x v="3"/>
  </r>
  <r>
    <d v="2021-06-23T00:00:00"/>
    <s v="PA8 Periphalt 45a Speciaal"/>
    <x v="13"/>
    <x v="3"/>
  </r>
  <r>
    <d v="2021-06-23T00:00:00"/>
    <s v="16 70/100 Bestone"/>
    <x v="12"/>
    <x v="3"/>
  </r>
  <r>
    <d v="2021-06-29T00:00:00"/>
    <s v="16 70/100 Bestone"/>
    <x v="12"/>
    <x v="3"/>
  </r>
  <r>
    <d v="2021-06-29T00:00:00"/>
    <s v="PA8 Periphalt 45a Speciaal"/>
    <x v="13"/>
    <x v="3"/>
  </r>
  <r>
    <d v="2021-06-25T00:00:00"/>
    <s v="16 70/100 Bestone"/>
    <x v="12"/>
    <x v="3"/>
  </r>
  <r>
    <d v="2021-06-30T00:00:00"/>
    <s v="PA8 Periphalt 45a Speciaal"/>
    <x v="13"/>
    <x v="3"/>
  </r>
  <r>
    <d v="2021-06-30T00:00:00"/>
    <s v="PA8 Periphalt 45a Speciaal"/>
    <x v="13"/>
    <x v="3"/>
  </r>
  <r>
    <d v="2021-07-07T00:00:00"/>
    <s v="PA8 Periphalt 45a Speciaal"/>
    <x v="13"/>
    <x v="3"/>
  </r>
  <r>
    <d v="2021-07-07T00:00:00"/>
    <s v="PA8 Periphalt 45a Speciaal"/>
    <x v="13"/>
    <x v="3"/>
  </r>
  <r>
    <d v="2021-07-08T00:00:00"/>
    <s v="16 70/100 Bestone"/>
    <x v="12"/>
    <x v="3"/>
  </r>
  <r>
    <d v="2021-07-07T00:00:00"/>
    <s v="16 70/100 Bestone"/>
    <x v="12"/>
    <x v="3"/>
  </r>
  <r>
    <d v="2021-07-08T00:00:00"/>
    <s v="16 70/100 Bestone"/>
    <x v="12"/>
    <x v="3"/>
  </r>
  <r>
    <d v="2021-07-07T00:00:00"/>
    <s v="16 70/100 Bestone"/>
    <x v="12"/>
    <x v="3"/>
  </r>
  <r>
    <d v="2021-07-07T00:00:00"/>
    <s v="16 70/100 Bestone"/>
    <x v="12"/>
    <x v="3"/>
  </r>
  <r>
    <d v="2021-07-14T00:00:00"/>
    <m/>
    <x v="9"/>
    <x v="4"/>
  </r>
  <r>
    <d v="2021-07-15T00:00:00"/>
    <m/>
    <x v="9"/>
    <x v="4"/>
  </r>
  <r>
    <d v="2021-07-16T00:00:00"/>
    <m/>
    <x v="9"/>
    <x v="4"/>
  </r>
  <r>
    <d v="2021-07-17T00:00:00"/>
    <m/>
    <x v="9"/>
    <x v="4"/>
  </r>
  <r>
    <d v="2021-07-20T00:00:00"/>
    <m/>
    <x v="9"/>
    <x v="4"/>
  </r>
  <r>
    <d v="2021-07-21T00:00:00"/>
    <m/>
    <x v="9"/>
    <x v="4"/>
  </r>
  <r>
    <d v="2021-07-21T00:00:00"/>
    <m/>
    <x v="9"/>
    <x v="4"/>
  </r>
  <r>
    <d v="2021-07-15T00:00:00"/>
    <s v="40mm AC16 Surf 40/60 30% PR Bestone"/>
    <x v="14"/>
    <x v="3"/>
  </r>
  <r>
    <d v="2021-07-15T00:00:00"/>
    <s v="40mm AC16 Surf 40/60 30% PR Bestone"/>
    <x v="14"/>
    <x v="3"/>
  </r>
  <r>
    <d v="2021-07-15T00:00:00"/>
    <s v="16 70/100 Bestone"/>
    <x v="12"/>
    <x v="3"/>
  </r>
  <r>
    <d v="2021-06-09T00:00:00"/>
    <s v="16 70/100 Bestone"/>
    <x v="12"/>
    <x v="3"/>
  </r>
  <r>
    <d v="2021-07-21T00:00:00"/>
    <m/>
    <x v="9"/>
    <x v="3"/>
  </r>
  <r>
    <d v="2021-07-22T00:00:00"/>
    <s v="PA8 Periphalt 45a Speciaal"/>
    <x v="13"/>
    <x v="3"/>
  </r>
  <r>
    <d v="2021-07-22T00:00:00"/>
    <s v="PA8 Periphalt 45a Speciaal"/>
    <x v="13"/>
    <x v="3"/>
  </r>
  <r>
    <d v="2021-07-22T00:00:00"/>
    <s v="PA8 Periphalt 45a Speciaal"/>
    <x v="13"/>
    <x v="3"/>
  </r>
  <r>
    <d v="2021-08-14T00:00:00"/>
    <s v="16 70/100 Bestone"/>
    <x v="12"/>
    <x v="3"/>
  </r>
  <r>
    <d v="2021-08-20T00:00:00"/>
    <s v="16 70/100 Bestone"/>
    <x v="12"/>
    <x v="4"/>
  </r>
  <r>
    <d v="2021-08-19T00:00:00"/>
    <s v="16 70/100 Bestone"/>
    <x v="12"/>
    <x v="4"/>
  </r>
  <r>
    <d v="2021-08-19T00:00:00"/>
    <s v="16 70/100 Bestone"/>
    <x v="12"/>
    <x v="4"/>
  </r>
  <r>
    <d v="2021-08-19T00:00:00"/>
    <s v="16 70/100 Bestone"/>
    <x v="12"/>
    <x v="5"/>
  </r>
  <r>
    <d v="2021-08-24T00:00:00"/>
    <s v="16 70/100 Bestone"/>
    <x v="12"/>
    <x v="4"/>
  </r>
  <r>
    <d v="2021-08-24T00:00:00"/>
    <m/>
    <x v="9"/>
    <x v="4"/>
  </r>
  <r>
    <d v="2021-10-09T00:00:00"/>
    <s v="16 70/100 Bestone"/>
    <x v="12"/>
    <x v="4"/>
  </r>
  <r>
    <d v="2021-10-09T00:00:00"/>
    <m/>
    <x v="9"/>
    <x v="4"/>
  </r>
  <r>
    <d v="2021-10-09T00:00:00"/>
    <s v="16 70/100 Bestone"/>
    <x v="12"/>
    <x v="4"/>
  </r>
  <r>
    <d v="2021-10-10T00:00:00"/>
    <s v="PA 16 ECO Periphalt HZ90 50 % PR Bestone"/>
    <x v="15"/>
    <x v="4"/>
  </r>
  <r>
    <d v="2021-10-10T00:00:00"/>
    <s v="PA 16 ECO Periphalt HZ90 50 % PR Bestone"/>
    <x v="15"/>
    <x v="4"/>
  </r>
  <r>
    <d v="2021-10-09T00:00:00"/>
    <s v="PA 16 ECO Periphalt HZ90 50 % PR Bestone"/>
    <x v="15"/>
    <x v="4"/>
  </r>
  <r>
    <d v="2021-08-31T00:00:00"/>
    <s v="16 70/100 Bestone"/>
    <x v="12"/>
    <x v="4"/>
  </r>
  <r>
    <d v="2021-08-31T00:00:00"/>
    <s v="16 70/100 Bestone"/>
    <x v="12"/>
    <x v="4"/>
  </r>
  <r>
    <d v="2021-08-31T00:00:00"/>
    <s v="16 70/100 Bestone"/>
    <x v="12"/>
    <x v="4"/>
  </r>
  <r>
    <d v="2021-09-02T00:00:00"/>
    <s v="16 70/100 Bestone"/>
    <x v="12"/>
    <x v="4"/>
  </r>
  <r>
    <d v="2021-09-02T00:00:00"/>
    <s v="16 70/100 Bestone"/>
    <x v="12"/>
    <x v="4"/>
  </r>
  <r>
    <d v="2021-10-16T00:00:00"/>
    <s v="PA8 Periphalt 45a Speciaal"/>
    <x v="13"/>
    <x v="4"/>
  </r>
  <r>
    <d v="2021-10-16T00:00:00"/>
    <s v="PA8 Periphalt 45a Speciaal"/>
    <x v="13"/>
    <x v="4"/>
  </r>
  <r>
    <d v="2021-10-16T00:00:00"/>
    <s v="PA8 Periphalt 45a Speciaal"/>
    <x v="13"/>
    <x v="4"/>
  </r>
  <r>
    <d v="2021-10-16T00:00:00"/>
    <s v="PA8 Periphalt 45a Speciaal"/>
    <x v="13"/>
    <x v="4"/>
  </r>
  <r>
    <d v="2021-10-16T00:00:00"/>
    <s v="8 SFB 5-50 PA Bestone"/>
    <x v="16"/>
    <x v="4"/>
  </r>
  <r>
    <d v="2021-10-16T00:00:00"/>
    <m/>
    <x v="9"/>
    <x v="4"/>
  </r>
  <r>
    <d v="2021-10-22T00:00:00"/>
    <s v="8 SFB 5-50 PA Bestone"/>
    <x v="16"/>
    <x v="4"/>
  </r>
  <r>
    <d v="2021-10-16T00:00:00"/>
    <s v="PA8 Periphalt 45a Speciaal"/>
    <x v="13"/>
    <x v="4"/>
  </r>
  <r>
    <d v="2021-10-16T00:00:00"/>
    <s v="PA8 Periphalt 45a Speciaal"/>
    <x v="13"/>
    <x v="4"/>
  </r>
  <r>
    <d v="2021-05-31T00:00:00"/>
    <s v="0/16"/>
    <x v="17"/>
    <x v="4"/>
  </r>
  <r>
    <d v="2021-05-31T00:00:00"/>
    <s v="0/16"/>
    <x v="17"/>
    <x v="4"/>
  </r>
  <r>
    <d v="2021-05-31T00:00:00"/>
    <s v="0/8"/>
    <x v="18"/>
    <x v="4"/>
  </r>
  <r>
    <d v="2021-09-06T00:00:00"/>
    <s v="0/11"/>
    <x v="5"/>
    <x v="4"/>
  </r>
  <r>
    <d v="2021-09-06T00:00:00"/>
    <s v="0/11"/>
    <x v="5"/>
    <x v="4"/>
  </r>
  <r>
    <d v="2021-10-14T00:00:00"/>
    <m/>
    <x v="9"/>
    <x v="6"/>
  </r>
  <r>
    <d v="2021-10-14T00:00:00"/>
    <m/>
    <x v="9"/>
    <x v="6"/>
  </r>
  <r>
    <d v="2021-10-19T00:00:00"/>
    <m/>
    <x v="9"/>
    <x v="6"/>
  </r>
  <r>
    <d v="2021-10-19T00:00:00"/>
    <m/>
    <x v="9"/>
    <x v="6"/>
  </r>
  <r>
    <d v="2021-10-17T00:00:00"/>
    <m/>
    <x v="9"/>
    <x v="6"/>
  </r>
  <r>
    <d v="2021-10-17T00:00:00"/>
    <m/>
    <x v="9"/>
    <x v="6"/>
  </r>
  <r>
    <d v="2021-10-17T00:00:00"/>
    <m/>
    <x v="9"/>
    <x v="6"/>
  </r>
  <r>
    <d v="2021-09-26T00:00:00"/>
    <m/>
    <x v="9"/>
    <x v="6"/>
  </r>
  <r>
    <d v="2021-09-26T00:00:00"/>
    <m/>
    <x v="9"/>
    <x v="6"/>
  </r>
  <r>
    <d v="2021-09-26T00:00:00"/>
    <m/>
    <x v="9"/>
    <x v="6"/>
  </r>
  <r>
    <d v="2021-06-23T00:00:00"/>
    <m/>
    <x v="9"/>
    <x v="6"/>
  </r>
  <r>
    <d v="2021-10-29T00:00:00"/>
    <m/>
    <x v="9"/>
    <x v="6"/>
  </r>
  <r>
    <d v="2021-11-03T00:00:00"/>
    <m/>
    <x v="9"/>
    <x v="6"/>
  </r>
  <r>
    <d v="2021-03-01T00:00:00"/>
    <s v="0/16"/>
    <x v="19"/>
    <x v="7"/>
  </r>
  <r>
    <d v="2021-03-01T00:00:00"/>
    <s v="0/11"/>
    <x v="20"/>
    <x v="8"/>
  </r>
  <r>
    <d v="2021-03-01T00:00:00"/>
    <s v="0/16"/>
    <x v="19"/>
    <x v="7"/>
  </r>
  <r>
    <d v="2021-03-01T00:00:00"/>
    <s v="0/11"/>
    <x v="20"/>
    <x v="8"/>
  </r>
  <r>
    <d v="2021-03-01T00:00:00"/>
    <s v="0/16"/>
    <x v="19"/>
    <x v="7"/>
  </r>
  <r>
    <d v="2021-05-01T00:00:00"/>
    <s v="0/11"/>
    <x v="20"/>
    <x v="8"/>
  </r>
  <r>
    <d v="2021-05-01T00:00:00"/>
    <s v="0/16"/>
    <x v="19"/>
    <x v="7"/>
  </r>
  <r>
    <d v="2021-05-01T00:00:00"/>
    <s v="0/11"/>
    <x v="20"/>
    <x v="8"/>
  </r>
  <r>
    <d v="2021-05-01T00:00:00"/>
    <s v="0/16"/>
    <x v="19"/>
    <x v="7"/>
  </r>
  <r>
    <d v="2021-05-01T00:00:00"/>
    <s v="0/8"/>
    <x v="21"/>
    <x v="7"/>
  </r>
  <r>
    <d v="2021-05-01T00:00:00"/>
    <s v="0/11"/>
    <x v="20"/>
    <x v="8"/>
  </r>
  <r>
    <d v="2021-05-01T00:00:00"/>
    <s v="0/8"/>
    <x v="21"/>
    <x v="7"/>
  </r>
  <r>
    <d v="2021-05-01T00:00:00"/>
    <s v="0/16"/>
    <x v="19"/>
    <x v="7"/>
  </r>
  <r>
    <d v="2021-05-01T00:00:00"/>
    <s v="0/11"/>
    <x v="20"/>
    <x v="8"/>
  </r>
  <r>
    <d v="2021-05-01T00:00:00"/>
    <s v="0/16"/>
    <x v="19"/>
    <x v="7"/>
  </r>
  <r>
    <d v="2021-05-01T00:00:00"/>
    <s v="0/8"/>
    <x v="21"/>
    <x v="7"/>
  </r>
  <r>
    <d v="2021-05-01T00:00:00"/>
    <s v="0/16"/>
    <x v="19"/>
    <x v="7"/>
  </r>
  <r>
    <d v="2021-05-01T00:00:00"/>
    <s v="0/8"/>
    <x v="21"/>
    <x v="7"/>
  </r>
  <r>
    <d v="2021-05-01T00:00:00"/>
    <s v="0/11"/>
    <x v="20"/>
    <x v="8"/>
  </r>
  <r>
    <d v="2021-03-01T00:00:00"/>
    <s v="0/11"/>
    <x v="22"/>
    <x v="7"/>
  </r>
  <r>
    <d v="2021-03-01T00:00:00"/>
    <s v="0/11"/>
    <x v="22"/>
    <x v="7"/>
  </r>
  <r>
    <d v="2021-03-01T00:00:00"/>
    <s v="0/11"/>
    <x v="22"/>
    <x v="7"/>
  </r>
  <r>
    <d v="2021-03-01T00:00:00"/>
    <s v="0/11"/>
    <x v="22"/>
    <x v="7"/>
  </r>
  <r>
    <d v="2021-03-01T00:00:00"/>
    <s v="0/11"/>
    <x v="22"/>
    <x v="7"/>
  </r>
  <r>
    <d v="2021-03-01T00:00:00"/>
    <s v="0/11"/>
    <x v="22"/>
    <x v="7"/>
  </r>
  <r>
    <d v="2021-05-01T00:00:00"/>
    <s v="0/11"/>
    <x v="22"/>
    <x v="7"/>
  </r>
  <r>
    <d v="2021-05-01T00:00:00"/>
    <s v="0/11"/>
    <x v="22"/>
    <x v="7"/>
  </r>
  <r>
    <d v="2021-05-01T00:00:00"/>
    <s v="0/11"/>
    <x v="22"/>
    <x v="7"/>
  </r>
  <r>
    <d v="2021-05-01T00:00:00"/>
    <s v="0/11"/>
    <x v="22"/>
    <x v="7"/>
  </r>
  <r>
    <d v="2021-06-01T00:00:00"/>
    <s v="0/16"/>
    <x v="19"/>
    <x v="7"/>
  </r>
  <r>
    <d v="2021-06-01T00:00:00"/>
    <s v="0/11"/>
    <x v="20"/>
    <x v="8"/>
  </r>
  <r>
    <d v="2021-06-01T00:00:00"/>
    <s v="0/16"/>
    <x v="19"/>
    <x v="7"/>
  </r>
  <r>
    <d v="2021-06-01T00:00:00"/>
    <s v="0/11"/>
    <x v="20"/>
    <x v="8"/>
  </r>
  <r>
    <d v="2021-06-01T00:00:00"/>
    <s v="0/16"/>
    <x v="19"/>
    <x v="7"/>
  </r>
  <r>
    <d v="2021-07-01T00:00:00"/>
    <s v="0/11"/>
    <x v="20"/>
    <x v="8"/>
  </r>
  <r>
    <d v="2021-07-01T00:00:00"/>
    <s v="0/11"/>
    <x v="23"/>
    <x v="8"/>
  </r>
  <r>
    <d v="2021-07-01T00:00:00"/>
    <s v="0/16"/>
    <x v="19"/>
    <x v="7"/>
  </r>
  <r>
    <d v="2021-07-01T00:00:00"/>
    <s v="0/11"/>
    <x v="20"/>
    <x v="8"/>
  </r>
  <r>
    <d v="2021-07-01T00:00:00"/>
    <s v="0/16"/>
    <x v="19"/>
    <x v="7"/>
  </r>
  <r>
    <d v="2021-07-01T00:00:00"/>
    <s v="0/8"/>
    <x v="21"/>
    <x v="7"/>
  </r>
  <r>
    <d v="2021-07-01T00:00:00"/>
    <s v="0/11"/>
    <x v="20"/>
    <x v="8"/>
  </r>
  <r>
    <d v="2021-07-01T00:00:00"/>
    <s v="0/8"/>
    <x v="21"/>
    <x v="7"/>
  </r>
  <r>
    <d v="2021-07-01T00:00:00"/>
    <s v="0/11"/>
    <x v="20"/>
    <x v="8"/>
  </r>
  <r>
    <d v="2021-07-01T00:00:00"/>
    <s v="0/16"/>
    <x v="19"/>
    <x v="7"/>
  </r>
  <r>
    <d v="2021-07-01T00:00:00"/>
    <s v="0/8"/>
    <x v="21"/>
    <x v="7"/>
  </r>
  <r>
    <d v="2021-07-01T00:00:00"/>
    <s v="0/16"/>
    <x v="19"/>
    <x v="7"/>
  </r>
  <r>
    <d v="2021-07-01T00:00:00"/>
    <s v="0/8"/>
    <x v="21"/>
    <x v="7"/>
  </r>
  <r>
    <d v="2021-07-01T00:00:00"/>
    <s v="0/16"/>
    <x v="19"/>
    <x v="7"/>
  </r>
  <r>
    <d v="2021-07-01T00:00:00"/>
    <s v="0/8"/>
    <x v="21"/>
    <x v="7"/>
  </r>
  <r>
    <d v="2021-07-01T00:00:00"/>
    <s v="0/11"/>
    <x v="20"/>
    <x v="8"/>
  </r>
  <r>
    <d v="2021-06-01T00:00:00"/>
    <s v="0/11"/>
    <x v="22"/>
    <x v="7"/>
  </r>
  <r>
    <d v="2021-06-01T00:00:00"/>
    <s v="0/11"/>
    <x v="22"/>
    <x v="7"/>
  </r>
  <r>
    <d v="2021-06-01T00:00:00"/>
    <s v="0/11"/>
    <x v="22"/>
    <x v="7"/>
  </r>
  <r>
    <d v="2021-06-01T00:00:00"/>
    <s v="0/11"/>
    <x v="22"/>
    <x v="7"/>
  </r>
  <r>
    <d v="2021-06-01T00:00:00"/>
    <s v="0/11"/>
    <x v="22"/>
    <x v="7"/>
  </r>
  <r>
    <d v="2021-06-01T00:00:00"/>
    <s v="0/11"/>
    <x v="22"/>
    <x v="7"/>
  </r>
  <r>
    <d v="2021-07-01T00:00:00"/>
    <s v="0/11"/>
    <x v="22"/>
    <x v="7"/>
  </r>
  <r>
    <d v="2021-07-01T00:00:00"/>
    <s v="0/11"/>
    <x v="22"/>
    <x v="7"/>
  </r>
  <r>
    <d v="2021-07-01T00:00:00"/>
    <s v="0/11"/>
    <x v="22"/>
    <x v="7"/>
  </r>
  <r>
    <d v="2021-07-01T00:00:00"/>
    <s v="0/11"/>
    <x v="22"/>
    <x v="7"/>
  </r>
  <r>
    <d v="2021-08-26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8T00:00:00"/>
    <s v="0/16"/>
    <x v="24"/>
    <x v="9"/>
  </r>
  <r>
    <d v="2021-10-19T00:00:00"/>
    <s v="0/16"/>
    <x v="25"/>
    <x v="9"/>
  </r>
  <r>
    <d v="2021-10-19T00:00:00"/>
    <s v="0/16"/>
    <x v="24"/>
    <x v="9"/>
  </r>
  <r>
    <d v="2021-10-20T00:00:00"/>
    <s v="0/16"/>
    <x v="24"/>
    <x v="9"/>
  </r>
  <r>
    <d v="2021-10-20T00:00:00"/>
    <s v="0/16"/>
    <x v="24"/>
    <x v="9"/>
  </r>
  <r>
    <d v="2021-10-20T00:00:00"/>
    <s v="0/16"/>
    <x v="24"/>
    <x v="9"/>
  </r>
  <r>
    <d v="2021-11-18T00:00:00"/>
    <s v="0/11 type 2"/>
    <x v="26"/>
    <x v="9"/>
  </r>
  <r>
    <d v="2021-10-21T00:00:00"/>
    <s v="0/16"/>
    <x v="24"/>
    <x v="9"/>
  </r>
  <r>
    <d v="2021-10-21T00:00:00"/>
    <s v="0/16"/>
    <x v="27"/>
    <x v="9"/>
  </r>
  <r>
    <d v="2021-10-25T00:00:00"/>
    <s v="0/16"/>
    <x v="27"/>
    <x v="9"/>
  </r>
  <r>
    <d v="2021-10-25T00:00:00"/>
    <s v="0/16"/>
    <x v="27"/>
    <x v="9"/>
  </r>
  <r>
    <d v="2021-10-25T00:00:00"/>
    <s v="0/16"/>
    <x v="27"/>
    <x v="9"/>
  </r>
  <r>
    <d v="2021-10-25T00:00:00"/>
    <s v="0/16"/>
    <x v="27"/>
    <x v="9"/>
  </r>
  <r>
    <d v="2021-10-25T00:00:00"/>
    <s v="0/16"/>
    <x v="27"/>
    <x v="9"/>
  </r>
  <r>
    <d v="2021-10-26T00:00:00"/>
    <s v="0/11 type 2"/>
    <x v="28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7T00:00:00"/>
    <s v="0/16"/>
    <x v="27"/>
    <x v="9"/>
  </r>
  <r>
    <d v="2021-10-28T00:00:00"/>
    <s v="0/16"/>
    <x v="27"/>
    <x v="9"/>
  </r>
  <r>
    <d v="2021-10-28T00:00:00"/>
    <s v="0/16"/>
    <x v="27"/>
    <x v="9"/>
  </r>
  <r>
    <d v="2021-10-28T00:00:00"/>
    <s v="0/16"/>
    <x v="27"/>
    <x v="9"/>
  </r>
  <r>
    <d v="2021-10-28T00:00:00"/>
    <s v="0/16"/>
    <x v="27"/>
    <x v="9"/>
  </r>
  <r>
    <d v="2021-10-28T00:00:00"/>
    <s v="4/8 en 11/16"/>
    <x v="29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02T00:00:00"/>
    <s v="0/16"/>
    <x v="27"/>
    <x v="9"/>
  </r>
  <r>
    <d v="2021-11-10T00:00:00"/>
    <s v="0/16"/>
    <x v="27"/>
    <x v="9"/>
  </r>
  <r>
    <d v="2021-11-10T00:00:00"/>
    <s v="0/16"/>
    <x v="27"/>
    <x v="9"/>
  </r>
  <r>
    <d v="2021-11-10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1T00:00:00"/>
    <s v="0/16"/>
    <x v="27"/>
    <x v="9"/>
  </r>
  <r>
    <d v="2021-11-17T00:00:00"/>
    <s v="0/16"/>
    <x v="27"/>
    <x v="9"/>
  </r>
  <r>
    <d v="2021-11-17T00:00:00"/>
    <s v="0/16"/>
    <x v="27"/>
    <x v="9"/>
  </r>
  <r>
    <d v="2021-11-29T00:00:00"/>
    <s v="0/16"/>
    <x v="27"/>
    <x v="9"/>
  </r>
  <r>
    <d v="2021-11-29T00:00:00"/>
    <s v="0/16"/>
    <x v="27"/>
    <x v="9"/>
  </r>
  <r>
    <d v="2021-11-29T00:00:00"/>
    <s v="0/16"/>
    <x v="27"/>
    <x v="9"/>
  </r>
  <r>
    <d v="2021-11-29T00:00:00"/>
    <s v="0/16"/>
    <x v="27"/>
    <x v="9"/>
  </r>
  <r>
    <d v="2021-12-01T00:00:00"/>
    <s v="0/16"/>
    <x v="27"/>
    <x v="9"/>
  </r>
  <r>
    <d v="2021-12-01T00:00:00"/>
    <s v="0/16"/>
    <x v="27"/>
    <x v="9"/>
  </r>
  <r>
    <d v="2021-12-01T00:00:00"/>
    <s v="0/16"/>
    <x v="27"/>
    <x v="9"/>
  </r>
  <r>
    <d v="2021-12-01T00:00:00"/>
    <s v="0/16"/>
    <x v="27"/>
    <x v="9"/>
  </r>
  <r>
    <d v="2021-12-01T00:00:00"/>
    <s v="0/16"/>
    <x v="27"/>
    <x v="9"/>
  </r>
  <r>
    <d v="2021-12-01T00:00:00"/>
    <s v="0/16"/>
    <x v="27"/>
    <x v="9"/>
  </r>
  <r>
    <d v="2021-11-16T00:00:00"/>
    <s v="4/8 en 11/16"/>
    <x v="29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1 type 2"/>
    <x v="28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1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3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23T00:00:00"/>
    <s v="0/16"/>
    <x v="27"/>
    <x v="9"/>
  </r>
  <r>
    <d v="2021-12-21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4T00:00:00"/>
    <s v="0/16"/>
    <x v="27"/>
    <x v="9"/>
  </r>
  <r>
    <d v="2021-12-14T00:00:00"/>
    <s v="0/11 type 2"/>
    <x v="28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7T00:00:00"/>
    <s v="0/11 type 2"/>
    <x v="28"/>
    <x v="9"/>
  </r>
  <r>
    <d v="2021-12-17T00:00:00"/>
    <s v="0/16"/>
    <x v="24"/>
    <x v="9"/>
  </r>
  <r>
    <d v="2021-12-17T00:00:00"/>
    <s v="0/16"/>
    <x v="27"/>
    <x v="9"/>
  </r>
  <r>
    <d v="2021-12-17T00:00:00"/>
    <s v="0/16"/>
    <x v="24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4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4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23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08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08T00:00:00"/>
    <s v="0/16"/>
    <x v="27"/>
    <x v="9"/>
  </r>
  <r>
    <d v="2021-12-17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17T00:00:00"/>
    <s v="0/16"/>
    <x v="27"/>
    <x v="9"/>
  </r>
  <r>
    <d v="2021-12-07T00:00:00"/>
    <s v="0/16"/>
    <x v="27"/>
    <x v="9"/>
  </r>
  <r>
    <d v="2021-12-07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7T00:00:00"/>
    <s v="0/16"/>
    <x v="27"/>
    <x v="9"/>
  </r>
  <r>
    <d v="2021-12-07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08T00:00:00"/>
    <s v="0/16"/>
    <x v="27"/>
    <x v="9"/>
  </r>
  <r>
    <d v="2021-12-14T00:00:00"/>
    <s v="0/16"/>
    <x v="24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14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15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09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09T00:00:00"/>
    <s v="0/16"/>
    <x v="27"/>
    <x v="9"/>
  </r>
  <r>
    <d v="2021-12-17T00:00:00"/>
    <s v="0/16"/>
    <x v="27"/>
    <x v="9"/>
  </r>
  <r>
    <d v="2021-12-09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09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7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13T00:00:00"/>
    <s v="0/16"/>
    <x v="27"/>
    <x v="9"/>
  </r>
  <r>
    <d v="2021-12-20T00:00:00"/>
    <s v="0/16"/>
    <x v="27"/>
    <x v="9"/>
  </r>
  <r>
    <d v="2021-12-13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13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09T00:00:00"/>
    <s v="0/16"/>
    <x v="27"/>
    <x v="9"/>
  </r>
  <r>
    <d v="2021-12-20T00:00:00"/>
    <s v="0/16"/>
    <x v="27"/>
    <x v="9"/>
  </r>
  <r>
    <d v="2021-12-13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0T00:00:00"/>
    <s v="0/16"/>
    <x v="27"/>
    <x v="9"/>
  </r>
  <r>
    <d v="2021-12-21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1-30T00:00:00"/>
    <s v="0/16"/>
    <x v="27"/>
    <x v="9"/>
  </r>
  <r>
    <d v="2021-12-15T00:00:00"/>
    <s v="0/16"/>
    <x v="27"/>
    <x v="9"/>
  </r>
  <r>
    <d v="2021-12-21T00:00:00"/>
    <s v="0/16"/>
    <x v="27"/>
    <x v="9"/>
  </r>
  <r>
    <d v="2021-12-15T00:00:00"/>
    <s v="0/16"/>
    <x v="27"/>
    <x v="9"/>
  </r>
  <r>
    <d v="2021-12-15T00:00:00"/>
    <s v="0/16"/>
    <x v="27"/>
    <x v="9"/>
  </r>
  <r>
    <d v="2021-12-21T00:00:00"/>
    <s v="0/16"/>
    <x v="27"/>
    <x v="9"/>
  </r>
  <r>
    <d v="2021-12-21T00:00:00"/>
    <s v="0/16"/>
    <x v="27"/>
    <x v="9"/>
  </r>
  <r>
    <d v="2021-12-15T00:00:00"/>
    <s v="0/16"/>
    <x v="27"/>
    <x v="9"/>
  </r>
  <r>
    <d v="2021-12-23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16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16T00:00:00"/>
    <s v="0/16"/>
    <x v="27"/>
    <x v="9"/>
  </r>
  <r>
    <d v="2021-12-23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23T00:00:00"/>
    <s v="0/16"/>
    <x v="27"/>
    <x v="9"/>
  </r>
  <r>
    <d v="2021-12-22T00:00:00"/>
    <s v="0/16"/>
    <x v="27"/>
    <x v="9"/>
  </r>
  <r>
    <d v="2021-12-22T00:00:00"/>
    <s v="0/16"/>
    <x v="27"/>
    <x v="9"/>
  </r>
  <r>
    <d v="2021-12-23T00:00:00"/>
    <s v="0/16"/>
    <x v="27"/>
    <x v="9"/>
  </r>
  <r>
    <d v="2021-12-22T00:00:00"/>
    <s v="0/16"/>
    <x v="27"/>
    <x v="9"/>
  </r>
  <r>
    <d v="2021-12-16T00:00:00"/>
    <s v="0/16"/>
    <x v="27"/>
    <x v="9"/>
  </r>
  <r>
    <d v="2021-12-16T00:00:00"/>
    <s v="0/16"/>
    <x v="27"/>
    <x v="9"/>
  </r>
  <r>
    <d v="2020-05-20T00:00:00"/>
    <m/>
    <x v="30"/>
    <x v="10"/>
  </r>
  <r>
    <d v="2020-05-20T00:00:00"/>
    <m/>
    <x v="30"/>
    <x v="10"/>
  </r>
  <r>
    <d v="2021-04-16T00:00:00"/>
    <m/>
    <x v="31"/>
    <x v="11"/>
  </r>
  <r>
    <d v="2021-04-16T00:00:00"/>
    <m/>
    <x v="31"/>
    <x v="11"/>
  </r>
  <r>
    <d v="2021-07-16T00:00:00"/>
    <m/>
    <x v="32"/>
    <x v="11"/>
  </r>
  <r>
    <d v="2021-06-23T00:00:00"/>
    <m/>
    <x v="33"/>
    <x v="11"/>
  </r>
  <r>
    <d v="2021-04-10T00:00:00"/>
    <m/>
    <x v="34"/>
    <x v="10"/>
  </r>
  <r>
    <d v="2021-08-31T00:00:00"/>
    <m/>
    <x v="34"/>
    <x v="10"/>
  </r>
  <r>
    <d v="2021-08-31T00:00:00"/>
    <m/>
    <x v="34"/>
    <x v="10"/>
  </r>
  <r>
    <d v="2021-04-10T00:00:00"/>
    <m/>
    <x v="34"/>
    <x v="10"/>
  </r>
  <r>
    <d v="2021-04-10T00:00:00"/>
    <m/>
    <x v="34"/>
    <x v="10"/>
  </r>
  <r>
    <d v="2021-04-10T00:00:00"/>
    <m/>
    <x v="34"/>
    <x v="10"/>
  </r>
  <r>
    <d v="2021-04-10T00:00:00"/>
    <m/>
    <x v="34"/>
    <x v="10"/>
  </r>
  <r>
    <d v="2022-01-26T00:00:00"/>
    <m/>
    <x v="32"/>
    <x v="11"/>
  </r>
  <r>
    <d v="2021-09-03T00:00:00"/>
    <m/>
    <x v="34"/>
    <x v="10"/>
  </r>
  <r>
    <d v="2021-09-04T00:00:00"/>
    <m/>
    <x v="34"/>
    <x v="10"/>
  </r>
  <r>
    <d v="2021-09-07T00:00:00"/>
    <m/>
    <x v="34"/>
    <x v="10"/>
  </r>
  <r>
    <d v="2021-09-03T00:00:00"/>
    <m/>
    <x v="35"/>
    <x v="10"/>
  </r>
  <r>
    <d v="2021-09-08T00:00:00"/>
    <m/>
    <x v="34"/>
    <x v="10"/>
  </r>
  <r>
    <d v="2021-09-08T00:00:00"/>
    <m/>
    <x v="34"/>
    <x v="10"/>
  </r>
  <r>
    <d v="2021-09-08T00:00:00"/>
    <m/>
    <x v="34"/>
    <x v="10"/>
  </r>
  <r>
    <d v="2021-09-08T00:00:00"/>
    <m/>
    <x v="34"/>
    <x v="10"/>
  </r>
  <r>
    <d v="2021-09-08T00:00:00"/>
    <m/>
    <x v="34"/>
    <x v="10"/>
  </r>
  <r>
    <d v="2021-09-10T00:00:00"/>
    <m/>
    <x v="34"/>
    <x v="10"/>
  </r>
  <r>
    <d v="2021-09-10T00:00:00"/>
    <m/>
    <x v="34"/>
    <x v="10"/>
  </r>
  <r>
    <d v="2021-09-10T00:00:00"/>
    <m/>
    <x v="34"/>
    <x v="10"/>
  </r>
  <r>
    <d v="2021-09-09T00:00:00"/>
    <m/>
    <x v="34"/>
    <x v="10"/>
  </r>
  <r>
    <d v="2021-09-09T00:00:00"/>
    <m/>
    <x v="34"/>
    <x v="10"/>
  </r>
  <r>
    <d v="2021-09-25T00:00:00"/>
    <m/>
    <x v="34"/>
    <x v="10"/>
  </r>
  <r>
    <d v="2021-09-17T00:00:00"/>
    <m/>
    <x v="34"/>
    <x v="10"/>
  </r>
  <r>
    <d v="2021-09-17T00:00:00"/>
    <m/>
    <x v="34"/>
    <x v="10"/>
  </r>
  <r>
    <d v="2021-09-15T00:00:00"/>
    <m/>
    <x v="34"/>
    <x v="10"/>
  </r>
  <r>
    <d v="2021-09-14T00:00:00"/>
    <m/>
    <x v="34"/>
    <x v="10"/>
  </r>
  <r>
    <d v="2021-09-14T00:00:00"/>
    <m/>
    <x v="34"/>
    <x v="10"/>
  </r>
  <r>
    <d v="2021-09-14T00:00:00"/>
    <m/>
    <x v="35"/>
    <x v="10"/>
  </r>
  <r>
    <d v="2021-09-22T00:00:00"/>
    <m/>
    <x v="34"/>
    <x v="10"/>
  </r>
  <r>
    <d v="2021-09-21T00:00:00"/>
    <m/>
    <x v="35"/>
    <x v="11"/>
  </r>
  <r>
    <d v="2021-09-21T00:00:00"/>
    <m/>
    <x v="35"/>
    <x v="11"/>
  </r>
  <r>
    <d v="2021-09-21T00:00:00"/>
    <m/>
    <x v="34"/>
    <x v="11"/>
  </r>
  <r>
    <d v="2021-09-28T00:00:00"/>
    <m/>
    <x v="31"/>
    <x v="11"/>
  </r>
  <r>
    <d v="2021-07-16T00:00:00"/>
    <m/>
    <x v="36"/>
    <x v="11"/>
  </r>
  <r>
    <d v="2021-04-23T00:00:00"/>
    <m/>
    <x v="31"/>
    <x v="11"/>
  </r>
  <r>
    <d v="2021-04-23T00:00:00"/>
    <m/>
    <x v="31"/>
    <x v="11"/>
  </r>
  <r>
    <d v="2021-04-23T00:00:00"/>
    <m/>
    <x v="31"/>
    <x v="11"/>
  </r>
  <r>
    <d v="2021-10-01T00:00:00"/>
    <m/>
    <x v="37"/>
    <x v="11"/>
  </r>
  <r>
    <d v="2021-10-01T00:00:00"/>
    <m/>
    <x v="37"/>
    <x v="11"/>
  </r>
  <r>
    <d v="2021-10-01T00:00:00"/>
    <m/>
    <x v="37"/>
    <x v="11"/>
  </r>
  <r>
    <d v="2021-09-29T00:00:00"/>
    <m/>
    <x v="38"/>
    <x v="11"/>
  </r>
  <r>
    <d v="2021-09-29T00:00:00"/>
    <m/>
    <x v="38"/>
    <x v="11"/>
  </r>
  <r>
    <d v="2021-11-26T00:00:00"/>
    <m/>
    <x v="34"/>
    <x v="11"/>
  </r>
  <r>
    <d v="2022-01-14T00:00:00"/>
    <m/>
    <x v="34"/>
    <x v="11"/>
  </r>
  <r>
    <d v="2022-01-14T00:00:00"/>
    <m/>
    <x v="34"/>
    <x v="11"/>
  </r>
  <r>
    <d v="2022-01-14T00:00:00"/>
    <m/>
    <x v="34"/>
    <x v="11"/>
  </r>
  <r>
    <d v="2022-01-14T00:00:00"/>
    <m/>
    <x v="34"/>
    <x v="11"/>
  </r>
  <r>
    <d v="2021-06-24T00:00:00"/>
    <m/>
    <x v="38"/>
    <x v="11"/>
  </r>
  <r>
    <d v="2021-06-24T00:00:00"/>
    <m/>
    <x v="38"/>
    <x v="11"/>
  </r>
  <r>
    <d v="2021-06-24T00:00:00"/>
    <m/>
    <x v="38"/>
    <x v="11"/>
  </r>
  <r>
    <d v="2021-06-25T00:00:00"/>
    <m/>
    <x v="38"/>
    <x v="11"/>
  </r>
  <r>
    <d v="2021-06-25T00:00:00"/>
    <m/>
    <x v="38"/>
    <x v="11"/>
  </r>
  <r>
    <d v="2021-06-25T00:00:00"/>
    <m/>
    <x v="38"/>
    <x v="11"/>
  </r>
  <r>
    <s v="17/18-2021"/>
    <m/>
    <x v="38"/>
    <x v="11"/>
  </r>
  <r>
    <s v="17/18-2021"/>
    <m/>
    <x v="38"/>
    <x v="11"/>
  </r>
  <r>
    <s v="17/18-2021"/>
    <m/>
    <x v="38"/>
    <x v="11"/>
  </r>
  <r>
    <s v="17/18-2021"/>
    <m/>
    <x v="38"/>
    <x v="11"/>
  </r>
  <r>
    <d v="2021-11-23T00:00:00"/>
    <m/>
    <x v="34"/>
    <x v="11"/>
  </r>
  <r>
    <d v="2021-11-23T00:00:00"/>
    <m/>
    <x v="34"/>
    <x v="11"/>
  </r>
  <r>
    <d v="2021-12-15T00:00:00"/>
    <m/>
    <x v="34"/>
    <x v="11"/>
  </r>
  <r>
    <d v="2021-12-01T00:00:00"/>
    <m/>
    <x v="34"/>
    <x v="11"/>
  </r>
  <r>
    <d v="2021-12-02T00:00:00"/>
    <m/>
    <x v="34"/>
    <x v="11"/>
  </r>
  <r>
    <d v="2021-12-03T00:00:00"/>
    <m/>
    <x v="34"/>
    <x v="11"/>
  </r>
  <r>
    <d v="2021-12-03T00:00:00"/>
    <m/>
    <x v="35"/>
    <x v="11"/>
  </r>
  <r>
    <d v="2021-12-03T00:00:00"/>
    <m/>
    <x v="34"/>
    <x v="11"/>
  </r>
  <r>
    <d v="2021-09-23T00:00:00"/>
    <m/>
    <x v="9"/>
    <x v="12"/>
  </r>
  <r>
    <d v="2021-09-23T00:00:00"/>
    <m/>
    <x v="9"/>
    <x v="12"/>
  </r>
  <r>
    <d v="2021-09-23T00:00:00"/>
    <m/>
    <x v="9"/>
    <x v="12"/>
  </r>
  <r>
    <d v="2021-09-23T00:00:00"/>
    <m/>
    <x v="9"/>
    <x v="12"/>
  </r>
  <r>
    <d v="2021-11-17T00:00:00"/>
    <m/>
    <x v="34"/>
    <x v="10"/>
  </r>
  <r>
    <d v="2021-10-08T00:00:00"/>
    <m/>
    <x v="34"/>
    <x v="10"/>
  </r>
  <r>
    <d v="2021-12-08T00:00:00"/>
    <m/>
    <x v="34"/>
    <x v="10"/>
  </r>
  <r>
    <d v="2021-12-08T00:00:00"/>
    <m/>
    <x v="34"/>
    <x v="10"/>
  </r>
  <r>
    <d v="2021-11-17T00:00:00"/>
    <m/>
    <x v="34"/>
    <x v="10"/>
  </r>
  <r>
    <d v="2021-09-24T00:00:00"/>
    <m/>
    <x v="34"/>
    <x v="11"/>
  </r>
  <r>
    <d v="2021-12-09T00:00:00"/>
    <m/>
    <x v="34"/>
    <x v="10"/>
  </r>
  <r>
    <d v="2021-12-09T00:00:00"/>
    <m/>
    <x v="34"/>
    <x v="10"/>
  </r>
  <r>
    <d v="2021-09-24T00:00:00"/>
    <m/>
    <x v="38"/>
    <x v="11"/>
  </r>
  <r>
    <d v="2021-12-10T00:00:00"/>
    <m/>
    <x v="34"/>
    <x v="11"/>
  </r>
  <r>
    <d v="2021-12-10T00:00:00"/>
    <m/>
    <x v="34"/>
    <x v="11"/>
  </r>
  <r>
    <d v="2021-12-10T00:00:00"/>
    <m/>
    <x v="34"/>
    <x v="11"/>
  </r>
  <r>
    <d v="2021-12-10T00:00:00"/>
    <m/>
    <x v="34"/>
    <x v="11"/>
  </r>
  <r>
    <d v="2021-12-17T00:00:00"/>
    <m/>
    <x v="34"/>
    <x v="11"/>
  </r>
  <r>
    <d v="2021-12-16T00:00:00"/>
    <m/>
    <x v="34"/>
    <x v="11"/>
  </r>
  <r>
    <d v="2021-05-06T00:00:00"/>
    <m/>
    <x v="9"/>
    <x v="4"/>
  </r>
  <r>
    <d v="2021-09-20T00:00:00"/>
    <m/>
    <x v="9"/>
    <x v="4"/>
  </r>
  <r>
    <d v="2021-09-20T00:00:00"/>
    <m/>
    <x v="9"/>
    <x v="4"/>
  </r>
  <r>
    <d v="2021-08-31T00:00:00"/>
    <m/>
    <x v="9"/>
    <x v="4"/>
  </r>
  <r>
    <d v="2021-05-06T00:00:00"/>
    <m/>
    <x v="9"/>
    <x v="4"/>
  </r>
  <r>
    <d v="1905-07-13T00:00:00"/>
    <m/>
    <x v="9"/>
    <x v="4"/>
  </r>
  <r>
    <d v="1905-07-13T00:00:00"/>
    <m/>
    <x v="9"/>
    <x v="4"/>
  </r>
  <r>
    <d v="2021-06-04T00:00:00"/>
    <m/>
    <x v="9"/>
    <x v="4"/>
  </r>
  <r>
    <d v="2021-06-04T00:00:00"/>
    <m/>
    <x v="9"/>
    <x v="4"/>
  </r>
  <r>
    <d v="2021-07-20T00:00:00"/>
    <m/>
    <x v="9"/>
    <x v="4"/>
  </r>
  <r>
    <d v="2021-08-31T00:00:00"/>
    <m/>
    <x v="9"/>
    <x v="4"/>
  </r>
  <r>
    <d v="2021-07-20T00:00:00"/>
    <m/>
    <x v="9"/>
    <x v="4"/>
  </r>
  <r>
    <d v="2021-07-20T00:00:00"/>
    <m/>
    <x v="9"/>
    <x v="4"/>
  </r>
  <r>
    <d v="2021-07-21T00:00:00"/>
    <m/>
    <x v="9"/>
    <x v="4"/>
  </r>
  <r>
    <d v="2021-07-21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2021-07-21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2021-08-31T00:00:00"/>
    <m/>
    <x v="9"/>
    <x v="4"/>
  </r>
  <r>
    <d v="2021-03-30T00:00:00"/>
    <m/>
    <x v="9"/>
    <x v="4"/>
  </r>
  <r>
    <d v="2021-03-30T00:00:00"/>
    <m/>
    <x v="9"/>
    <x v="4"/>
  </r>
  <r>
    <d v="2021-02-24T00:00:00"/>
    <m/>
    <x v="9"/>
    <x v="4"/>
  </r>
  <r>
    <d v="2021-02-24T00:00:00"/>
    <m/>
    <x v="9"/>
    <x v="4"/>
  </r>
  <r>
    <d v="2021-02-24T00:00:00"/>
    <m/>
    <x v="9"/>
    <x v="4"/>
  </r>
  <r>
    <d v="2021-02-24T00:00:00"/>
    <m/>
    <x v="9"/>
    <x v="4"/>
  </r>
  <r>
    <d v="2021-05-26T00:00:00"/>
    <m/>
    <x v="9"/>
    <x v="4"/>
  </r>
  <r>
    <d v="2021-09-06T00:00:00"/>
    <m/>
    <x v="9"/>
    <x v="4"/>
  </r>
  <r>
    <d v="2021-05-26T00:00:00"/>
    <m/>
    <x v="9"/>
    <x v="4"/>
  </r>
  <r>
    <d v="2021-05-26T00:00:00"/>
    <m/>
    <x v="9"/>
    <x v="4"/>
  </r>
  <r>
    <d v="2021-05-26T00:00:00"/>
    <m/>
    <x v="9"/>
    <x v="4"/>
  </r>
  <r>
    <d v="2021-05-26T00:00:00"/>
    <m/>
    <x v="9"/>
    <x v="4"/>
  </r>
  <r>
    <d v="2021-05-05T00:00:00"/>
    <m/>
    <x v="9"/>
    <x v="4"/>
  </r>
  <r>
    <d v="2021-05-05T00:00:00"/>
    <m/>
    <x v="9"/>
    <x v="4"/>
  </r>
  <r>
    <d v="2021-05-05T00:00:00"/>
    <m/>
    <x v="9"/>
    <x v="4"/>
  </r>
  <r>
    <d v="2021-05-26T00:00:00"/>
    <m/>
    <x v="9"/>
    <x v="4"/>
  </r>
  <r>
    <d v="2021-02-24T00:00:00"/>
    <m/>
    <x v="9"/>
    <x v="4"/>
  </r>
  <r>
    <d v="2021-05-05T00:00:00"/>
    <m/>
    <x v="9"/>
    <x v="4"/>
  </r>
  <r>
    <d v="2021-06-08T00:00:00"/>
    <m/>
    <x v="9"/>
    <x v="4"/>
  </r>
  <r>
    <d v="2021-02-26T00:00:00"/>
    <m/>
    <x v="9"/>
    <x v="4"/>
  </r>
  <r>
    <d v="2021-02-26T00:00:00"/>
    <m/>
    <x v="9"/>
    <x v="4"/>
  </r>
  <r>
    <d v="2021-02-24T00:00:00"/>
    <m/>
    <x v="9"/>
    <x v="4"/>
  </r>
  <r>
    <d v="2021-02-24T00:00:00"/>
    <m/>
    <x v="9"/>
    <x v="4"/>
  </r>
  <r>
    <d v="2021-02-24T00:00:00"/>
    <m/>
    <x v="9"/>
    <x v="4"/>
  </r>
  <r>
    <d v="2021-02-17T00:00:00"/>
    <m/>
    <x v="9"/>
    <x v="4"/>
  </r>
  <r>
    <d v="2021-02-17T00:00:00"/>
    <m/>
    <x v="9"/>
    <x v="4"/>
  </r>
  <r>
    <d v="2021-02-17T00:00:00"/>
    <m/>
    <x v="9"/>
    <x v="4"/>
  </r>
  <r>
    <d v="2021-02-17T00:00:00"/>
    <m/>
    <x v="9"/>
    <x v="4"/>
  </r>
  <r>
    <d v="2021-02-17T00:00:00"/>
    <m/>
    <x v="9"/>
    <x v="4"/>
  </r>
  <r>
    <d v="2021-02-17T00:00:00"/>
    <m/>
    <x v="9"/>
    <x v="4"/>
  </r>
  <r>
    <d v="2021-06-02T00:00:00"/>
    <m/>
    <x v="9"/>
    <x v="4"/>
  </r>
  <r>
    <d v="2021-02-18T00:00:00"/>
    <m/>
    <x v="9"/>
    <x v="4"/>
  </r>
  <r>
    <d v="2021-02-16T00:00:00"/>
    <m/>
    <x v="9"/>
    <x v="4"/>
  </r>
  <r>
    <d v="2021-02-16T00:00:00"/>
    <m/>
    <x v="9"/>
    <x v="4"/>
  </r>
  <r>
    <d v="2021-02-18T00:00:00"/>
    <m/>
    <x v="9"/>
    <x v="4"/>
  </r>
  <r>
    <d v="2021-02-15T00:00:00"/>
    <m/>
    <x v="9"/>
    <x v="4"/>
  </r>
  <r>
    <d v="2021-02-15T00:00:00"/>
    <m/>
    <x v="9"/>
    <x v="4"/>
  </r>
  <r>
    <d v="2021-02-15T00:00:00"/>
    <m/>
    <x v="9"/>
    <x v="4"/>
  </r>
  <r>
    <d v="2021-02-24T00:00:00"/>
    <m/>
    <x v="9"/>
    <x v="4"/>
  </r>
  <r>
    <d v="2021-02-24T00:00:00"/>
    <m/>
    <x v="9"/>
    <x v="4"/>
  </r>
  <r>
    <d v="2021-06-07T00:00:00"/>
    <m/>
    <x v="9"/>
    <x v="4"/>
  </r>
  <r>
    <d v="2021-06-07T00:00:00"/>
    <m/>
    <x v="9"/>
    <x v="4"/>
  </r>
  <r>
    <d v="2021-06-07T00:00:00"/>
    <m/>
    <x v="9"/>
    <x v="4"/>
  </r>
  <r>
    <d v="2021-03-03T00:00:00"/>
    <m/>
    <x v="9"/>
    <x v="4"/>
  </r>
  <r>
    <d v="2021-06-07T00:00:00"/>
    <m/>
    <x v="9"/>
    <x v="4"/>
  </r>
  <r>
    <d v="2021-03-03T00:00:00"/>
    <m/>
    <x v="9"/>
    <x v="4"/>
  </r>
  <r>
    <d v="2021-03-03T00:00:00"/>
    <m/>
    <x v="9"/>
    <x v="4"/>
  </r>
  <r>
    <d v="2021-03-03T00:00:00"/>
    <m/>
    <x v="9"/>
    <x v="4"/>
  </r>
  <r>
    <d v="2021-03-03T00:00:00"/>
    <m/>
    <x v="9"/>
    <x v="4"/>
  </r>
  <r>
    <d v="2021-03-01T00:00:00"/>
    <m/>
    <x v="9"/>
    <x v="4"/>
  </r>
  <r>
    <d v="2021-03-01T00:00:00"/>
    <m/>
    <x v="9"/>
    <x v="4"/>
  </r>
  <r>
    <d v="2021-03-01T00:00:00"/>
    <m/>
    <x v="9"/>
    <x v="4"/>
  </r>
  <r>
    <d v="2021-03-01T00:00:00"/>
    <m/>
    <x v="9"/>
    <x v="4"/>
  </r>
  <r>
    <d v="2021-03-01T00:00:00"/>
    <m/>
    <x v="9"/>
    <x v="4"/>
  </r>
  <r>
    <d v="2021-03-01T00:00:00"/>
    <m/>
    <x v="9"/>
    <x v="4"/>
  </r>
  <r>
    <d v="2021-03-01T00:00:00"/>
    <m/>
    <x v="9"/>
    <x v="4"/>
  </r>
  <r>
    <d v="2021-06-03T00:00:00"/>
    <m/>
    <x v="9"/>
    <x v="4"/>
  </r>
  <r>
    <d v="2021-06-03T00:00:00"/>
    <m/>
    <x v="9"/>
    <x v="4"/>
  </r>
  <r>
    <d v="2021-06-03T00:00:00"/>
    <m/>
    <x v="9"/>
    <x v="4"/>
  </r>
  <r>
    <d v="2021-06-03T00:00:00"/>
    <m/>
    <x v="9"/>
    <x v="4"/>
  </r>
  <r>
    <d v="2021-03-04T00:00:00"/>
    <m/>
    <x v="9"/>
    <x v="4"/>
  </r>
  <r>
    <d v="2021-03-10T00:00:00"/>
    <m/>
    <x v="9"/>
    <x v="4"/>
  </r>
  <r>
    <d v="2021-03-10T00:00:00"/>
    <m/>
    <x v="9"/>
    <x v="4"/>
  </r>
  <r>
    <d v="2021-03-10T00:00:00"/>
    <m/>
    <x v="9"/>
    <x v="4"/>
  </r>
  <r>
    <d v="2021-03-10T00:00:00"/>
    <m/>
    <x v="9"/>
    <x v="4"/>
  </r>
  <r>
    <d v="2021-03-10T00:00:00"/>
    <m/>
    <x v="9"/>
    <x v="4"/>
  </r>
  <r>
    <d v="2021-03-10T00:00:00"/>
    <m/>
    <x v="9"/>
    <x v="4"/>
  </r>
  <r>
    <d v="2021-02-18T00:00:00"/>
    <m/>
    <x v="9"/>
    <x v="4"/>
  </r>
  <r>
    <d v="2021-05-29T00:00:00"/>
    <m/>
    <x v="9"/>
    <x v="4"/>
  </r>
  <r>
    <d v="2021-02-18T00:00:00"/>
    <m/>
    <x v="9"/>
    <x v="4"/>
  </r>
  <r>
    <d v="2021-02-19T00:00:00"/>
    <m/>
    <x v="9"/>
    <x v="4"/>
  </r>
  <r>
    <d v="2021-07-22T00:00:00"/>
    <m/>
    <x v="9"/>
    <x v="4"/>
  </r>
  <r>
    <d v="2021-05-29T00:00:00"/>
    <m/>
    <x v="9"/>
    <x v="4"/>
  </r>
  <r>
    <d v="2021-07-22T00:00:00"/>
    <m/>
    <x v="9"/>
    <x v="4"/>
  </r>
  <r>
    <d v="2021-05-29T00:00:00"/>
    <m/>
    <x v="9"/>
    <x v="4"/>
  </r>
  <r>
    <d v="2021-07-22T00:00:00"/>
    <m/>
    <x v="9"/>
    <x v="4"/>
  </r>
  <r>
    <d v="2021-07-22T00:00:00"/>
    <m/>
    <x v="9"/>
    <x v="4"/>
  </r>
  <r>
    <d v="2021-02-17T00:00:00"/>
    <m/>
    <x v="9"/>
    <x v="4"/>
  </r>
  <r>
    <d v="2021-02-17T00:00:00"/>
    <m/>
    <x v="9"/>
    <x v="4"/>
  </r>
  <r>
    <d v="2021-06-03T00:00:00"/>
    <m/>
    <x v="9"/>
    <x v="4"/>
  </r>
  <r>
    <d v="2021-03-09T00:00:00"/>
    <m/>
    <x v="9"/>
    <x v="4"/>
  </r>
  <r>
    <d v="2021-03-09T00:00:00"/>
    <m/>
    <x v="9"/>
    <x v="4"/>
  </r>
  <r>
    <d v="2021-03-09T00:00:00"/>
    <m/>
    <x v="9"/>
    <x v="4"/>
  </r>
  <r>
    <d v="2021-03-09T00:00:00"/>
    <m/>
    <x v="9"/>
    <x v="4"/>
  </r>
  <r>
    <d v="2021-03-09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3-02T00:00:00"/>
    <m/>
    <x v="9"/>
    <x v="4"/>
  </r>
  <r>
    <d v="2021-06-19T00:00:00"/>
    <m/>
    <x v="9"/>
    <x v="4"/>
  </r>
  <r>
    <d v="2021-03-02T00:00:00"/>
    <m/>
    <x v="9"/>
    <x v="4"/>
  </r>
  <r>
    <d v="2021-06-19T00:00:00"/>
    <m/>
    <x v="9"/>
    <x v="4"/>
  </r>
  <r>
    <d v="2021-06-19T00:00:00"/>
    <m/>
    <x v="9"/>
    <x v="4"/>
  </r>
  <r>
    <d v="2021-03-02T00:00:00"/>
    <m/>
    <x v="9"/>
    <x v="4"/>
  </r>
  <r>
    <d v="2021-03-02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6-19T00:00:00"/>
    <m/>
    <x v="9"/>
    <x v="4"/>
  </r>
  <r>
    <d v="2021-03-02T00:00:00"/>
    <m/>
    <x v="9"/>
    <x v="4"/>
  </r>
  <r>
    <d v="2021-03-02T00:00:00"/>
    <m/>
    <x v="9"/>
    <x v="4"/>
  </r>
  <r>
    <d v="2021-02-22T00:00:00"/>
    <m/>
    <x v="9"/>
    <x v="4"/>
  </r>
  <r>
    <d v="2021-09-14T00:00:00"/>
    <m/>
    <x v="9"/>
    <x v="4"/>
  </r>
  <r>
    <d v="2021-02-21T00:00:00"/>
    <m/>
    <x v="9"/>
    <x v="4"/>
  </r>
  <r>
    <d v="2021-02-21T00:00:00"/>
    <m/>
    <x v="9"/>
    <x v="4"/>
  </r>
  <r>
    <d v="2021-02-21T00:00:00"/>
    <m/>
    <x v="9"/>
    <x v="4"/>
  </r>
  <r>
    <d v="2021-09-02T00:00:00"/>
    <m/>
    <x v="9"/>
    <x v="4"/>
  </r>
  <r>
    <d v="2021-02-20T00:00:00"/>
    <m/>
    <x v="9"/>
    <x v="4"/>
  </r>
  <r>
    <d v="2021-02-20T00:00:00"/>
    <m/>
    <x v="9"/>
    <x v="4"/>
  </r>
  <r>
    <d v="2021-09-02T00:00:00"/>
    <m/>
    <x v="9"/>
    <x v="4"/>
  </r>
  <r>
    <d v="2021-09-02T00:00:00"/>
    <m/>
    <x v="9"/>
    <x v="4"/>
  </r>
  <r>
    <d v="2021-08-30T00:00:00"/>
    <m/>
    <x v="9"/>
    <x v="4"/>
  </r>
  <r>
    <d v="2021-03-04T00:00:00"/>
    <m/>
    <x v="9"/>
    <x v="4"/>
  </r>
  <r>
    <d v="2021-03-04T00:00:00"/>
    <m/>
    <x v="9"/>
    <x v="4"/>
  </r>
  <r>
    <d v="2021-09-02T00:00:00"/>
    <m/>
    <x v="9"/>
    <x v="4"/>
  </r>
  <r>
    <d v="2021-05-19T00:00:00"/>
    <m/>
    <x v="9"/>
    <x v="4"/>
  </r>
  <r>
    <d v="2021-09-07T00:00:00"/>
    <m/>
    <x v="9"/>
    <x v="4"/>
  </r>
  <r>
    <d v="2021-09-07T00:00:00"/>
    <m/>
    <x v="9"/>
    <x v="4"/>
  </r>
  <r>
    <d v="2021-03-08T00:00:00"/>
    <m/>
    <x v="9"/>
    <x v="4"/>
  </r>
  <r>
    <d v="2021-03-08T00:00:00"/>
    <m/>
    <x v="9"/>
    <x v="4"/>
  </r>
  <r>
    <d v="2021-03-08T00:00:00"/>
    <m/>
    <x v="9"/>
    <x v="4"/>
  </r>
  <r>
    <d v="2021-05-27T00:00:00"/>
    <m/>
    <x v="9"/>
    <x v="4"/>
  </r>
  <r>
    <d v="2021-05-27T00:00:00"/>
    <m/>
    <x v="9"/>
    <x v="4"/>
  </r>
  <r>
    <d v="2021-05-27T00:00:00"/>
    <m/>
    <x v="9"/>
    <x v="4"/>
  </r>
  <r>
    <d v="2021-05-27T00:00:00"/>
    <m/>
    <x v="9"/>
    <x v="4"/>
  </r>
  <r>
    <d v="2021-05-27T00:00:00"/>
    <m/>
    <x v="9"/>
    <x v="4"/>
  </r>
  <r>
    <d v="2021-05-28T00:00:00"/>
    <m/>
    <x v="9"/>
    <x v="4"/>
  </r>
  <r>
    <d v="2021-02-19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2021-02-22T00:00:00"/>
    <m/>
    <x v="9"/>
    <x v="4"/>
  </r>
  <r>
    <d v="2021-02-23T00:00:00"/>
    <m/>
    <x v="9"/>
    <x v="4"/>
  </r>
  <r>
    <d v="2021-02-23T00:00:00"/>
    <m/>
    <x v="9"/>
    <x v="4"/>
  </r>
  <r>
    <d v="2021-02-25T00:00:00"/>
    <m/>
    <x v="9"/>
    <x v="4"/>
  </r>
  <r>
    <d v="2021-06-01T00:00:00"/>
    <m/>
    <x v="9"/>
    <x v="4"/>
  </r>
  <r>
    <d v="2021-06-01T00:00:00"/>
    <m/>
    <x v="9"/>
    <x v="4"/>
  </r>
  <r>
    <d v="2021-06-01T00:00:00"/>
    <m/>
    <x v="9"/>
    <x v="4"/>
  </r>
  <r>
    <d v="2021-08-31T00:00:00"/>
    <m/>
    <x v="9"/>
    <x v="4"/>
  </r>
  <r>
    <d v="2021-09-14T00:00:00"/>
    <m/>
    <x v="9"/>
    <x v="4"/>
  </r>
  <r>
    <d v="2021-03-29T00:00:00"/>
    <m/>
    <x v="9"/>
    <x v="4"/>
  </r>
  <r>
    <d v="2021-03-29T00:00:00"/>
    <m/>
    <x v="9"/>
    <x v="4"/>
  </r>
  <r>
    <d v="2021-03-29T00:00:00"/>
    <m/>
    <x v="9"/>
    <x v="4"/>
  </r>
  <r>
    <d v="2021-03-29T00:00:00"/>
    <m/>
    <x v="9"/>
    <x v="4"/>
  </r>
  <r>
    <d v="1905-07-13T00:00:00"/>
    <m/>
    <x v="9"/>
    <x v="4"/>
  </r>
  <r>
    <d v="1905-07-13T00:00:00"/>
    <m/>
    <x v="9"/>
    <x v="4"/>
  </r>
  <r>
    <d v="2021-09-02T00:00:00"/>
    <m/>
    <x v="9"/>
    <x v="4"/>
  </r>
  <r>
    <d v="2021-09-01T00:00:00"/>
    <m/>
    <x v="9"/>
    <x v="4"/>
  </r>
  <r>
    <d v="2021-09-21T00:00:00"/>
    <m/>
    <x v="9"/>
    <x v="4"/>
  </r>
  <r>
    <d v="2021-09-08T00:00:00"/>
    <m/>
    <x v="9"/>
    <x v="4"/>
  </r>
  <r>
    <d v="2021-09-08T00:00:00"/>
    <m/>
    <x v="9"/>
    <x v="4"/>
  </r>
  <r>
    <d v="2021-09-08T00:00:00"/>
    <m/>
    <x v="9"/>
    <x v="4"/>
  </r>
  <r>
    <d v="2021-09-08T00:00:00"/>
    <m/>
    <x v="9"/>
    <x v="4"/>
  </r>
  <r>
    <d v="2021-09-08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6-18T00:00:00"/>
    <m/>
    <x v="9"/>
    <x v="4"/>
  </r>
  <r>
    <d v="2021-06-18T00:00:00"/>
    <m/>
    <x v="9"/>
    <x v="4"/>
  </r>
  <r>
    <d v="2021-06-10T00:00:00"/>
    <m/>
    <x v="9"/>
    <x v="4"/>
  </r>
  <r>
    <d v="2021-06-10T00:00:00"/>
    <m/>
    <x v="9"/>
    <x v="4"/>
  </r>
  <r>
    <d v="2021-06-10T00:00:00"/>
    <m/>
    <x v="9"/>
    <x v="4"/>
  </r>
  <r>
    <d v="2021-06-10T00:00:00"/>
    <m/>
    <x v="9"/>
    <x v="4"/>
  </r>
  <r>
    <d v="2021-06-10T00:00:00"/>
    <m/>
    <x v="9"/>
    <x v="4"/>
  </r>
  <r>
    <d v="2021-09-13T00:00:00"/>
    <m/>
    <x v="9"/>
    <x v="4"/>
  </r>
  <r>
    <d v="2021-09-14T00:00:00"/>
    <m/>
    <x v="9"/>
    <x v="4"/>
  </r>
  <r>
    <d v="2021-09-13T00:00:00"/>
    <m/>
    <x v="9"/>
    <x v="4"/>
  </r>
  <r>
    <d v="2021-09-13T00:00:00"/>
    <m/>
    <x v="9"/>
    <x v="4"/>
  </r>
  <r>
    <d v="2021-09-13T00:00:00"/>
    <m/>
    <x v="9"/>
    <x v="4"/>
  </r>
  <r>
    <d v="2021-09-13T00:00:00"/>
    <m/>
    <x v="9"/>
    <x v="4"/>
  </r>
  <r>
    <d v="2021-05-19T00:00:00"/>
    <m/>
    <x v="9"/>
    <x v="4"/>
  </r>
  <r>
    <d v="2021-06-10T00:00:00"/>
    <m/>
    <x v="9"/>
    <x v="4"/>
  </r>
  <r>
    <d v="2021-06-11T00:00:00"/>
    <m/>
    <x v="9"/>
    <x v="4"/>
  </r>
  <r>
    <d v="2021-09-03T00:00:00"/>
    <m/>
    <x v="9"/>
    <x v="4"/>
  </r>
  <r>
    <d v="2021-09-03T00:00:00"/>
    <m/>
    <x v="9"/>
    <x v="4"/>
  </r>
  <r>
    <d v="2021-09-27T00:00:00"/>
    <m/>
    <x v="9"/>
    <x v="4"/>
  </r>
  <r>
    <d v="2021-07-19T00:00:00"/>
    <m/>
    <x v="9"/>
    <x v="4"/>
  </r>
  <r>
    <d v="2021-09-27T00:00:00"/>
    <m/>
    <x v="9"/>
    <x v="4"/>
  </r>
  <r>
    <d v="2021-09-28T00:00:00"/>
    <m/>
    <x v="9"/>
    <x v="4"/>
  </r>
  <r>
    <d v="2021-06-11T00:00:00"/>
    <m/>
    <x v="9"/>
    <x v="4"/>
  </r>
  <r>
    <d v="2021-06-11T00:00:00"/>
    <m/>
    <x v="9"/>
    <x v="4"/>
  </r>
  <r>
    <d v="2021-06-11T00:00:00"/>
    <m/>
    <x v="9"/>
    <x v="4"/>
  </r>
  <r>
    <d v="2021-06-11T00:00:00"/>
    <m/>
    <x v="9"/>
    <x v="4"/>
  </r>
  <r>
    <d v="2021-06-09T00:00:00"/>
    <m/>
    <x v="9"/>
    <x v="4"/>
  </r>
  <r>
    <d v="2021-06-09T00:00:00"/>
    <m/>
    <x v="9"/>
    <x v="4"/>
  </r>
  <r>
    <d v="2021-06-09T00:00:00"/>
    <m/>
    <x v="9"/>
    <x v="4"/>
  </r>
  <r>
    <d v="2021-06-09T00:00:00"/>
    <m/>
    <x v="9"/>
    <x v="4"/>
  </r>
  <r>
    <d v="2021-09-01T00:00:00"/>
    <m/>
    <x v="9"/>
    <x v="4"/>
  </r>
  <r>
    <d v="2021-09-01T00:00:00"/>
    <m/>
    <x v="9"/>
    <x v="4"/>
  </r>
  <r>
    <d v="2021-02-22T00:00:00"/>
    <m/>
    <x v="9"/>
    <x v="4"/>
  </r>
  <r>
    <d v="2021-02-22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5-21T00:00:00"/>
    <m/>
    <x v="9"/>
    <x v="4"/>
  </r>
  <r>
    <d v="2021-06-02T00:00:00"/>
    <m/>
    <x v="9"/>
    <x v="4"/>
  </r>
  <r>
    <d v="2021-06-02T00:00:00"/>
    <m/>
    <x v="9"/>
    <x v="4"/>
  </r>
  <r>
    <d v="2021-06-02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0T00:00:00"/>
    <m/>
    <x v="9"/>
    <x v="4"/>
  </r>
  <r>
    <d v="2021-07-21T00:00:00"/>
    <m/>
    <x v="9"/>
    <x v="4"/>
  </r>
  <r>
    <d v="2021-08-24T00:00:00"/>
    <m/>
    <x v="9"/>
    <x v="4"/>
  </r>
  <r>
    <d v="2021-08-24T00:00:00"/>
    <m/>
    <x v="9"/>
    <x v="4"/>
  </r>
  <r>
    <d v="2021-08-25T00:00:00"/>
    <m/>
    <x v="9"/>
    <x v="4"/>
  </r>
  <r>
    <d v="2021-08-25T00:00:00"/>
    <m/>
    <x v="9"/>
    <x v="4"/>
  </r>
  <r>
    <d v="2021-08-25T00:00:00"/>
    <m/>
    <x v="9"/>
    <x v="4"/>
  </r>
  <r>
    <d v="2021-08-25T00:00:00"/>
    <m/>
    <x v="9"/>
    <x v="4"/>
  </r>
  <r>
    <d v="2021-08-25T00:00:00"/>
    <m/>
    <x v="9"/>
    <x v="4"/>
  </r>
  <r>
    <d v="2021-08-26T00:00:00"/>
    <m/>
    <x v="9"/>
    <x v="4"/>
  </r>
  <r>
    <d v="2021-08-26T00:00:00"/>
    <m/>
    <x v="9"/>
    <x v="4"/>
  </r>
  <r>
    <d v="2021-08-26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9-01T00:00:00"/>
    <m/>
    <x v="9"/>
    <x v="4"/>
  </r>
  <r>
    <d v="2021-09-01T00:00:00"/>
    <m/>
    <x v="9"/>
    <x v="4"/>
  </r>
  <r>
    <d v="2021-09-01T00:00:00"/>
    <m/>
    <x v="9"/>
    <x v="4"/>
  </r>
  <r>
    <d v="2021-09-01T00:00:00"/>
    <m/>
    <x v="9"/>
    <x v="4"/>
  </r>
  <r>
    <d v="2021-09-01T00:00:00"/>
    <m/>
    <x v="9"/>
    <x v="4"/>
  </r>
  <r>
    <d v="2021-09-02T00:00:00"/>
    <m/>
    <x v="9"/>
    <x v="4"/>
  </r>
  <r>
    <d v="2021-09-02T00:00:00"/>
    <m/>
    <x v="9"/>
    <x v="4"/>
  </r>
  <r>
    <d v="2021-09-02T00:00:00"/>
    <m/>
    <x v="9"/>
    <x v="4"/>
  </r>
  <r>
    <d v="2021-09-02T00:00:00"/>
    <m/>
    <x v="9"/>
    <x v="4"/>
  </r>
  <r>
    <d v="2021-09-02T00:00:00"/>
    <m/>
    <x v="9"/>
    <x v="4"/>
  </r>
  <r>
    <d v="2021-09-02T00:00:00"/>
    <m/>
    <x v="9"/>
    <x v="4"/>
  </r>
  <r>
    <d v="2021-09-02T00:00:00"/>
    <m/>
    <x v="9"/>
    <x v="4"/>
  </r>
  <r>
    <d v="2021-09-10T00:00:00"/>
    <m/>
    <x v="9"/>
    <x v="4"/>
  </r>
  <r>
    <d v="2021-09-10T00:00:00"/>
    <m/>
    <x v="9"/>
    <x v="4"/>
  </r>
  <r>
    <d v="2021-09-10T00:00:00"/>
    <m/>
    <x v="9"/>
    <x v="4"/>
  </r>
  <r>
    <d v="2021-09-10T00:00:00"/>
    <m/>
    <x v="9"/>
    <x v="4"/>
  </r>
  <r>
    <d v="2021-09-17T00:00:00"/>
    <m/>
    <x v="9"/>
    <x v="4"/>
  </r>
  <r>
    <d v="2021-09-17T00:00:00"/>
    <m/>
    <x v="9"/>
    <x v="4"/>
  </r>
  <r>
    <d v="2021-09-17T00:00:00"/>
    <m/>
    <x v="9"/>
    <x v="4"/>
  </r>
  <r>
    <d v="2021-09-20T00:00:00"/>
    <m/>
    <x v="9"/>
    <x v="4"/>
  </r>
  <r>
    <d v="2021-09-20T00:00:00"/>
    <m/>
    <x v="9"/>
    <x v="4"/>
  </r>
  <r>
    <d v="2021-09-20T00:00:00"/>
    <m/>
    <x v="9"/>
    <x v="4"/>
  </r>
  <r>
    <d v="2021-09-20T00:00:00"/>
    <m/>
    <x v="9"/>
    <x v="4"/>
  </r>
  <r>
    <d v="2021-09-20T00:00:00"/>
    <m/>
    <x v="9"/>
    <x v="4"/>
  </r>
  <r>
    <d v="2021-09-20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1T00:00:00"/>
    <m/>
    <x v="9"/>
    <x v="4"/>
  </r>
  <r>
    <d v="2021-09-22T00:00:00"/>
    <m/>
    <x v="9"/>
    <x v="4"/>
  </r>
  <r>
    <d v="2021-09-22T00:00:00"/>
    <m/>
    <x v="9"/>
    <x v="4"/>
  </r>
  <r>
    <d v="2021-09-22T00:00:00"/>
    <m/>
    <x v="9"/>
    <x v="4"/>
  </r>
  <r>
    <d v="2021-09-22T00:00:00"/>
    <m/>
    <x v="9"/>
    <x v="4"/>
  </r>
  <r>
    <d v="2021-09-22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9-29T00:00:00"/>
    <m/>
    <x v="9"/>
    <x v="4"/>
  </r>
  <r>
    <d v="2021-09-29T00:00:00"/>
    <m/>
    <x v="9"/>
    <x v="4"/>
  </r>
  <r>
    <d v="2021-09-29T00:00:00"/>
    <m/>
    <x v="9"/>
    <x v="4"/>
  </r>
  <r>
    <d v="2021-09-29T00:00:00"/>
    <m/>
    <x v="9"/>
    <x v="4"/>
  </r>
  <r>
    <d v="2021-09-29T00:00:00"/>
    <m/>
    <x v="9"/>
    <x v="4"/>
  </r>
  <r>
    <d v="2021-09-30T00:00:00"/>
    <m/>
    <x v="9"/>
    <x v="4"/>
  </r>
  <r>
    <d v="2021-09-30T00:00:00"/>
    <m/>
    <x v="9"/>
    <x v="4"/>
  </r>
  <r>
    <d v="2021-09-30T00:00:00"/>
    <m/>
    <x v="9"/>
    <x v="4"/>
  </r>
  <r>
    <d v="2021-09-30T00:00:00"/>
    <m/>
    <x v="9"/>
    <x v="4"/>
  </r>
  <r>
    <d v="2021-09-30T00:00:00"/>
    <m/>
    <x v="9"/>
    <x v="4"/>
  </r>
  <r>
    <d v="2021-09-30T00:00:00"/>
    <m/>
    <x v="9"/>
    <x v="4"/>
  </r>
  <r>
    <d v="2021-09-30T00:00:00"/>
    <m/>
    <x v="9"/>
    <x v="4"/>
  </r>
  <r>
    <d v="2021-10-01T00:00:00"/>
    <m/>
    <x v="9"/>
    <x v="4"/>
  </r>
  <r>
    <d v="2021-10-08T00:00:00"/>
    <m/>
    <x v="9"/>
    <x v="4"/>
  </r>
  <r>
    <d v="2021-10-08T00:00:00"/>
    <m/>
    <x v="9"/>
    <x v="4"/>
  </r>
  <r>
    <d v="2021-10-08T00:00:00"/>
    <m/>
    <x v="9"/>
    <x v="4"/>
  </r>
  <r>
    <d v="2021-10-08T00:00:00"/>
    <m/>
    <x v="9"/>
    <x v="4"/>
  </r>
  <r>
    <d v="2021-10-08T00:00:00"/>
    <m/>
    <x v="9"/>
    <x v="4"/>
  </r>
  <r>
    <d v="2021-10-08T00:00:00"/>
    <m/>
    <x v="9"/>
    <x v="4"/>
  </r>
  <r>
    <d v="2021-10-13T00:00:00"/>
    <m/>
    <x v="9"/>
    <x v="4"/>
  </r>
  <r>
    <d v="2021-10-13T00:00:00"/>
    <m/>
    <x v="9"/>
    <x v="4"/>
  </r>
  <r>
    <d v="2021-10-13T00:00:00"/>
    <m/>
    <x v="9"/>
    <x v="4"/>
  </r>
  <r>
    <d v="2021-10-13T00:00:00"/>
    <m/>
    <x v="9"/>
    <x v="4"/>
  </r>
  <r>
    <d v="2021-10-13T00:00:00"/>
    <m/>
    <x v="9"/>
    <x v="4"/>
  </r>
  <r>
    <d v="2021-10-14T00:00:00"/>
    <m/>
    <x v="9"/>
    <x v="4"/>
  </r>
  <r>
    <d v="2021-10-14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15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2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0-29T00:00:00"/>
    <m/>
    <x v="9"/>
    <x v="4"/>
  </r>
  <r>
    <d v="2021-11-01T00:00:00"/>
    <m/>
    <x v="9"/>
    <x v="4"/>
  </r>
  <r>
    <d v="2021-11-01T00:00:00"/>
    <m/>
    <x v="9"/>
    <x v="4"/>
  </r>
  <r>
    <d v="2021-11-01T00:00:00"/>
    <m/>
    <x v="9"/>
    <x v="4"/>
  </r>
  <r>
    <d v="2021-11-01T00:00:00"/>
    <m/>
    <x v="9"/>
    <x v="4"/>
  </r>
  <r>
    <d v="2021-11-02T00:00:00"/>
    <m/>
    <x v="9"/>
    <x v="4"/>
  </r>
  <r>
    <d v="2021-11-02T00:00:00"/>
    <m/>
    <x v="9"/>
    <x v="4"/>
  </r>
  <r>
    <d v="2021-11-02T00:00:00"/>
    <m/>
    <x v="9"/>
    <x v="4"/>
  </r>
  <r>
    <d v="2021-11-02T00:00:00"/>
    <m/>
    <x v="9"/>
    <x v="4"/>
  </r>
  <r>
    <d v="2021-11-02T00:00:00"/>
    <m/>
    <x v="9"/>
    <x v="4"/>
  </r>
  <r>
    <d v="2021-11-02T00:00:00"/>
    <m/>
    <x v="9"/>
    <x v="4"/>
  </r>
  <r>
    <d v="2021-11-03T00:00:00"/>
    <m/>
    <x v="9"/>
    <x v="4"/>
  </r>
  <r>
    <d v="2021-11-03T00:00:00"/>
    <m/>
    <x v="9"/>
    <x v="4"/>
  </r>
  <r>
    <d v="2021-11-03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5T00:00:00"/>
    <m/>
    <x v="9"/>
    <x v="4"/>
  </r>
  <r>
    <d v="2021-11-08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2T00:00:00"/>
    <m/>
    <x v="9"/>
    <x v="4"/>
  </r>
  <r>
    <d v="2021-11-15T00:00:00"/>
    <m/>
    <x v="9"/>
    <x v="4"/>
  </r>
  <r>
    <d v="2021-11-15T00:00:00"/>
    <m/>
    <x v="9"/>
    <x v="4"/>
  </r>
  <r>
    <d v="2021-11-16T00:00:00"/>
    <m/>
    <x v="9"/>
    <x v="4"/>
  </r>
  <r>
    <d v="2021-11-16T00:00:00"/>
    <m/>
    <x v="9"/>
    <x v="4"/>
  </r>
  <r>
    <d v="2021-11-17T00:00:00"/>
    <m/>
    <x v="9"/>
    <x v="4"/>
  </r>
  <r>
    <d v="2021-11-17T00:00:00"/>
    <m/>
    <x v="9"/>
    <x v="4"/>
  </r>
  <r>
    <d v="2021-11-18T00:00:00"/>
    <m/>
    <x v="9"/>
    <x v="4"/>
  </r>
  <r>
    <d v="2021-11-18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0T00:00:00"/>
    <m/>
    <x v="9"/>
    <x v="4"/>
  </r>
  <r>
    <d v="2021-11-24T00:00:00"/>
    <m/>
    <x v="9"/>
    <x v="4"/>
  </r>
  <r>
    <d v="2021-11-24T00:00:00"/>
    <m/>
    <x v="9"/>
    <x v="4"/>
  </r>
  <r>
    <d v="2021-11-24T00:00:00"/>
    <m/>
    <x v="9"/>
    <x v="4"/>
  </r>
  <r>
    <d v="2021-11-24T00:00:00"/>
    <m/>
    <x v="9"/>
    <x v="4"/>
  </r>
  <r>
    <d v="2021-11-25T00:00:00"/>
    <m/>
    <x v="9"/>
    <x v="4"/>
  </r>
  <r>
    <d v="2021-11-25T00:00:00"/>
    <m/>
    <x v="9"/>
    <x v="4"/>
  </r>
  <r>
    <d v="2021-11-25T00:00:00"/>
    <m/>
    <x v="9"/>
    <x v="4"/>
  </r>
  <r>
    <d v="2021-11-25T00:00:00"/>
    <m/>
    <x v="9"/>
    <x v="4"/>
  </r>
  <r>
    <d v="2021-12-01T00:00:00"/>
    <m/>
    <x v="9"/>
    <x v="4"/>
  </r>
  <r>
    <d v="2021-12-01T00:00:00"/>
    <m/>
    <x v="9"/>
    <x v="4"/>
  </r>
  <r>
    <d v="2021-12-02T00:00:00"/>
    <m/>
    <x v="9"/>
    <x v="4"/>
  </r>
  <r>
    <d v="2021-12-02T00:00:00"/>
    <m/>
    <x v="9"/>
    <x v="4"/>
  </r>
  <r>
    <d v="2021-12-02T00:00:00"/>
    <m/>
    <x v="9"/>
    <x v="4"/>
  </r>
  <r>
    <d v="2021-12-03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2021-10-17T00:00:00"/>
    <m/>
    <x v="9"/>
    <x v="4"/>
  </r>
  <r>
    <d v="1905-07-13T00:00:00"/>
    <m/>
    <x v="9"/>
    <x v="4"/>
  </r>
  <r>
    <d v="1905-07-13T00:00:00"/>
    <m/>
    <x v="9"/>
    <x v="4"/>
  </r>
  <r>
    <d v="1905-07-13T00:00:00"/>
    <m/>
    <x v="9"/>
    <x v="4"/>
  </r>
  <r>
    <d v="2021-02-19T00:00:00"/>
    <m/>
    <x v="34"/>
    <x v="11"/>
  </r>
  <r>
    <d v="2021-02-19T00:00:00"/>
    <m/>
    <x v="34"/>
    <x v="11"/>
  </r>
  <r>
    <d v="2021-02-19T00:00:00"/>
    <m/>
    <x v="34"/>
    <x v="11"/>
  </r>
  <r>
    <d v="2021-02-20T00:00:00"/>
    <m/>
    <x v="34"/>
    <x v="11"/>
  </r>
  <r>
    <d v="2021-02-20T00:00:00"/>
    <m/>
    <x v="34"/>
    <x v="11"/>
  </r>
  <r>
    <d v="2021-02-20T00:00:00"/>
    <m/>
    <x v="34"/>
    <x v="11"/>
  </r>
  <r>
    <d v="2021-02-20T00:00:00"/>
    <m/>
    <x v="34"/>
    <x v="11"/>
  </r>
  <r>
    <d v="2021-02-22T00:00:00"/>
    <m/>
    <x v="34"/>
    <x v="11"/>
  </r>
  <r>
    <d v="2021-02-23T00:00:00"/>
    <m/>
    <x v="34"/>
    <x v="11"/>
  </r>
  <r>
    <d v="2021-02-24T00:00:00"/>
    <m/>
    <x v="35"/>
    <x v="11"/>
  </r>
  <r>
    <d v="2021-03-07T00:00:00"/>
    <m/>
    <x v="39"/>
    <x v="11"/>
  </r>
  <r>
    <d v="2021-03-20T00:00:00"/>
    <m/>
    <x v="40"/>
    <x v="11"/>
  </r>
  <r>
    <d v="2021-03-20T00:00:00"/>
    <m/>
    <x v="40"/>
    <x v="11"/>
  </r>
  <r>
    <d v="2021-03-20T00:00:00"/>
    <m/>
    <x v="40"/>
    <x v="11"/>
  </r>
  <r>
    <d v="2021-03-20T00:00:00"/>
    <m/>
    <x v="41"/>
    <x v="11"/>
  </r>
  <r>
    <d v="2021-03-20T00:00:00"/>
    <m/>
    <x v="39"/>
    <x v="11"/>
  </r>
  <r>
    <d v="2021-03-20T00:00:00"/>
    <m/>
    <x v="39"/>
    <x v="11"/>
  </r>
  <r>
    <d v="2021-03-21T00:00:00"/>
    <m/>
    <x v="34"/>
    <x v="11"/>
  </r>
  <r>
    <d v="2021-03-21T00:00:00"/>
    <m/>
    <x v="34"/>
    <x v="11"/>
  </r>
  <r>
    <d v="2021-03-21T00:00:00"/>
    <m/>
    <x v="34"/>
    <x v="11"/>
  </r>
  <r>
    <d v="2021-03-21T00:00:00"/>
    <m/>
    <x v="34"/>
    <x v="11"/>
  </r>
  <r>
    <d v="2021-03-21T00:00:00"/>
    <m/>
    <x v="39"/>
    <x v="11"/>
  </r>
  <r>
    <d v="2021-03-21T00:00:00"/>
    <m/>
    <x v="39"/>
    <x v="11"/>
  </r>
  <r>
    <d v="2021-03-21T00:00:00"/>
    <m/>
    <x v="39"/>
    <x v="11"/>
  </r>
  <r>
    <d v="2021-03-22T00:00:00"/>
    <m/>
    <x v="34"/>
    <x v="11"/>
  </r>
  <r>
    <d v="2021-03-23T00:00:00"/>
    <m/>
    <x v="34"/>
    <x v="11"/>
  </r>
  <r>
    <d v="2021-03-23T00:00:00"/>
    <m/>
    <x v="34"/>
    <x v="11"/>
  </r>
  <r>
    <d v="2021-03-24T00:00:00"/>
    <m/>
    <x v="34"/>
    <x v="11"/>
  </r>
  <r>
    <d v="2021-03-25T00:00:00"/>
    <m/>
    <x v="34"/>
    <x v="11"/>
  </r>
  <r>
    <d v="2021-03-29T00:00:00"/>
    <m/>
    <x v="34"/>
    <x v="11"/>
  </r>
  <r>
    <d v="2021-03-29T00:00:00"/>
    <m/>
    <x v="34"/>
    <x v="11"/>
  </r>
  <r>
    <d v="2021-03-30T00:00:00"/>
    <m/>
    <x v="34"/>
    <x v="11"/>
  </r>
  <r>
    <d v="2021-03-30T00:00:00"/>
    <m/>
    <x v="34"/>
    <x v="11"/>
  </r>
  <r>
    <d v="2021-03-31T00:00:00"/>
    <m/>
    <x v="42"/>
    <x v="11"/>
  </r>
  <r>
    <d v="2021-04-10T00:00:00"/>
    <m/>
    <x v="34"/>
    <x v="11"/>
  </r>
  <r>
    <d v="2021-04-10T00:00:00"/>
    <m/>
    <x v="34"/>
    <x v="11"/>
  </r>
  <r>
    <d v="2021-04-11T00:00:00"/>
    <m/>
    <x v="40"/>
    <x v="11"/>
  </r>
  <r>
    <d v="2021-04-11T00:00:00"/>
    <m/>
    <x v="34"/>
    <x v="11"/>
  </r>
  <r>
    <d v="2021-04-15T00:00:00"/>
    <m/>
    <x v="43"/>
    <x v="11"/>
  </r>
  <r>
    <d v="2021-04-21T00:00:00"/>
    <m/>
    <x v="34"/>
    <x v="11"/>
  </r>
  <r>
    <d v="2021-04-21T00:00:00"/>
    <m/>
    <x v="34"/>
    <x v="11"/>
  </r>
  <r>
    <d v="2021-04-25T00:00:00"/>
    <m/>
    <x v="34"/>
    <x v="11"/>
  </r>
  <r>
    <d v="2021-04-25T00:00:00"/>
    <m/>
    <x v="34"/>
    <x v="11"/>
  </r>
  <r>
    <d v="2021-04-24T00:00:00"/>
    <m/>
    <x v="40"/>
    <x v="11"/>
  </r>
  <r>
    <d v="2021-04-24T00:00:00"/>
    <m/>
    <x v="34"/>
    <x v="11"/>
  </r>
  <r>
    <d v="2021-05-09T00:00:00"/>
    <m/>
    <x v="35"/>
    <x v="11"/>
  </r>
  <r>
    <d v="2021-05-09T00:00:00"/>
    <m/>
    <x v="35"/>
    <x v="11"/>
  </r>
  <r>
    <d v="2021-05-09T00:00:00"/>
    <m/>
    <x v="35"/>
    <x v="11"/>
  </r>
  <r>
    <d v="2021-05-09T00:00:00"/>
    <m/>
    <x v="35"/>
    <x v="11"/>
  </r>
  <r>
    <d v="2021-05-09T00:00:00"/>
    <m/>
    <x v="44"/>
    <x v="11"/>
  </r>
  <r>
    <d v="2021-05-09T00:00:00"/>
    <m/>
    <x v="43"/>
    <x v="11"/>
  </r>
  <r>
    <d v="2021-05-09T00:00:00"/>
    <m/>
    <x v="43"/>
    <x v="11"/>
  </r>
  <r>
    <d v="2021-05-09T00:00:00"/>
    <m/>
    <x v="44"/>
    <x v="11"/>
  </r>
  <r>
    <d v="2021-05-09T00:00:00"/>
    <m/>
    <x v="44"/>
    <x v="11"/>
  </r>
  <r>
    <d v="2021-05-09T00:00:00"/>
    <m/>
    <x v="44"/>
    <x v="11"/>
  </r>
  <r>
    <d v="2021-05-09T00:00:00"/>
    <m/>
    <x v="44"/>
    <x v="11"/>
  </r>
  <r>
    <d v="2021-05-09T00:00:00"/>
    <m/>
    <x v="4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34"/>
    <x v="11"/>
  </r>
  <r>
    <d v="2021-05-29T00:00:00"/>
    <m/>
    <x v="42"/>
    <x v="11"/>
  </r>
  <r>
    <d v="2021-05-29T00:00:00"/>
    <m/>
    <x v="42"/>
    <x v="11"/>
  </r>
  <r>
    <d v="2021-05-29T00:00:00"/>
    <m/>
    <x v="42"/>
    <x v="11"/>
  </r>
  <r>
    <d v="2021-05-29T00:00:00"/>
    <m/>
    <x v="42"/>
    <x v="11"/>
  </r>
  <r>
    <d v="2021-05-29T00:00:00"/>
    <m/>
    <x v="42"/>
    <x v="11"/>
  </r>
  <r>
    <d v="2021-05-29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05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34"/>
    <x v="11"/>
  </r>
  <r>
    <d v="2021-06-12T00:00:00"/>
    <m/>
    <x v="45"/>
    <x v="11"/>
  </r>
  <r>
    <d v="2021-06-12T00:00:00"/>
    <m/>
    <x v="46"/>
    <x v="11"/>
  </r>
  <r>
    <d v="2021-06-12T00:00:00"/>
    <m/>
    <x v="47"/>
    <x v="11"/>
  </r>
  <r>
    <d v="2021-06-12T00:00:00"/>
    <m/>
    <x v="48"/>
    <x v="11"/>
  </r>
  <r>
    <d v="2021-06-12T00:00:00"/>
    <m/>
    <x v="49"/>
    <x v="11"/>
  </r>
  <r>
    <d v="2021-06-12T00:00:00"/>
    <m/>
    <x v="50"/>
    <x v="11"/>
  </r>
  <r>
    <d v="2021-06-12T00:00:00"/>
    <m/>
    <x v="51"/>
    <x v="11"/>
  </r>
  <r>
    <d v="2021-06-12T00:00:00"/>
    <m/>
    <x v="52"/>
    <x v="11"/>
  </r>
  <r>
    <d v="2021-06-12T00:00:00"/>
    <m/>
    <x v="53"/>
    <x v="11"/>
  </r>
  <r>
    <d v="2021-06-12T00:00:00"/>
    <m/>
    <x v="54"/>
    <x v="11"/>
  </r>
  <r>
    <d v="2021-06-12T00:00:00"/>
    <m/>
    <x v="55"/>
    <x v="11"/>
  </r>
  <r>
    <d v="2021-06-12T00:00:00"/>
    <m/>
    <x v="56"/>
    <x v="11"/>
  </r>
  <r>
    <d v="2021-06-12T00:00:00"/>
    <m/>
    <x v="57"/>
    <x v="11"/>
  </r>
  <r>
    <d v="2021-06-12T00:00:00"/>
    <m/>
    <x v="58"/>
    <x v="11"/>
  </r>
  <r>
    <d v="2021-06-12T00:00:00"/>
    <m/>
    <x v="59"/>
    <x v="11"/>
  </r>
  <r>
    <d v="2021-06-12T00:00:00"/>
    <m/>
    <x v="60"/>
    <x v="11"/>
  </r>
  <r>
    <d v="2021-06-12T00:00:00"/>
    <m/>
    <x v="61"/>
    <x v="11"/>
  </r>
  <r>
    <d v="2021-06-12T00:00:00"/>
    <m/>
    <x v="62"/>
    <x v="11"/>
  </r>
  <r>
    <d v="2021-06-12T00:00:00"/>
    <m/>
    <x v="63"/>
    <x v="11"/>
  </r>
  <r>
    <d v="2021-06-12T00:00:00"/>
    <m/>
    <x v="64"/>
    <x v="11"/>
  </r>
  <r>
    <d v="2021-06-12T00:00:00"/>
    <m/>
    <x v="65"/>
    <x v="11"/>
  </r>
  <r>
    <d v="2021-06-12T00:00:00"/>
    <m/>
    <x v="66"/>
    <x v="11"/>
  </r>
  <r>
    <d v="2021-06-12T00:00:00"/>
    <m/>
    <x v="67"/>
    <x v="11"/>
  </r>
  <r>
    <d v="2021-06-12T00:00:00"/>
    <m/>
    <x v="68"/>
    <x v="11"/>
  </r>
  <r>
    <d v="2021-06-12T00:00:00"/>
    <m/>
    <x v="69"/>
    <x v="11"/>
  </r>
  <r>
    <d v="2021-06-12T00:00:00"/>
    <m/>
    <x v="70"/>
    <x v="11"/>
  </r>
  <r>
    <d v="2021-06-12T00:00:00"/>
    <m/>
    <x v="71"/>
    <x v="11"/>
  </r>
  <r>
    <d v="2021-06-12T00:00:00"/>
    <m/>
    <x v="72"/>
    <x v="11"/>
  </r>
  <r>
    <d v="2021-06-12T00:00:00"/>
    <m/>
    <x v="73"/>
    <x v="11"/>
  </r>
  <r>
    <d v="2021-06-12T00:00:00"/>
    <m/>
    <x v="74"/>
    <x v="11"/>
  </r>
  <r>
    <d v="2021-06-12T00:00:00"/>
    <m/>
    <x v="75"/>
    <x v="11"/>
  </r>
  <r>
    <d v="2021-06-12T00:00:00"/>
    <m/>
    <x v="76"/>
    <x v="11"/>
  </r>
  <r>
    <d v="2021-06-12T00:00:00"/>
    <m/>
    <x v="77"/>
    <x v="11"/>
  </r>
  <r>
    <d v="2021-06-17T00:00:00"/>
    <m/>
    <x v="44"/>
    <x v="11"/>
  </r>
  <r>
    <d v="2021-06-17T00:00:00"/>
    <m/>
    <x v="44"/>
    <x v="11"/>
  </r>
  <r>
    <d v="2021-06-17T00:00:00"/>
    <m/>
    <x v="44"/>
    <x v="11"/>
  </r>
  <r>
    <d v="2021-06-17T00:00:00"/>
    <m/>
    <x v="44"/>
    <x v="11"/>
  </r>
  <r>
    <d v="2021-06-17T00:00:00"/>
    <m/>
    <x v="44"/>
    <x v="11"/>
  </r>
  <r>
    <d v="2021-06-17T00:00:00"/>
    <m/>
    <x v="44"/>
    <x v="11"/>
  </r>
  <r>
    <d v="2021-06-17T00:00:00"/>
    <m/>
    <x v="44"/>
    <x v="11"/>
  </r>
  <r>
    <d v="2021-06-17T00:00:00"/>
    <m/>
    <x v="43"/>
    <x v="11"/>
  </r>
  <r>
    <d v="2021-06-17T00:00:00"/>
    <m/>
    <x v="44"/>
    <x v="11"/>
  </r>
  <r>
    <d v="2021-06-17T00:00:00"/>
    <m/>
    <x v="44"/>
    <x v="11"/>
  </r>
  <r>
    <d v="2021-06-21T00:00:00"/>
    <m/>
    <x v="39"/>
    <x v="11"/>
  </r>
  <r>
    <d v="2021-06-21T00:00:00"/>
    <m/>
    <x v="39"/>
    <x v="11"/>
  </r>
  <r>
    <d v="2021-06-22T00:00:00"/>
    <m/>
    <x v="39"/>
    <x v="11"/>
  </r>
  <r>
    <d v="2021-06-23T00:00:00"/>
    <m/>
    <x v="39"/>
    <x v="11"/>
  </r>
  <r>
    <d v="2021-06-23T00:00:00"/>
    <m/>
    <x v="39"/>
    <x v="11"/>
  </r>
  <r>
    <d v="2021-06-24T00:00:00"/>
    <m/>
    <x v="39"/>
    <x v="11"/>
  </r>
  <r>
    <d v="2021-06-24T00:00:00"/>
    <m/>
    <x v="39"/>
    <x v="11"/>
  </r>
  <r>
    <d v="2021-06-28T00:00:00"/>
    <m/>
    <x v="39"/>
    <x v="11"/>
  </r>
  <r>
    <d v="2021-06-28T00:00:00"/>
    <m/>
    <x v="39"/>
    <x v="11"/>
  </r>
  <r>
    <d v="2021-06-29T00:00:00"/>
    <m/>
    <x v="39"/>
    <x v="11"/>
  </r>
  <r>
    <d v="2021-06-29T00:00:00"/>
    <m/>
    <x v="39"/>
    <x v="11"/>
  </r>
  <r>
    <d v="2021-06-30T00:00:00"/>
    <m/>
    <x v="39"/>
    <x v="11"/>
  </r>
  <r>
    <d v="2021-06-30T00:00:00"/>
    <m/>
    <x v="39"/>
    <x v="11"/>
  </r>
  <r>
    <d v="2021-07-01T00:00:00"/>
    <m/>
    <x v="39"/>
    <x v="11"/>
  </r>
  <r>
    <d v="2021-07-01T00:00:00"/>
    <m/>
    <x v="39"/>
    <x v="11"/>
  </r>
  <r>
    <d v="2021-07-20T00:00:00"/>
    <m/>
    <x v="34"/>
    <x v="11"/>
  </r>
  <r>
    <d v="2021-07-20T00:00:00"/>
    <m/>
    <x v="34"/>
    <x v="11"/>
  </r>
  <r>
    <d v="2021-07-20T00:00:00"/>
    <m/>
    <x v="34"/>
    <x v="11"/>
  </r>
  <r>
    <d v="2021-07-20T00:00:00"/>
    <m/>
    <x v="40"/>
    <x v="11"/>
  </r>
  <r>
    <d v="2021-07-20T00:00:00"/>
    <m/>
    <x v="34"/>
    <x v="11"/>
  </r>
  <r>
    <d v="2021-07-20T00:00:00"/>
    <m/>
    <x v="34"/>
    <x v="11"/>
  </r>
  <r>
    <d v="2021-07-21T00:00:00"/>
    <m/>
    <x v="39"/>
    <x v="11"/>
  </r>
  <r>
    <d v="2021-07-21T00:00:00"/>
    <m/>
    <x v="34"/>
    <x v="11"/>
  </r>
  <r>
    <d v="2021-07-22T00:00:00"/>
    <m/>
    <x v="78"/>
    <x v="11"/>
  </r>
  <r>
    <d v="2021-07-22T00:00:00"/>
    <m/>
    <x v="78"/>
    <x v="11"/>
  </r>
  <r>
    <d v="2021-07-22T00:00:00"/>
    <m/>
    <x v="78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9"/>
    <x v="11"/>
  </r>
  <r>
    <d v="2021-07-24T00:00:00"/>
    <m/>
    <x v="39"/>
    <x v="11"/>
  </r>
  <r>
    <d v="2021-07-24T00:00:00"/>
    <m/>
    <x v="39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4T00:00:00"/>
    <m/>
    <x v="34"/>
    <x v="11"/>
  </r>
  <r>
    <d v="2021-07-26T00:00:00"/>
    <m/>
    <x v="34"/>
    <x v="11"/>
  </r>
  <r>
    <d v="2021-07-27T00:00:00"/>
    <m/>
    <x v="34"/>
    <x v="11"/>
  </r>
  <r>
    <d v="2021-07-28T00:00:00"/>
    <m/>
    <x v="34"/>
    <x v="11"/>
  </r>
  <r>
    <d v="2021-09-06T00:00:00"/>
    <m/>
    <x v="39"/>
    <x v="11"/>
  </r>
  <r>
    <d v="2021-09-06T00:00:00"/>
    <m/>
    <x v="39"/>
    <x v="11"/>
  </r>
  <r>
    <d v="2021-09-07T00:00:00"/>
    <m/>
    <x v="39"/>
    <x v="11"/>
  </r>
  <r>
    <d v="2021-09-07T00:00:00"/>
    <m/>
    <x v="39"/>
    <x v="11"/>
  </r>
  <r>
    <d v="2021-09-08T00:00:00"/>
    <m/>
    <x v="39"/>
    <x v="11"/>
  </r>
  <r>
    <d v="2021-09-09T00:00:00"/>
    <m/>
    <x v="34"/>
    <x v="11"/>
  </r>
  <r>
    <d v="2021-09-09T00:00:00"/>
    <m/>
    <x v="34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17T00:00:00"/>
    <m/>
    <x v="79"/>
    <x v="11"/>
  </r>
  <r>
    <d v="2021-09-17T00:00:00"/>
    <m/>
    <x v="79"/>
    <x v="11"/>
  </r>
  <r>
    <d v="2021-09-17T00:00:00"/>
    <m/>
    <x v="80"/>
    <x v="11"/>
  </r>
  <r>
    <d v="2021-09-17T00:00:00"/>
    <m/>
    <x v="81"/>
    <x v="11"/>
  </r>
  <r>
    <d v="2021-09-17T00:00:00"/>
    <m/>
    <x v="81"/>
    <x v="11"/>
  </r>
  <r>
    <d v="2021-09-17T00:00:00"/>
    <m/>
    <x v="79"/>
    <x v="11"/>
  </r>
  <r>
    <d v="2021-09-17T00:00:00"/>
    <m/>
    <x v="79"/>
    <x v="11"/>
  </r>
  <r>
    <d v="2021-09-17T00:00:00"/>
    <m/>
    <x v="79"/>
    <x v="11"/>
  </r>
  <r>
    <d v="2021-09-17T00:00:00"/>
    <m/>
    <x v="80"/>
    <x v="11"/>
  </r>
  <r>
    <d v="2021-09-17T00:00:00"/>
    <m/>
    <x v="81"/>
    <x v="11"/>
  </r>
  <r>
    <d v="2021-09-17T00:00:00"/>
    <m/>
    <x v="82"/>
    <x v="11"/>
  </r>
  <r>
    <d v="2021-09-17T00:00:00"/>
    <m/>
    <x v="82"/>
    <x v="11"/>
  </r>
  <r>
    <d v="2021-09-17T00:00:00"/>
    <m/>
    <x v="82"/>
    <x v="11"/>
  </r>
  <r>
    <d v="2021-09-17T00:00:00"/>
    <m/>
    <x v="82"/>
    <x v="11"/>
  </r>
  <r>
    <d v="2021-09-17T00:00:00"/>
    <m/>
    <x v="82"/>
    <x v="11"/>
  </r>
  <r>
    <d v="2021-09-17T00:00:00"/>
    <m/>
    <x v="78"/>
    <x v="11"/>
  </r>
  <r>
    <d v="2021-09-17T00:00:00"/>
    <m/>
    <x v="78"/>
    <x v="11"/>
  </r>
  <r>
    <d v="2021-09-17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4T00:00:00"/>
    <m/>
    <x v="78"/>
    <x v="11"/>
  </r>
  <r>
    <d v="2021-09-27T00:00:00"/>
    <m/>
    <x v="34"/>
    <x v="11"/>
  </r>
  <r>
    <d v="2021-09-28T00:00:00"/>
    <m/>
    <x v="34"/>
    <x v="11"/>
  </r>
  <r>
    <d v="2021-09-29T00:00:00"/>
    <m/>
    <x v="43"/>
    <x v="11"/>
  </r>
  <r>
    <d v="2021-09-30T00:00:00"/>
    <m/>
    <x v="43"/>
    <x v="11"/>
  </r>
  <r>
    <d v="2021-09-30T00:00:00"/>
    <m/>
    <x v="39"/>
    <x v="11"/>
  </r>
  <r>
    <d v="2021-10-10T00:00:00"/>
    <m/>
    <x v="34"/>
    <x v="11"/>
  </r>
  <r>
    <d v="2021-10-10T00:00:00"/>
    <m/>
    <x v="34"/>
    <x v="11"/>
  </r>
  <r>
    <d v="2021-10-18T00:00:00"/>
    <m/>
    <x v="34"/>
    <x v="11"/>
  </r>
  <r>
    <d v="2021-10-18T00:00:00"/>
    <m/>
    <x v="34"/>
    <x v="11"/>
  </r>
  <r>
    <d v="2021-10-19T00:00:00"/>
    <m/>
    <x v="34"/>
    <x v="11"/>
  </r>
  <r>
    <d v="2021-10-20T00:00:00"/>
    <m/>
    <x v="35"/>
    <x v="11"/>
  </r>
  <r>
    <d v="2021-10-21T00:00:00"/>
    <m/>
    <x v="83"/>
    <x v="11"/>
  </r>
  <r>
    <d v="2021-10-21T00:00:00"/>
    <m/>
    <x v="84"/>
    <x v="11"/>
  </r>
  <r>
    <d v="2021-10-25T00:00:00"/>
    <m/>
    <x v="35"/>
    <x v="11"/>
  </r>
  <r>
    <d v="2021-10-25T00:00:00"/>
    <m/>
    <x v="39"/>
    <x v="11"/>
  </r>
  <r>
    <d v="2021-10-26T00:00:00"/>
    <m/>
    <x v="39"/>
    <x v="11"/>
  </r>
  <r>
    <d v="2021-10-27T00:00:00"/>
    <m/>
    <x v="39"/>
    <x v="11"/>
  </r>
  <r>
    <d v="2021-10-28T00:00:00"/>
    <m/>
    <x v="35"/>
    <x v="11"/>
  </r>
  <r>
    <d v="2021-10-28T00:00:00"/>
    <m/>
    <x v="35"/>
    <x v="11"/>
  </r>
  <r>
    <d v="2021-10-28T00:00:00"/>
    <m/>
    <x v="35"/>
    <x v="11"/>
  </r>
  <r>
    <d v="2021-11-06T00:00:00"/>
    <m/>
    <x v="39"/>
    <x v="11"/>
  </r>
  <r>
    <d v="2021-11-06T00:00:00"/>
    <m/>
    <x v="39"/>
    <x v="11"/>
  </r>
  <r>
    <d v="2021-11-06T00:00:00"/>
    <m/>
    <x v="34"/>
    <x v="11"/>
  </r>
  <r>
    <d v="2021-12-12T00:00:00"/>
    <m/>
    <x v="43"/>
    <x v="11"/>
  </r>
  <r>
    <d v="2021-12-20T00:00:00"/>
    <m/>
    <x v="84"/>
    <x v="11"/>
  </r>
  <r>
    <d v="2021-12-20T00:00:00"/>
    <m/>
    <x v="85"/>
    <x v="11"/>
  </r>
  <r>
    <d v="2021-06-18T00:00:00"/>
    <m/>
    <x v="9"/>
    <x v="4"/>
  </r>
  <r>
    <d v="2021-06-18T00:00:00"/>
    <m/>
    <x v="9"/>
    <x v="4"/>
  </r>
  <r>
    <d v="2021-06-18T00:00:00"/>
    <m/>
    <x v="9"/>
    <x v="4"/>
  </r>
  <r>
    <d v="2021-06-18T00:00:00"/>
    <m/>
    <x v="9"/>
    <x v="4"/>
  </r>
  <r>
    <d v="2021-06-18T00:00:00"/>
    <m/>
    <x v="9"/>
    <x v="4"/>
  </r>
  <r>
    <d v="2021-06-19T00:00:00"/>
    <m/>
    <x v="9"/>
    <x v="4"/>
  </r>
  <r>
    <d v="2021-06-19T00:00:00"/>
    <m/>
    <x v="9"/>
    <x v="4"/>
  </r>
  <r>
    <d v="2021-06-05T00:00:00"/>
    <m/>
    <x v="9"/>
    <x v="4"/>
  </r>
  <r>
    <d v="2021-06-05T00:00:00"/>
    <m/>
    <x v="9"/>
    <x v="4"/>
  </r>
  <r>
    <d v="2021-06-05T00:00:00"/>
    <m/>
    <x v="9"/>
    <x v="4"/>
  </r>
  <r>
    <d v="2021-03-06T00:00:00"/>
    <m/>
    <x v="9"/>
    <x v="4"/>
  </r>
  <r>
    <d v="2021-03-28T00:00:00"/>
    <m/>
    <x v="9"/>
    <x v="4"/>
  </r>
  <r>
    <d v="2021-03-28T00:00:00"/>
    <m/>
    <x v="9"/>
    <x v="4"/>
  </r>
  <r>
    <d v="2021-03-28T00:00:00"/>
    <m/>
    <x v="9"/>
    <x v="4"/>
  </r>
  <r>
    <d v="2021-03-28T00:00:00"/>
    <m/>
    <x v="9"/>
    <x v="4"/>
  </r>
  <r>
    <d v="2021-03-28T00:00:00"/>
    <m/>
    <x v="9"/>
    <x v="4"/>
  </r>
  <r>
    <d v="2021-03-28T00:00:00"/>
    <m/>
    <x v="9"/>
    <x v="4"/>
  </r>
  <r>
    <d v="2021-03-28T00:00:00"/>
    <m/>
    <x v="9"/>
    <x v="4"/>
  </r>
  <r>
    <m/>
    <m/>
    <x v="9"/>
    <x v="4"/>
  </r>
  <r>
    <d v="2021-06-13T00:00:00"/>
    <m/>
    <x v="9"/>
    <x v="4"/>
  </r>
  <r>
    <d v="2021-06-13T00:00:00"/>
    <m/>
    <x v="9"/>
    <x v="4"/>
  </r>
  <r>
    <d v="2021-06-13T00:00:00"/>
    <m/>
    <x v="9"/>
    <x v="4"/>
  </r>
  <r>
    <d v="2021-06-13T00:00:00"/>
    <m/>
    <x v="9"/>
    <x v="4"/>
  </r>
  <r>
    <d v="2021-04-18T00:00:00"/>
    <m/>
    <x v="9"/>
    <x v="4"/>
  </r>
  <r>
    <d v="2021-04-18T00:00:00"/>
    <m/>
    <x v="9"/>
    <x v="4"/>
  </r>
  <r>
    <d v="2021-04-18T00:00:00"/>
    <m/>
    <x v="9"/>
    <x v="4"/>
  </r>
  <r>
    <d v="2021-04-18T00:00:00"/>
    <m/>
    <x v="9"/>
    <x v="4"/>
  </r>
  <r>
    <d v="2021-04-18T00:00:00"/>
    <m/>
    <x v="9"/>
    <x v="4"/>
  </r>
  <r>
    <d v="2021-04-25T00:00:00"/>
    <m/>
    <x v="9"/>
    <x v="4"/>
  </r>
  <r>
    <d v="2021-04-25T00:00:00"/>
    <m/>
    <x v="9"/>
    <x v="4"/>
  </r>
  <r>
    <d v="2021-06-10T00:00:00"/>
    <s v="0/16"/>
    <x v="9"/>
    <x v="4"/>
  </r>
  <r>
    <d v="2021-06-15T00:00:00"/>
    <s v="0/16"/>
    <x v="9"/>
    <x v="4"/>
  </r>
  <r>
    <d v="2021-10-05T00:00:00"/>
    <m/>
    <x v="9"/>
    <x v="4"/>
  </r>
  <r>
    <d v="2021-06-15T00:00:00"/>
    <s v="0/16"/>
    <x v="9"/>
    <x v="4"/>
  </r>
  <r>
    <d v="2021-06-18T00:00:00"/>
    <s v="0/16"/>
    <x v="9"/>
    <x v="4"/>
  </r>
  <r>
    <d v="2021-06-18T00:00:00"/>
    <s v="0/16"/>
    <x v="9"/>
    <x v="4"/>
  </r>
  <r>
    <d v="2021-06-18T00:00:00"/>
    <s v="0/16"/>
    <x v="9"/>
    <x v="4"/>
  </r>
  <r>
    <d v="2021-06-16T00:00:00"/>
    <m/>
    <x v="9"/>
    <x v="4"/>
  </r>
  <r>
    <d v="2021-06-11T00:00:00"/>
    <s v="0/16"/>
    <x v="9"/>
    <x v="4"/>
  </r>
  <r>
    <d v="2021-06-11T00:00:00"/>
    <s v="0/16"/>
    <x v="9"/>
    <x v="4"/>
  </r>
  <r>
    <d v="2021-06-17T00:00:00"/>
    <s v="0/16"/>
    <x v="9"/>
    <x v="4"/>
  </r>
  <r>
    <d v="2021-06-16T00:00:00"/>
    <s v="0/16"/>
    <x v="9"/>
    <x v="4"/>
  </r>
  <r>
    <d v="2021-08-19T00:00:00"/>
    <s v="0/16"/>
    <x v="9"/>
    <x v="4"/>
  </r>
  <r>
    <d v="2021-08-19T00:00:00"/>
    <s v="0/16"/>
    <x v="9"/>
    <x v="4"/>
  </r>
  <r>
    <d v="2021-06-11T00:00:00"/>
    <s v="0/16"/>
    <x v="9"/>
    <x v="4"/>
  </r>
  <r>
    <d v="2021-06-18T00:00:00"/>
    <s v="0/16"/>
    <x v="9"/>
    <x v="4"/>
  </r>
  <r>
    <d v="2021-06-11T00:00:00"/>
    <s v="0/16"/>
    <x v="9"/>
    <x v="4"/>
  </r>
  <r>
    <d v="2021-06-11T00:00:00"/>
    <s v="0/16"/>
    <x v="9"/>
    <x v="4"/>
  </r>
  <r>
    <d v="2021-06-11T00:00:00"/>
    <s v="0/16"/>
    <x v="9"/>
    <x v="4"/>
  </r>
  <r>
    <d v="2021-08-19T00:00:00"/>
    <s v="0/16"/>
    <x v="9"/>
    <x v="4"/>
  </r>
  <r>
    <d v="2021-09-01T00:00:00"/>
    <s v="0/16"/>
    <x v="9"/>
    <x v="4"/>
  </r>
  <r>
    <d v="2021-09-01T00:00:00"/>
    <s v="0/16"/>
    <x v="9"/>
    <x v="4"/>
  </r>
  <r>
    <d v="2021-06-28T00:00:00"/>
    <m/>
    <x v="9"/>
    <x v="4"/>
  </r>
  <r>
    <d v="2021-06-24T00:00:00"/>
    <s v="0/16"/>
    <x v="9"/>
    <x v="4"/>
  </r>
  <r>
    <d v="2021-04-23T00:00:00"/>
    <s v="0/16"/>
    <x v="9"/>
    <x v="4"/>
  </r>
  <r>
    <d v="2021-09-13T00:00:00"/>
    <s v="0/16"/>
    <x v="9"/>
    <x v="4"/>
  </r>
  <r>
    <d v="2021-04-29T00:00:00"/>
    <s v="0/16"/>
    <x v="9"/>
    <x v="4"/>
  </r>
  <r>
    <d v="2021-04-29T00:00:00"/>
    <s v="0/16"/>
    <x v="9"/>
    <x v="4"/>
  </r>
  <r>
    <d v="2021-04-29T00:00:00"/>
    <s v="0/16"/>
    <x v="9"/>
    <x v="4"/>
  </r>
  <r>
    <d v="2021-09-01T00:00:00"/>
    <s v="0/16"/>
    <x v="9"/>
    <x v="4"/>
  </r>
  <r>
    <d v="2021-09-09T00:00:00"/>
    <m/>
    <x v="9"/>
    <x v="4"/>
  </r>
  <r>
    <d v="2021-09-09T00:00:00"/>
    <m/>
    <x v="9"/>
    <x v="4"/>
  </r>
  <r>
    <d v="2021-09-07T00:00:00"/>
    <s v="0/16"/>
    <x v="9"/>
    <x v="4"/>
  </r>
  <r>
    <d v="2021-09-13T00:00:00"/>
    <m/>
    <x v="9"/>
    <x v="4"/>
  </r>
  <r>
    <d v="2021-09-07T00:00:00"/>
    <s v="0/16"/>
    <x v="9"/>
    <x v="4"/>
  </r>
  <r>
    <d v="2021-09-07T00:00:00"/>
    <s v="0/16"/>
    <x v="9"/>
    <x v="4"/>
  </r>
  <r>
    <d v="2021-09-07T00:00:00"/>
    <s v="0/16"/>
    <x v="9"/>
    <x v="4"/>
  </r>
  <r>
    <d v="2021-09-07T00:00:00"/>
    <s v="0/16"/>
    <x v="9"/>
    <x v="4"/>
  </r>
  <r>
    <d v="2021-09-07T00:00:00"/>
    <s v="0/16"/>
    <x v="9"/>
    <x v="4"/>
  </r>
  <r>
    <d v="2021-09-13T00:00:00"/>
    <m/>
    <x v="9"/>
    <x v="4"/>
  </r>
  <r>
    <d v="2021-09-06T00:00:00"/>
    <s v="0/16"/>
    <x v="9"/>
    <x v="4"/>
  </r>
  <r>
    <d v="2021-09-14T00:00:00"/>
    <m/>
    <x v="9"/>
    <x v="4"/>
  </r>
  <r>
    <d v="2021-09-14T00:00:00"/>
    <m/>
    <x v="9"/>
    <x v="4"/>
  </r>
  <r>
    <d v="2021-09-14T00:00:00"/>
    <s v="0/16"/>
    <x v="9"/>
    <x v="4"/>
  </r>
  <r>
    <d v="2021-09-14T00:00:00"/>
    <s v="0/16"/>
    <x v="9"/>
    <x v="4"/>
  </r>
  <r>
    <d v="2021-09-14T00:00:00"/>
    <s v="0/16"/>
    <x v="9"/>
    <x v="4"/>
  </r>
  <r>
    <d v="2021-04-23T00:00:00"/>
    <s v="0/16"/>
    <x v="9"/>
    <x v="4"/>
  </r>
  <r>
    <d v="2021-04-23T00:00:00"/>
    <s v="0/16"/>
    <x v="9"/>
    <x v="4"/>
  </r>
  <r>
    <d v="2021-06-29T00:00:00"/>
    <s v="0/16"/>
    <x v="9"/>
    <x v="4"/>
  </r>
  <r>
    <d v="2021-09-17T00:00:00"/>
    <m/>
    <x v="9"/>
    <x v="4"/>
  </r>
  <r>
    <d v="2021-09-17T00:00:00"/>
    <m/>
    <x v="9"/>
    <x v="4"/>
  </r>
  <r>
    <d v="2021-06-29T00:00:00"/>
    <s v="0/16"/>
    <x v="9"/>
    <x v="4"/>
  </r>
  <r>
    <d v="2021-06-29T00:00:00"/>
    <s v="0/16"/>
    <x v="9"/>
    <x v="4"/>
  </r>
  <r>
    <d v="2021-07-01T00:00:00"/>
    <s v="0/16"/>
    <x v="9"/>
    <x v="4"/>
  </r>
  <r>
    <d v="2021-07-01T00:00:00"/>
    <s v="0/16"/>
    <x v="9"/>
    <x v="4"/>
  </r>
  <r>
    <d v="2021-07-01T00:00:00"/>
    <s v="0/16"/>
    <x v="9"/>
    <x v="4"/>
  </r>
  <r>
    <d v="2021-07-01T00:00:00"/>
    <s v="0/16"/>
    <x v="9"/>
    <x v="4"/>
  </r>
  <r>
    <d v="2021-07-01T00:00:00"/>
    <s v="0/16"/>
    <x v="9"/>
    <x v="4"/>
  </r>
  <r>
    <d v="2021-05-07T00:00:00"/>
    <s v="0/16"/>
    <x v="9"/>
    <x v="4"/>
  </r>
  <r>
    <d v="2021-05-07T00:00:00"/>
    <s v="0/16"/>
    <x v="9"/>
    <x v="4"/>
  </r>
  <r>
    <d v="2021-05-07T00:00:00"/>
    <s v="0/16"/>
    <x v="9"/>
    <x v="4"/>
  </r>
  <r>
    <d v="2021-05-07T00:00:00"/>
    <s v="0/16"/>
    <x v="9"/>
    <x v="4"/>
  </r>
  <r>
    <d v="2021-05-03T00:00:00"/>
    <s v="0/16"/>
    <x v="9"/>
    <x v="4"/>
  </r>
  <r>
    <d v="2021-05-07T00:00:00"/>
    <s v="0/16"/>
    <x v="9"/>
    <x v="4"/>
  </r>
  <r>
    <d v="2021-09-16T00:00:00"/>
    <s v="0/16"/>
    <x v="9"/>
    <x v="4"/>
  </r>
  <r>
    <d v="2021-09-16T00:00:00"/>
    <s v="0/16"/>
    <x v="9"/>
    <x v="4"/>
  </r>
  <r>
    <d v="2021-09-02T00:00:00"/>
    <m/>
    <x v="9"/>
    <x v="4"/>
  </r>
  <r>
    <d v="2021-09-02T00:00:00"/>
    <s v="0/16"/>
    <x v="9"/>
    <x v="4"/>
  </r>
  <r>
    <d v="2021-09-09T00:00:00"/>
    <s v="0/16"/>
    <x v="9"/>
    <x v="4"/>
  </r>
  <r>
    <d v="2021-09-09T00:00:00"/>
    <s v="0/16"/>
    <x v="9"/>
    <x v="4"/>
  </r>
  <r>
    <d v="2021-09-09T00:00:00"/>
    <s v="0/16"/>
    <x v="9"/>
    <x v="4"/>
  </r>
  <r>
    <d v="2021-05-05T00:00:00"/>
    <s v="0/16"/>
    <x v="9"/>
    <x v="4"/>
  </r>
  <r>
    <d v="2021-05-05T00:00:00"/>
    <s v="0/16"/>
    <x v="9"/>
    <x v="4"/>
  </r>
  <r>
    <d v="2021-09-15T00:00:00"/>
    <m/>
    <x v="9"/>
    <x v="4"/>
  </r>
  <r>
    <d v="2021-05-05T00:00:00"/>
    <s v="0/16"/>
    <x v="9"/>
    <x v="4"/>
  </r>
  <r>
    <d v="2021-09-23T00:00:00"/>
    <s v="0/16"/>
    <x v="9"/>
    <x v="4"/>
  </r>
  <r>
    <d v="2021-09-23T00:00:00"/>
    <s v="0/16"/>
    <x v="9"/>
    <x v="4"/>
  </r>
  <r>
    <d v="2021-09-23T00:00:00"/>
    <s v="0/16"/>
    <x v="9"/>
    <x v="4"/>
  </r>
  <r>
    <d v="2021-09-21T00:00:00"/>
    <s v="0/16"/>
    <x v="9"/>
    <x v="4"/>
  </r>
  <r>
    <d v="2021-09-24T00:00:00"/>
    <m/>
    <x v="9"/>
    <x v="4"/>
  </r>
  <r>
    <d v="2021-09-21T00:00:00"/>
    <s v="0/16"/>
    <x v="9"/>
    <x v="4"/>
  </r>
  <r>
    <d v="2021-09-02T00:00:00"/>
    <s v="0/16"/>
    <x v="9"/>
    <x v="4"/>
  </r>
  <r>
    <d v="2021-09-17T00:00:00"/>
    <s v="0/16"/>
    <x v="9"/>
    <x v="4"/>
  </r>
  <r>
    <d v="2021-09-17T00:00:00"/>
    <s v="0/16"/>
    <x v="9"/>
    <x v="4"/>
  </r>
  <r>
    <d v="2021-09-10T00:00:00"/>
    <s v="0/16"/>
    <x v="9"/>
    <x v="4"/>
  </r>
  <r>
    <d v="2021-10-05T00:00:00"/>
    <m/>
    <x v="9"/>
    <x v="4"/>
  </r>
  <r>
    <d v="2021-09-10T00:00:00"/>
    <s v="0/16"/>
    <x v="9"/>
    <x v="4"/>
  </r>
  <r>
    <d v="2021-10-05T00:00:00"/>
    <m/>
    <x v="9"/>
    <x v="4"/>
  </r>
  <r>
    <d v="2021-10-05T00:00:00"/>
    <m/>
    <x v="9"/>
    <x v="4"/>
  </r>
  <r>
    <d v="2021-09-09T00:00:00"/>
    <s v="0/16"/>
    <x v="9"/>
    <x v="4"/>
  </r>
  <r>
    <d v="2021-09-16T00:00:00"/>
    <m/>
    <x v="9"/>
    <x v="4"/>
  </r>
  <r>
    <d v="2021-09-17T00:00:00"/>
    <m/>
    <x v="9"/>
    <x v="4"/>
  </r>
  <r>
    <d v="2021-04-20T00:00:00"/>
    <s v="0/16"/>
    <x v="9"/>
    <x v="4"/>
  </r>
  <r>
    <d v="2021-04-20T00:00:00"/>
    <s v="0/16"/>
    <x v="9"/>
    <x v="4"/>
  </r>
  <r>
    <d v="2021-04-22T00:00:00"/>
    <s v="0/16"/>
    <x v="9"/>
    <x v="4"/>
  </r>
  <r>
    <d v="2021-06-23T00:00:00"/>
    <s v="0/16"/>
    <x v="9"/>
    <x v="4"/>
  </r>
  <r>
    <d v="2021-06-28T00:00:00"/>
    <m/>
    <x v="9"/>
    <x v="4"/>
  </r>
  <r>
    <d v="2021-04-22T00:00:00"/>
    <s v="0/16"/>
    <x v="9"/>
    <x v="4"/>
  </r>
  <r>
    <d v="2021-06-28T00:00:00"/>
    <m/>
    <x v="9"/>
    <x v="4"/>
  </r>
  <r>
    <d v="2021-06-28T00:00:00"/>
    <m/>
    <x v="9"/>
    <x v="4"/>
  </r>
  <r>
    <d v="2021-06-28T00:00:00"/>
    <m/>
    <x v="9"/>
    <x v="4"/>
  </r>
  <r>
    <d v="2021-09-24T00:00:00"/>
    <s v="0/16"/>
    <x v="9"/>
    <x v="4"/>
  </r>
  <r>
    <d v="2021-11-04T00:00:00"/>
    <s v="0/16"/>
    <x v="9"/>
    <x v="4"/>
  </r>
  <r>
    <d v="2021-09-24T00:00:00"/>
    <s v="0/16"/>
    <x v="9"/>
    <x v="4"/>
  </r>
  <r>
    <d v="2021-09-24T00:00:00"/>
    <s v="0/16"/>
    <x v="9"/>
    <x v="4"/>
  </r>
  <r>
    <d v="2021-09-24T00:00:00"/>
    <s v="0/16"/>
    <x v="9"/>
    <x v="4"/>
  </r>
  <r>
    <d v="2021-09-24T00:00:00"/>
    <s v="0/16"/>
    <x v="9"/>
    <x v="4"/>
  </r>
  <r>
    <d v="2021-09-24T00:00:00"/>
    <s v="0/16"/>
    <x v="9"/>
    <x v="4"/>
  </r>
  <r>
    <d v="2021-04-16T00:00:00"/>
    <s v="0/16"/>
    <x v="9"/>
    <x v="4"/>
  </r>
  <r>
    <d v="2021-04-16T00:00:00"/>
    <s v="0/16"/>
    <x v="9"/>
    <x v="4"/>
  </r>
  <r>
    <d v="2021-06-22T00:00:00"/>
    <m/>
    <x v="9"/>
    <x v="4"/>
  </r>
  <r>
    <d v="2021-06-24T00:00:00"/>
    <s v="0/16"/>
    <x v="9"/>
    <x v="4"/>
  </r>
  <r>
    <d v="2021-06-24T00:00:00"/>
    <s v="0/16"/>
    <x v="9"/>
    <x v="4"/>
  </r>
  <r>
    <d v="2021-06-24T00:00:00"/>
    <s v="0/16"/>
    <x v="9"/>
    <x v="4"/>
  </r>
  <r>
    <d v="2021-06-24T00:00:00"/>
    <s v="0/16"/>
    <x v="9"/>
    <x v="4"/>
  </r>
  <r>
    <d v="2021-06-24T00:00:00"/>
    <s v="0/16"/>
    <x v="9"/>
    <x v="4"/>
  </r>
  <r>
    <d v="2021-04-16T00:00:00"/>
    <s v="0/16"/>
    <x v="9"/>
    <x v="4"/>
  </r>
  <r>
    <d v="2021-11-04T00:00:00"/>
    <m/>
    <x v="9"/>
    <x v="4"/>
  </r>
  <r>
    <d v="2021-06-22T00:00:00"/>
    <s v="0/16"/>
    <x v="9"/>
    <x v="4"/>
  </r>
  <r>
    <d v="2021-04-15T00:00:00"/>
    <s v="0/16"/>
    <x v="9"/>
    <x v="4"/>
  </r>
  <r>
    <d v="2021-06-24T00:00:00"/>
    <s v="0/16"/>
    <x v="9"/>
    <x v="4"/>
  </r>
  <r>
    <d v="2021-06-24T00:00:00"/>
    <s v="0/16"/>
    <x v="9"/>
    <x v="4"/>
  </r>
  <r>
    <d v="2021-06-28T00:00:00"/>
    <m/>
    <x v="9"/>
    <x v="4"/>
  </r>
  <r>
    <d v="2021-06-24T00:00:00"/>
    <s v="0/16"/>
    <x v="9"/>
    <x v="4"/>
  </r>
  <r>
    <d v="2021-09-24T00:00:00"/>
    <s v="0/16"/>
    <x v="9"/>
    <x v="4"/>
  </r>
  <r>
    <d v="2021-04-15T00:00:00"/>
    <s v="0/16"/>
    <x v="9"/>
    <x v="4"/>
  </r>
  <r>
    <d v="2021-04-15T00:00:00"/>
    <s v="0/16"/>
    <x v="9"/>
    <x v="4"/>
  </r>
  <r>
    <d v="2021-04-15T00:00:00"/>
    <s v="0/16"/>
    <x v="9"/>
    <x v="4"/>
  </r>
  <r>
    <d v="2021-06-29T00:00:00"/>
    <m/>
    <x v="9"/>
    <x v="4"/>
  </r>
  <r>
    <d v="2021-04-15T00:00:00"/>
    <s v="0/16"/>
    <x v="9"/>
    <x v="4"/>
  </r>
  <r>
    <d v="2021-06-29T00:00:00"/>
    <m/>
    <x v="9"/>
    <x v="4"/>
  </r>
  <r>
    <d v="2021-04-15T00:00:00"/>
    <s v="0/16"/>
    <x v="9"/>
    <x v="4"/>
  </r>
  <r>
    <d v="2021-06-29T00:00:00"/>
    <m/>
    <x v="9"/>
    <x v="4"/>
  </r>
  <r>
    <d v="2021-06-24T00:00:00"/>
    <s v="0/16"/>
    <x v="9"/>
    <x v="4"/>
  </r>
  <r>
    <d v="2021-06-24T00:00:00"/>
    <s v="0/16"/>
    <x v="9"/>
    <x v="4"/>
  </r>
  <r>
    <d v="2021-04-22T00:00:00"/>
    <s v="0/16"/>
    <x v="9"/>
    <x v="4"/>
  </r>
  <r>
    <d v="2021-06-08T00:00:00"/>
    <m/>
    <x v="9"/>
    <x v="4"/>
  </r>
  <r>
    <d v="2021-06-09T00:00:00"/>
    <s v="0/16"/>
    <x v="9"/>
    <x v="4"/>
  </r>
  <r>
    <d v="2021-06-09T00:00:00"/>
    <s v="0/16"/>
    <x v="9"/>
    <x v="4"/>
  </r>
  <r>
    <d v="2021-06-09T00:00:00"/>
    <s v="0/16"/>
    <x v="9"/>
    <x v="4"/>
  </r>
  <r>
    <d v="2021-06-09T00:00:00"/>
    <s v="0/16"/>
    <x v="9"/>
    <x v="4"/>
  </r>
  <r>
    <d v="2021-06-07T00:00:00"/>
    <s v="0/16"/>
    <x v="9"/>
    <x v="4"/>
  </r>
  <r>
    <d v="2021-06-03T00:00:00"/>
    <s v="0/16"/>
    <x v="9"/>
    <x v="4"/>
  </r>
  <r>
    <d v="2021-06-07T00:00:00"/>
    <s v="0/16"/>
    <x v="9"/>
    <x v="4"/>
  </r>
  <r>
    <d v="2021-06-03T00:00:00"/>
    <s v="0/16"/>
    <x v="9"/>
    <x v="4"/>
  </r>
  <r>
    <d v="2021-06-08T00:00:00"/>
    <s v="0/16"/>
    <x v="9"/>
    <x v="4"/>
  </r>
  <r>
    <d v="2021-06-07T00:00:00"/>
    <s v="0/16"/>
    <x v="9"/>
    <x v="4"/>
  </r>
  <r>
    <d v="2021-06-09T00:00:00"/>
    <s v="0/16"/>
    <x v="9"/>
    <x v="4"/>
  </r>
  <r>
    <d v="2021-06-10T00:00:00"/>
    <m/>
    <x v="9"/>
    <x v="4"/>
  </r>
  <r>
    <d v="2021-06-03T00:00:00"/>
    <s v="0/16"/>
    <x v="9"/>
    <x v="4"/>
  </r>
  <r>
    <d v="2021-05-14T00:00:00"/>
    <s v="0/16"/>
    <x v="9"/>
    <x v="4"/>
  </r>
  <r>
    <d v="2021-05-18T00:00:00"/>
    <s v="0/16"/>
    <x v="9"/>
    <x v="4"/>
  </r>
  <r>
    <d v="2021-06-04T00:00:00"/>
    <m/>
    <x v="9"/>
    <x v="4"/>
  </r>
  <r>
    <d v="2021-05-18T00:00:00"/>
    <s v="0/16"/>
    <x v="9"/>
    <x v="4"/>
  </r>
  <r>
    <d v="2021-09-04T00:00:00"/>
    <m/>
    <x v="9"/>
    <x v="4"/>
  </r>
  <r>
    <d v="2021-07-21T00:00:00"/>
    <s v="0/16"/>
    <x v="9"/>
    <x v="4"/>
  </r>
  <r>
    <d v="2021-09-04T00:00:00"/>
    <m/>
    <x v="9"/>
    <x v="4"/>
  </r>
  <r>
    <d v="2021-11-04T00:00:00"/>
    <s v="0/16"/>
    <x v="9"/>
    <x v="4"/>
  </r>
  <r>
    <d v="2021-11-04T00:00:00"/>
    <s v="0/16"/>
    <x v="9"/>
    <x v="4"/>
  </r>
  <r>
    <d v="2021-11-04T00:00:00"/>
    <s v="0/16"/>
    <x v="9"/>
    <x v="4"/>
  </r>
  <r>
    <d v="2021-11-04T00:00:00"/>
    <s v="0/16"/>
    <x v="9"/>
    <x v="4"/>
  </r>
  <r>
    <d v="2021-11-04T00:00:00"/>
    <s v="0/16"/>
    <x v="9"/>
    <x v="4"/>
  </r>
  <r>
    <d v="2021-04-13T00:00:00"/>
    <s v="0/16"/>
    <x v="9"/>
    <x v="4"/>
  </r>
  <r>
    <d v="2021-05-11T00:00:00"/>
    <s v="0/16"/>
    <x v="9"/>
    <x v="4"/>
  </r>
  <r>
    <d v="2021-05-17T00:00:00"/>
    <m/>
    <x v="9"/>
    <x v="4"/>
  </r>
  <r>
    <d v="2021-05-17T00:00:00"/>
    <m/>
    <x v="9"/>
    <x v="4"/>
  </r>
  <r>
    <d v="2021-05-14T00:00:00"/>
    <s v="0/16"/>
    <x v="9"/>
    <x v="4"/>
  </r>
  <r>
    <d v="2021-05-14T00:00:00"/>
    <s v="0/16"/>
    <x v="9"/>
    <x v="4"/>
  </r>
  <r>
    <d v="2021-05-17T00:00:00"/>
    <s v="0/16"/>
    <x v="9"/>
    <x v="4"/>
  </r>
  <r>
    <d v="2021-04-13T00:00:00"/>
    <s v="0/16"/>
    <x v="9"/>
    <x v="4"/>
  </r>
  <r>
    <d v="2021-06-03T00:00:00"/>
    <s v="0/16"/>
    <x v="9"/>
    <x v="4"/>
  </r>
  <r>
    <d v="2021-05-25T00:00:00"/>
    <s v="0/16"/>
    <x v="9"/>
    <x v="4"/>
  </r>
  <r>
    <d v="2021-09-04T00:00:00"/>
    <m/>
    <x v="9"/>
    <x v="4"/>
  </r>
  <r>
    <d v="2021-05-26T00:00:00"/>
    <s v="0/16"/>
    <x v="9"/>
    <x v="4"/>
  </r>
  <r>
    <d v="2021-07-21T00:00:00"/>
    <s v="0/16"/>
    <x v="9"/>
    <x v="4"/>
  </r>
  <r>
    <d v="2021-06-03T00:00:00"/>
    <s v="0/16"/>
    <x v="9"/>
    <x v="4"/>
  </r>
  <r>
    <d v="2021-06-04T00:00:00"/>
    <m/>
    <x v="9"/>
    <x v="4"/>
  </r>
  <r>
    <d v="2021-05-28T00:00:00"/>
    <s v="0/16"/>
    <x v="9"/>
    <x v="4"/>
  </r>
  <r>
    <d v="2021-06-01T00:00:00"/>
    <s v="0/16"/>
    <x v="9"/>
    <x v="4"/>
  </r>
  <r>
    <d v="2021-10-04T00:00:00"/>
    <m/>
    <x v="9"/>
    <x v="4"/>
  </r>
  <r>
    <d v="2021-06-01T00:00:00"/>
    <s v="0/16"/>
    <x v="9"/>
    <x v="4"/>
  </r>
  <r>
    <d v="2021-06-04T00:00:00"/>
    <m/>
    <x v="9"/>
    <x v="4"/>
  </r>
  <r>
    <d v="2021-06-04T00:00:00"/>
    <m/>
    <x v="9"/>
    <x v="4"/>
  </r>
  <r>
    <d v="2021-06-04T00:00:00"/>
    <m/>
    <x v="9"/>
    <x v="4"/>
  </r>
  <r>
    <d v="2021-06-04T00:00:00"/>
    <m/>
    <x v="9"/>
    <x v="4"/>
  </r>
  <r>
    <d v="2021-05-29T00:00:00"/>
    <m/>
    <x v="9"/>
    <x v="4"/>
  </r>
  <r>
    <d v="2021-05-29T00:00:00"/>
    <m/>
    <x v="9"/>
    <x v="4"/>
  </r>
  <r>
    <d v="2021-05-29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5-29T00:00:00"/>
    <m/>
    <x v="9"/>
    <x v="4"/>
  </r>
  <r>
    <d v="2021-05-29T00:00:00"/>
    <m/>
    <x v="9"/>
    <x v="4"/>
  </r>
  <r>
    <d v="2021-05-29T00:00:00"/>
    <m/>
    <x v="9"/>
    <x v="4"/>
  </r>
  <r>
    <d v="2021-08-27T00:00:00"/>
    <m/>
    <x v="9"/>
    <x v="4"/>
  </r>
  <r>
    <d v="2021-08-27T00:00:00"/>
    <m/>
    <x v="9"/>
    <x v="4"/>
  </r>
  <r>
    <d v="2021-08-27T00:00:00"/>
    <m/>
    <x v="9"/>
    <x v="4"/>
  </r>
  <r>
    <d v="2021-08-30T00:00:00"/>
    <s v="0/16"/>
    <x v="9"/>
    <x v="4"/>
  </r>
  <r>
    <d v="2021-08-30T00:00:00"/>
    <m/>
    <x v="9"/>
    <x v="4"/>
  </r>
  <r>
    <d v="2021-08-30T00:00:00"/>
    <m/>
    <x v="9"/>
    <x v="4"/>
  </r>
  <r>
    <d v="2021-05-28T00:00:00"/>
    <s v="0/16"/>
    <x v="9"/>
    <x v="4"/>
  </r>
  <r>
    <d v="2021-05-28T00:00:00"/>
    <m/>
    <x v="9"/>
    <x v="4"/>
  </r>
  <r>
    <d v="2021-05-28T00:00:00"/>
    <m/>
    <x v="9"/>
    <x v="4"/>
  </r>
  <r>
    <d v="2021-05-28T00:00:00"/>
    <m/>
    <x v="9"/>
    <x v="4"/>
  </r>
  <r>
    <d v="2021-05-28T00:00:00"/>
    <m/>
    <x v="9"/>
    <x v="4"/>
  </r>
  <r>
    <d v="2021-05-28T00:00:00"/>
    <m/>
    <x v="9"/>
    <x v="4"/>
  </r>
  <r>
    <d v="2021-06-15T00:00:00"/>
    <m/>
    <x v="9"/>
    <x v="4"/>
  </r>
  <r>
    <d v="2021-07-01T00:00:00"/>
    <m/>
    <x v="9"/>
    <x v="4"/>
  </r>
  <r>
    <d v="2021-07-01T00:00:00"/>
    <m/>
    <x v="9"/>
    <x v="4"/>
  </r>
  <r>
    <d v="2021-07-03T00:00:00"/>
    <m/>
    <x v="9"/>
    <x v="4"/>
  </r>
  <r>
    <d v="2021-07-03T00:00:00"/>
    <m/>
    <x v="9"/>
    <x v="4"/>
  </r>
  <r>
    <d v="2021-07-03T00:00:00"/>
    <m/>
    <x v="9"/>
    <x v="4"/>
  </r>
  <r>
    <d v="2021-07-03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1T00:00:00"/>
    <m/>
    <x v="9"/>
    <x v="4"/>
  </r>
  <r>
    <d v="2021-06-24T00:00:00"/>
    <m/>
    <x v="9"/>
    <x v="4"/>
  </r>
  <r>
    <d v="2021-06-24T00:00:00"/>
    <m/>
    <x v="9"/>
    <x v="4"/>
  </r>
  <r>
    <d v="2021-06-24T00:00:00"/>
    <m/>
    <x v="9"/>
    <x v="4"/>
  </r>
  <r>
    <d v="2021-06-24T00:00:00"/>
    <m/>
    <x v="9"/>
    <x v="4"/>
  </r>
  <r>
    <d v="2021-07-02T00:00:00"/>
    <m/>
    <x v="9"/>
    <x v="4"/>
  </r>
  <r>
    <d v="2021-07-02T00:00:00"/>
    <m/>
    <x v="9"/>
    <x v="4"/>
  </r>
  <r>
    <d v="2021-07-02T00:00:00"/>
    <m/>
    <x v="9"/>
    <x v="4"/>
  </r>
  <r>
    <d v="2021-07-02T00:00:00"/>
    <m/>
    <x v="9"/>
    <x v="4"/>
  </r>
  <r>
    <d v="2021-07-02T00:00:00"/>
    <m/>
    <x v="9"/>
    <x v="4"/>
  </r>
  <r>
    <d v="2021-07-02T00:00:00"/>
    <m/>
    <x v="9"/>
    <x v="4"/>
  </r>
  <r>
    <d v="2021-06-28T00:00:00"/>
    <m/>
    <x v="9"/>
    <x v="4"/>
  </r>
  <r>
    <d v="2021-07-02T00:00:00"/>
    <m/>
    <x v="9"/>
    <x v="4"/>
  </r>
  <r>
    <d v="2021-07-02T00:00:00"/>
    <m/>
    <x v="9"/>
    <x v="4"/>
  </r>
  <r>
    <d v="2021-07-02T00:00:00"/>
    <m/>
    <x v="9"/>
    <x v="4"/>
  </r>
  <r>
    <d v="2021-06-28T00:00:00"/>
    <m/>
    <x v="9"/>
    <x v="4"/>
  </r>
  <r>
    <d v="2021-06-24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4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5T00:00:00"/>
    <m/>
    <x v="9"/>
    <x v="4"/>
  </r>
  <r>
    <d v="2021-06-22T00:00:00"/>
    <m/>
    <x v="9"/>
    <x v="4"/>
  </r>
  <r>
    <d v="2021-06-26T00:00:00"/>
    <m/>
    <x v="9"/>
    <x v="4"/>
  </r>
  <r>
    <d v="2021-06-26T00:00:00"/>
    <m/>
    <x v="9"/>
    <x v="4"/>
  </r>
  <r>
    <d v="2021-06-26T00:00:00"/>
    <m/>
    <x v="9"/>
    <x v="4"/>
  </r>
  <r>
    <d v="2021-06-23T00:00:00"/>
    <m/>
    <x v="9"/>
    <x v="4"/>
  </r>
  <r>
    <d v="2021-06-26T00:00:00"/>
    <m/>
    <x v="9"/>
    <x v="4"/>
  </r>
  <r>
    <d v="2021-06-26T00:00:00"/>
    <m/>
    <x v="9"/>
    <x v="4"/>
  </r>
  <r>
    <d v="2021-08-17T00:00:00"/>
    <m/>
    <x v="9"/>
    <x v="4"/>
  </r>
  <r>
    <d v="2021-06-24T00:00:00"/>
    <m/>
    <x v="9"/>
    <x v="4"/>
  </r>
  <r>
    <d v="2021-06-26T00:00:00"/>
    <m/>
    <x v="9"/>
    <x v="4"/>
  </r>
  <r>
    <d v="2021-06-23T00:00:00"/>
    <m/>
    <x v="9"/>
    <x v="4"/>
  </r>
  <r>
    <d v="2021-06-26T00:00:00"/>
    <m/>
    <x v="9"/>
    <x v="4"/>
  </r>
  <r>
    <d v="2021-06-26T00:00:00"/>
    <m/>
    <x v="9"/>
    <x v="4"/>
  </r>
  <r>
    <d v="2021-06-26T00:00:00"/>
    <m/>
    <x v="9"/>
    <x v="4"/>
  </r>
  <r>
    <d v="2021-06-26T00:00:00"/>
    <m/>
    <x v="9"/>
    <x v="4"/>
  </r>
  <r>
    <d v="2021-06-26T00:00:00"/>
    <m/>
    <x v="9"/>
    <x v="4"/>
  </r>
  <r>
    <d v="2021-06-26T00:00:00"/>
    <m/>
    <x v="9"/>
    <x v="4"/>
  </r>
  <r>
    <d v="2021-06-22T00:00:00"/>
    <m/>
    <x v="9"/>
    <x v="4"/>
  </r>
  <r>
    <d v="2021-08-17T00:00:00"/>
    <m/>
    <x v="9"/>
    <x v="4"/>
  </r>
  <r>
    <d v="2021-09-23T00:00:00"/>
    <m/>
    <x v="9"/>
    <x v="4"/>
  </r>
  <r>
    <d v="2021-09-23T00:00:00"/>
    <m/>
    <x v="9"/>
    <x v="4"/>
  </r>
  <r>
    <d v="2021-09-23T00:00:00"/>
    <m/>
    <x v="9"/>
    <x v="4"/>
  </r>
  <r>
    <d v="2021-08-26T00:00:00"/>
    <m/>
    <x v="9"/>
    <x v="4"/>
  </r>
  <r>
    <d v="2021-08-26T00:00:00"/>
    <m/>
    <x v="9"/>
    <x v="4"/>
  </r>
  <r>
    <d v="2021-08-09T00:00:00"/>
    <m/>
    <x v="9"/>
    <x v="4"/>
  </r>
  <r>
    <d v="2021-08-01T00:00:00"/>
    <s v="0/16"/>
    <x v="9"/>
    <x v="4"/>
  </r>
  <r>
    <d v="2021-08-01T00:00:00"/>
    <m/>
    <x v="9"/>
    <x v="4"/>
  </r>
  <r>
    <d v="2021-08-09T00:00:00"/>
    <m/>
    <x v="9"/>
    <x v="4"/>
  </r>
  <r>
    <d v="2021-09-03T00:00:00"/>
    <s v="0/16"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9-03T00:00:00"/>
    <m/>
    <x v="9"/>
    <x v="4"/>
  </r>
  <r>
    <d v="2021-08-16T00:00:00"/>
    <m/>
    <x v="9"/>
    <x v="4"/>
  </r>
  <r>
    <d v="2021-07-26T00:00:00"/>
    <s v="0/16"/>
    <x v="9"/>
    <x v="4"/>
  </r>
  <r>
    <d v="2021-07-30T00:00:00"/>
    <s v="0/16"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7-30T00:00:00"/>
    <m/>
    <x v="9"/>
    <x v="4"/>
  </r>
  <r>
    <d v="2021-05-03T00:00:00"/>
    <m/>
    <x v="30"/>
    <x v="13"/>
  </r>
  <r>
    <d v="2021-05-03T00:00:00"/>
    <m/>
    <x v="30"/>
    <x v="13"/>
  </r>
  <r>
    <d v="2021-05-03T00:00:00"/>
    <m/>
    <x v="30"/>
    <x v="13"/>
  </r>
  <r>
    <d v="2021-05-03T00:00:00"/>
    <m/>
    <x v="30"/>
    <x v="13"/>
  </r>
  <r>
    <d v="2021-05-03T00:00:00"/>
    <m/>
    <x v="30"/>
    <x v="13"/>
  </r>
  <r>
    <d v="2021-05-10T00:00:00"/>
    <m/>
    <x v="30"/>
    <x v="13"/>
  </r>
  <r>
    <d v="2021-05-10T00:00:00"/>
    <m/>
    <x v="86"/>
    <x v="13"/>
  </r>
  <r>
    <d v="2021-05-10T00:00:00"/>
    <m/>
    <x v="87"/>
    <x v="13"/>
  </r>
  <r>
    <d v="2021-05-10T00:00:00"/>
    <m/>
    <x v="30"/>
    <x v="13"/>
  </r>
  <r>
    <d v="2021-05-10T00:00:00"/>
    <m/>
    <x v="86"/>
    <x v="13"/>
  </r>
  <r>
    <d v="2021-05-11T00:00:00"/>
    <m/>
    <x v="87"/>
    <x v="13"/>
  </r>
  <r>
    <d v="2021-05-11T00:00:00"/>
    <m/>
    <x v="88"/>
    <x v="13"/>
  </r>
  <r>
    <d v="2021-05-11T00:00:00"/>
    <m/>
    <x v="30"/>
    <x v="13"/>
  </r>
  <r>
    <d v="2021-05-11T00:00:00"/>
    <m/>
    <x v="88"/>
    <x v="13"/>
  </r>
  <r>
    <d v="2021-07-06T00:00:00"/>
    <m/>
    <x v="30"/>
    <x v="13"/>
  </r>
  <r>
    <d v="2021-09-22T00:00:00"/>
    <m/>
    <x v="30"/>
    <x v="13"/>
  </r>
  <r>
    <d v="2021-09-22T00:00:00"/>
    <m/>
    <x v="30"/>
    <x v="13"/>
  </r>
  <r>
    <d v="2021-10-08T00:00:00"/>
    <m/>
    <x v="30"/>
    <x v="13"/>
  </r>
  <r>
    <d v="2021-10-08T00:00:00"/>
    <m/>
    <x v="87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87"/>
    <x v="13"/>
  </r>
  <r>
    <d v="2021-10-08T00:00:00"/>
    <m/>
    <x v="87"/>
    <x v="13"/>
  </r>
  <r>
    <d v="2021-10-08T00:00:00"/>
    <m/>
    <x v="87"/>
    <x v="13"/>
  </r>
  <r>
    <d v="2021-10-08T00:00:00"/>
    <m/>
    <x v="87"/>
    <x v="13"/>
  </r>
  <r>
    <d v="2021-10-08T00:00:00"/>
    <m/>
    <x v="30"/>
    <x v="13"/>
  </r>
  <r>
    <d v="2021-10-08T00:00:00"/>
    <m/>
    <x v="30"/>
    <x v="13"/>
  </r>
  <r>
    <d v="2021-10-08T00:00:00"/>
    <m/>
    <x v="87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08T00:00:00"/>
    <m/>
    <x v="30"/>
    <x v="13"/>
  </r>
  <r>
    <d v="2021-10-10T00:00:00"/>
    <m/>
    <x v="30"/>
    <x v="13"/>
  </r>
  <r>
    <d v="2021-10-10T00:00:00"/>
    <m/>
    <x v="87"/>
    <x v="13"/>
  </r>
  <r>
    <d v="2021-10-10T00:00:00"/>
    <m/>
    <x v="87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10T00:00:00"/>
    <m/>
    <x v="30"/>
    <x v="13"/>
  </r>
  <r>
    <d v="2021-10-23T00:00:00"/>
    <m/>
    <x v="30"/>
    <x v="13"/>
  </r>
  <r>
    <d v="2021-10-23T00:00:00"/>
    <m/>
    <x v="30"/>
    <x v="13"/>
  </r>
  <r>
    <d v="2021-11-18T00:00:00"/>
    <m/>
    <x v="30"/>
    <x v="13"/>
  </r>
  <r>
    <d v="2021-11-26T00:00:00"/>
    <m/>
    <x v="30"/>
    <x v="13"/>
  </r>
  <r>
    <d v="2021-11-26T00:00:00"/>
    <m/>
    <x v="30"/>
    <x v="13"/>
  </r>
  <r>
    <d v="2021-11-26T00:00:00"/>
    <m/>
    <x v="30"/>
    <x v="13"/>
  </r>
  <r>
    <d v="2021-12-03T00:00:00"/>
    <m/>
    <x v="88"/>
    <x v="13"/>
  </r>
  <r>
    <d v="2021-12-03T00:00:00"/>
    <m/>
    <x v="30"/>
    <x v="13"/>
  </r>
  <r>
    <d v="2021-05-12T00:00:00"/>
    <m/>
    <x v="88"/>
    <x v="13"/>
  </r>
  <r>
    <d v="2021-05-25T00:00:00"/>
    <m/>
    <x v="30"/>
    <x v="13"/>
  </r>
  <r>
    <d v="2021-04-29T00:00:00"/>
    <m/>
    <x v="86"/>
    <x v="13"/>
  </r>
  <r>
    <d v="2021-04-29T00:00:00"/>
    <m/>
    <x v="30"/>
    <x v="13"/>
  </r>
  <r>
    <d v="2021-11-26T00:00:00"/>
    <m/>
    <x v="86"/>
    <x v="13"/>
  </r>
  <r>
    <d v="2021-11-26T00:00:00"/>
    <m/>
    <x v="30"/>
    <x v="13"/>
  </r>
  <r>
    <d v="2021-01-20T00:00:00"/>
    <m/>
    <x v="30"/>
    <x v="13"/>
  </r>
  <r>
    <d v="2021-01-20T00:00:00"/>
    <m/>
    <x v="86"/>
    <x v="13"/>
  </r>
  <r>
    <d v="2021-04-21T00:00:00"/>
    <m/>
    <x v="86"/>
    <x v="13"/>
  </r>
  <r>
    <d v="2021-04-21T00:00:00"/>
    <m/>
    <x v="30"/>
    <x v="13"/>
  </r>
  <r>
    <d v="2021-04-20T00:00:00"/>
    <m/>
    <x v="86"/>
    <x v="13"/>
  </r>
  <r>
    <d v="2021-04-20T00:00:00"/>
    <m/>
    <x v="30"/>
    <x v="13"/>
  </r>
  <r>
    <d v="2021-04-19T00:00:00"/>
    <m/>
    <x v="86"/>
    <x v="13"/>
  </r>
  <r>
    <d v="2021-04-19T00:00:00"/>
    <m/>
    <x v="30"/>
    <x v="13"/>
  </r>
  <r>
    <d v="2021-05-18T00:00:00"/>
    <m/>
    <x v="86"/>
    <x v="13"/>
  </r>
  <r>
    <d v="2021-05-18T00:00:00"/>
    <m/>
    <x v="30"/>
    <x v="13"/>
  </r>
  <r>
    <d v="2021-04-28T00:00:00"/>
    <m/>
    <x v="86"/>
    <x v="13"/>
  </r>
  <r>
    <d v="2021-04-28T00:00:00"/>
    <m/>
    <x v="30"/>
    <x v="13"/>
  </r>
  <r>
    <d v="2021-04-22T00:00:00"/>
    <m/>
    <x v="86"/>
    <x v="13"/>
  </r>
  <r>
    <d v="2021-04-22T00:00:00"/>
    <m/>
    <x v="30"/>
    <x v="13"/>
  </r>
  <r>
    <d v="2021-09-16T00:00:00"/>
    <m/>
    <x v="30"/>
    <x v="13"/>
  </r>
  <r>
    <d v="2021-09-16T00:00:00"/>
    <m/>
    <x v="30"/>
    <x v="13"/>
  </r>
  <r>
    <d v="2021-05-04T00:00:00"/>
    <m/>
    <x v="30"/>
    <x v="13"/>
  </r>
  <r>
    <d v="2021-05-04T00:00:00"/>
    <m/>
    <x v="30"/>
    <x v="13"/>
  </r>
  <r>
    <d v="2021-05-04T00:00:00"/>
    <m/>
    <x v="87"/>
    <x v="13"/>
  </r>
  <r>
    <d v="2021-12-02T00:00:00"/>
    <m/>
    <x v="30"/>
    <x v="13"/>
  </r>
  <r>
    <d v="2021-11-19T00:00:00"/>
    <m/>
    <x v="30"/>
    <x v="13"/>
  </r>
  <r>
    <d v="2021-11-29T00:00:00"/>
    <m/>
    <x v="30"/>
    <x v="13"/>
  </r>
  <r>
    <d v="2021-11-29T00:00:00"/>
    <m/>
    <x v="30"/>
    <x v="13"/>
  </r>
  <r>
    <d v="2021-11-29T00:00:00"/>
    <m/>
    <x v="30"/>
    <x v="13"/>
  </r>
  <r>
    <d v="2021-11-30T00:00:00"/>
    <m/>
    <x v="30"/>
    <x v="13"/>
  </r>
  <r>
    <d v="2021-11-30T00:00:00"/>
    <m/>
    <x v="30"/>
    <x v="13"/>
  </r>
  <r>
    <d v="2021-11-30T00:00:00"/>
    <m/>
    <x v="30"/>
    <x v="13"/>
  </r>
  <r>
    <d v="2021-11-30T00:00:00"/>
    <m/>
    <x v="30"/>
    <x v="13"/>
  </r>
  <r>
    <d v="2021-11-30T00:00:00"/>
    <m/>
    <x v="30"/>
    <x v="13"/>
  </r>
  <r>
    <d v="2021-11-30T00:00:00"/>
    <m/>
    <x v="30"/>
    <x v="13"/>
  </r>
  <r>
    <d v="2021-12-01T00:00:00"/>
    <m/>
    <x v="86"/>
    <x v="13"/>
  </r>
  <r>
    <d v="2021-12-01T00:00:00"/>
    <m/>
    <x v="30"/>
    <x v="13"/>
  </r>
  <r>
    <d v="2021-12-01T00:00:00"/>
    <m/>
    <x v="30"/>
    <x v="13"/>
  </r>
  <r>
    <d v="2021-12-01T00:00:00"/>
    <m/>
    <x v="30"/>
    <x v="13"/>
  </r>
  <r>
    <d v="2021-12-02T00:00:00"/>
    <m/>
    <x v="30"/>
    <x v="13"/>
  </r>
  <r>
    <d v="2021-12-02T00:00:00"/>
    <m/>
    <x v="30"/>
    <x v="13"/>
  </r>
  <r>
    <d v="2021-12-02T00:00:00"/>
    <m/>
    <x v="30"/>
    <x v="13"/>
  </r>
  <r>
    <d v="2021-12-02T00:00:00"/>
    <m/>
    <x v="30"/>
    <x v="13"/>
  </r>
  <r>
    <d v="2021-12-02T00:00:00"/>
    <m/>
    <x v="30"/>
    <x v="13"/>
  </r>
  <r>
    <d v="2021-12-02T00:00:00"/>
    <m/>
    <x v="30"/>
    <x v="13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25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07-11T00:00:00"/>
    <m/>
    <x v="9"/>
    <x v="4"/>
  </r>
  <r>
    <d v="2021-12-11T00:00:00"/>
    <m/>
    <x v="9"/>
    <x v="4"/>
  </r>
  <r>
    <d v="2021-12-11T00:00:00"/>
    <m/>
    <x v="9"/>
    <x v="4"/>
  </r>
  <r>
    <d v="2021-12-11T00:00:00"/>
    <m/>
    <x v="9"/>
    <x v="4"/>
  </r>
  <r>
    <d v="2021-12-11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10T00:00:00"/>
    <m/>
    <x v="9"/>
    <x v="4"/>
  </r>
  <r>
    <d v="2021-12-21T00:00:00"/>
    <m/>
    <x v="9"/>
    <x v="4"/>
  </r>
  <r>
    <d v="2021-12-21T00:00:00"/>
    <m/>
    <x v="9"/>
    <x v="4"/>
  </r>
  <r>
    <d v="2021-12-21T00:00:00"/>
    <m/>
    <x v="9"/>
    <x v="4"/>
  </r>
  <r>
    <d v="2021-12-21T00:00:00"/>
    <m/>
    <x v="9"/>
    <x v="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3-12T00:00:00"/>
    <s v="0/16"/>
    <x v="89"/>
    <x v="14"/>
  </r>
  <r>
    <d v="2021-06-11T00:00:00"/>
    <s v="0/16"/>
    <x v="89"/>
    <x v="14"/>
  </r>
  <r>
    <d v="2021-07-05T00:00:00"/>
    <s v="0/16"/>
    <x v="90"/>
    <x v="15"/>
  </r>
  <r>
    <d v="2021-07-05T00:00:00"/>
    <s v="0/16"/>
    <x v="90"/>
    <x v="15"/>
  </r>
  <r>
    <d v="2021-07-05T00:00:00"/>
    <s v="0/16"/>
    <x v="90"/>
    <x v="15"/>
  </r>
  <r>
    <d v="2021-07-07T00:00:00"/>
    <s v="0/16"/>
    <x v="89"/>
    <x v="14"/>
  </r>
  <r>
    <d v="2021-08-16T00:00:00"/>
    <s v="0/16"/>
    <x v="89"/>
    <x v="14"/>
  </r>
  <r>
    <d v="2021-08-17T00:00:00"/>
    <s v="0/16"/>
    <x v="90"/>
    <x v="15"/>
  </r>
  <r>
    <d v="2021-08-17T00:00:00"/>
    <s v="0/16"/>
    <x v="90"/>
    <x v="15"/>
  </r>
  <r>
    <d v="2021-08-18T00:00:00"/>
    <s v="0/16"/>
    <x v="89"/>
    <x v="14"/>
  </r>
  <r>
    <d v="2021-08-18T00:00:00"/>
    <s v="0/16"/>
    <x v="89"/>
    <x v="14"/>
  </r>
  <r>
    <d v="2021-08-19T00:00:00"/>
    <s v="0/16"/>
    <x v="89"/>
    <x v="14"/>
  </r>
  <r>
    <d v="2021-09-16T00:00:00"/>
    <s v="0/16"/>
    <x v="89"/>
    <x v="14"/>
  </r>
  <r>
    <d v="2021-09-21T00:00:00"/>
    <s v="0/16"/>
    <x v="89"/>
    <x v="15"/>
  </r>
  <r>
    <d v="2021-09-21T00:00:00"/>
    <s v="0/16"/>
    <x v="89"/>
    <x v="15"/>
  </r>
  <r>
    <d v="2021-10-11T00:00:00"/>
    <s v="0/16"/>
    <x v="91"/>
    <x v="16"/>
  </r>
  <r>
    <d v="2021-10-15T00:00:00"/>
    <s v="0/16"/>
    <x v="89"/>
    <x v="15"/>
  </r>
  <r>
    <d v="2021-10-19T00:00:00"/>
    <s v="0/16"/>
    <x v="89"/>
    <x v="15"/>
  </r>
  <r>
    <d v="2021-10-19T00:00:00"/>
    <s v="0/16"/>
    <x v="89"/>
    <x v="15"/>
  </r>
  <r>
    <d v="2021-10-19T00:00:00"/>
    <s v="0/16"/>
    <x v="89"/>
    <x v="15"/>
  </r>
  <r>
    <d v="2021-10-20T00:00:00"/>
    <s v="0/16"/>
    <x v="89"/>
    <x v="15"/>
  </r>
  <r>
    <d v="2021-10-20T00:00:00"/>
    <s v="0/16"/>
    <x v="89"/>
    <x v="15"/>
  </r>
  <r>
    <d v="2021-10-22T00:00:00"/>
    <s v="0/16"/>
    <x v="89"/>
    <x v="15"/>
  </r>
  <r>
    <d v="2021-10-22T00:00:00"/>
    <s v="0/16"/>
    <x v="89"/>
    <x v="15"/>
  </r>
  <r>
    <d v="2021-10-22T00:00:00"/>
    <s v="0/16"/>
    <x v="89"/>
    <x v="15"/>
  </r>
  <r>
    <d v="2021-10-22T00:00:00"/>
    <s v="0/16"/>
    <x v="89"/>
    <x v="15"/>
  </r>
  <r>
    <d v="2021-10-22T00:00:00"/>
    <s v="0/16"/>
    <x v="89"/>
    <x v="15"/>
  </r>
  <r>
    <d v="2021-10-25T00:00:00"/>
    <s v="0/16"/>
    <x v="89"/>
    <x v="15"/>
  </r>
  <r>
    <d v="2021-10-26T00:00:00"/>
    <s v="0/16"/>
    <x v="89"/>
    <x v="15"/>
  </r>
  <r>
    <d v="2021-10-27T00:00:00"/>
    <s v="0/16"/>
    <x v="89"/>
    <x v="15"/>
  </r>
  <r>
    <d v="2021-10-30T00:00:00"/>
    <s v="0/16"/>
    <x v="89"/>
    <x v="15"/>
  </r>
  <r>
    <d v="2021-10-30T00:00:00"/>
    <s v="0/16"/>
    <x v="89"/>
    <x v="15"/>
  </r>
  <r>
    <d v="2021-11-01T00:00:00"/>
    <s v="0/16"/>
    <x v="89"/>
    <x v="15"/>
  </r>
  <r>
    <d v="2021-11-02T00:00:00"/>
    <s v="0/16"/>
    <x v="89"/>
    <x v="15"/>
  </r>
  <r>
    <d v="2021-11-02T00:00:00"/>
    <s v="0/16"/>
    <x v="89"/>
    <x v="15"/>
  </r>
  <r>
    <d v="2021-11-02T00:00:00"/>
    <s v="0/16"/>
    <x v="89"/>
    <x v="15"/>
  </r>
  <r>
    <d v="2021-11-02T00:00:00"/>
    <s v="0/16"/>
    <x v="89"/>
    <x v="15"/>
  </r>
  <r>
    <d v="2021-11-02T00:00:00"/>
    <s v="0/16"/>
    <x v="89"/>
    <x v="15"/>
  </r>
  <r>
    <d v="2021-11-02T00:00:00"/>
    <s v="0/16"/>
    <x v="89"/>
    <x v="15"/>
  </r>
  <r>
    <d v="2021-11-03T00:00:00"/>
    <s v="0/16"/>
    <x v="89"/>
    <x v="15"/>
  </r>
  <r>
    <d v="2021-11-06T00:00:00"/>
    <s v="0/16"/>
    <x v="89"/>
    <x v="15"/>
  </r>
  <r>
    <d v="2021-11-06T00:00:00"/>
    <s v="0/16"/>
    <x v="89"/>
    <x v="15"/>
  </r>
  <r>
    <d v="2021-11-08T00:00:00"/>
    <s v="0/16"/>
    <x v="89"/>
    <x v="15"/>
  </r>
  <r>
    <d v="2021-11-08T00:00:00"/>
    <s v="0/16"/>
    <x v="89"/>
    <x v="15"/>
  </r>
  <r>
    <d v="2021-11-09T00:00:00"/>
    <s v="0/16"/>
    <x v="89"/>
    <x v="15"/>
  </r>
  <r>
    <d v="2021-11-09T00:00:00"/>
    <s v="0/16"/>
    <x v="89"/>
    <x v="15"/>
  </r>
  <r>
    <d v="2021-11-09T00:00:00"/>
    <s v="0/16"/>
    <x v="89"/>
    <x v="15"/>
  </r>
  <r>
    <d v="2021-11-10T00:00:00"/>
    <s v="0/16"/>
    <x v="89"/>
    <x v="15"/>
  </r>
  <r>
    <d v="2021-11-16T00:00:00"/>
    <s v="0/16"/>
    <x v="89"/>
    <x v="15"/>
  </r>
  <r>
    <d v="2021-11-22T00:00:00"/>
    <s v="0/16"/>
    <x v="89"/>
    <x v="15"/>
  </r>
  <r>
    <d v="2021-11-22T00:00:00"/>
    <s v="0/16"/>
    <x v="89"/>
    <x v="15"/>
  </r>
  <r>
    <d v="2021-11-23T00:00:00"/>
    <s v="0/16"/>
    <x v="89"/>
    <x v="15"/>
  </r>
  <r>
    <d v="2021-11-23T00:00:00"/>
    <s v="0/16"/>
    <x v="89"/>
    <x v="15"/>
  </r>
  <r>
    <d v="2021-11-24T00:00:00"/>
    <s v="0/16"/>
    <x v="89"/>
    <x v="15"/>
  </r>
  <r>
    <d v="2021-11-24T00:00:00"/>
    <s v="0/16"/>
    <x v="89"/>
    <x v="15"/>
  </r>
  <r>
    <d v="2021-11-25T00:00:00"/>
    <s v="0/16"/>
    <x v="89"/>
    <x v="15"/>
  </r>
  <r>
    <d v="2021-11-25T00:00:00"/>
    <s v="0/16"/>
    <x v="89"/>
    <x v="15"/>
  </r>
  <r>
    <d v="2021-11-26T00:00:00"/>
    <s v="0/16"/>
    <x v="89"/>
    <x v="15"/>
  </r>
  <r>
    <d v="2021-11-26T00:00:00"/>
    <s v="0/16"/>
    <x v="89"/>
    <x v="15"/>
  </r>
  <r>
    <d v="2021-11-26T00:00:00"/>
    <s v="0/16"/>
    <x v="89"/>
    <x v="15"/>
  </r>
  <r>
    <d v="2021-11-29T00:00:00"/>
    <s v="0/16"/>
    <x v="89"/>
    <x v="15"/>
  </r>
  <r>
    <d v="2021-11-29T00:00:00"/>
    <s v="0/16"/>
    <x v="89"/>
    <x v="15"/>
  </r>
  <r>
    <d v="2021-11-30T00:00:00"/>
    <s v="0/16"/>
    <x v="89"/>
    <x v="15"/>
  </r>
  <r>
    <d v="2021-12-01T00:00:00"/>
    <s v="0/16"/>
    <x v="89"/>
    <x v="15"/>
  </r>
  <r>
    <d v="2021-12-02T00:00:00"/>
    <s v="0/16"/>
    <x v="89"/>
    <x v="15"/>
  </r>
  <r>
    <d v="2021-12-02T00:00:00"/>
    <s v="0/16"/>
    <x v="89"/>
    <x v="15"/>
  </r>
  <r>
    <d v="2021-12-02T00:00:00"/>
    <s v="0/16"/>
    <x v="89"/>
    <x v="15"/>
  </r>
  <r>
    <d v="2021-12-06T00:00:00"/>
    <s v="0/16"/>
    <x v="89"/>
    <x v="14"/>
  </r>
  <r>
    <d v="2021-12-06T00:00:00"/>
    <s v="0/16"/>
    <x v="89"/>
    <x v="14"/>
  </r>
  <r>
    <d v="2021-12-06T00:00:00"/>
    <s v="0/16"/>
    <x v="89"/>
    <x v="14"/>
  </r>
  <r>
    <d v="2021-12-17T00:00:00"/>
    <s v="0/16"/>
    <x v="89"/>
    <x v="14"/>
  </r>
  <r>
    <d v="2021-12-17T00:00:00"/>
    <s v="0/16"/>
    <x v="89"/>
    <x v="14"/>
  </r>
  <r>
    <d v="2021-12-17T00:00:00"/>
    <s v="0/16"/>
    <x v="89"/>
    <x v="14"/>
  </r>
  <r>
    <d v="2021-09-20T00:00:00"/>
    <m/>
    <x v="9"/>
    <x v="4"/>
  </r>
  <r>
    <d v="2021-09-20T00:00:00"/>
    <m/>
    <x v="9"/>
    <x v="4"/>
  </r>
  <r>
    <d v="2021-09-30T00:00:00"/>
    <m/>
    <x v="9"/>
    <x v="4"/>
  </r>
  <r>
    <d v="2021-06-03T00:00:00"/>
    <m/>
    <x v="9"/>
    <x v="4"/>
  </r>
  <r>
    <d v="2021-06-05T00:00:00"/>
    <m/>
    <x v="9"/>
    <x v="4"/>
  </r>
  <r>
    <d v="2021-06-05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10-07T00:00:00"/>
    <m/>
    <x v="9"/>
    <x v="4"/>
  </r>
  <r>
    <d v="2021-09-30T00:00:00"/>
    <m/>
    <x v="9"/>
    <x v="4"/>
  </r>
  <r>
    <d v="2021-07-17T00:00:00"/>
    <s v="0/8"/>
    <x v="92"/>
    <x v="17"/>
  </r>
  <r>
    <d v="2021-07-13T00:00:00"/>
    <s v="0/8"/>
    <x v="92"/>
    <x v="17"/>
  </r>
  <r>
    <d v="2021-07-13T00:00:00"/>
    <s v="0/8"/>
    <x v="92"/>
    <x v="18"/>
  </r>
  <r>
    <d v="2021-07-16T00:00:00"/>
    <s v="0/8"/>
    <x v="92"/>
    <x v="17"/>
  </r>
  <r>
    <d v="2021-07-16T00:00:00"/>
    <s v="0/8"/>
    <x v="92"/>
    <x v="18"/>
  </r>
  <r>
    <d v="2021-07-03T00:00:00"/>
    <s v="0/8"/>
    <x v="92"/>
    <x v="17"/>
  </r>
  <r>
    <d v="2021-07-03T00:00:00"/>
    <s v="0/8"/>
    <x v="92"/>
    <x v="18"/>
  </r>
  <r>
    <d v="2021-07-13T00:00:00"/>
    <s v="0/11"/>
    <x v="10"/>
    <x v="17"/>
  </r>
  <r>
    <d v="2021-07-15T00:00:00"/>
    <s v="0/8"/>
    <x v="92"/>
    <x v="17"/>
  </r>
  <r>
    <d v="2021-07-15T00:00:00"/>
    <s v="0/8"/>
    <x v="92"/>
    <x v="18"/>
  </r>
  <r>
    <d v="2021-07-02T00:00:00"/>
    <s v="0/8"/>
    <x v="92"/>
    <x v="17"/>
  </r>
  <r>
    <d v="2021-07-02T00:00:00"/>
    <s v="0/8"/>
    <x v="92"/>
    <x v="18"/>
  </r>
  <r>
    <d v="2021-07-14T00:00:00"/>
    <s v="0/8"/>
    <x v="92"/>
    <x v="17"/>
  </r>
  <r>
    <d v="2021-07-14T00:00:00"/>
    <s v="0/8"/>
    <x v="92"/>
    <x v="18"/>
  </r>
  <r>
    <d v="2021-07-01T00:00:00"/>
    <s v="0/8"/>
    <x v="92"/>
    <x v="17"/>
  </r>
  <r>
    <d v="2021-07-01T00:00:00"/>
    <s v="0/8"/>
    <x v="92"/>
    <x v="17"/>
  </r>
  <r>
    <d v="2021-07-01T00:00:00"/>
    <s v="0/8"/>
    <x v="92"/>
    <x v="18"/>
  </r>
  <r>
    <d v="2021-07-01T00:00:00"/>
    <s v="0/8"/>
    <x v="92"/>
    <x v="18"/>
  </r>
  <r>
    <d v="2021-06-29T00:00:00"/>
    <s v="0/8"/>
    <x v="92"/>
    <x v="17"/>
  </r>
  <r>
    <d v="2021-06-29T00:00:00"/>
    <s v="0/8"/>
    <x v="92"/>
    <x v="18"/>
  </r>
  <r>
    <d v="2021-06-30T00:00:00"/>
    <s v="0/8"/>
    <x v="92"/>
    <x v="17"/>
  </r>
  <r>
    <d v="2021-06-30T00:00:00"/>
    <s v="0/8"/>
    <x v="92"/>
    <x v="18"/>
  </r>
  <r>
    <d v="2021-06-23T00:00:00"/>
    <m/>
    <x v="93"/>
    <x v="17"/>
  </r>
  <r>
    <d v="2021-06-25T00:00:00"/>
    <m/>
    <x v="94"/>
    <x v="19"/>
  </r>
  <r>
    <d v="2021-06-25T00:00:00"/>
    <m/>
    <x v="95"/>
    <x v="17"/>
  </r>
  <r>
    <d v="2021-06-06T00:00:00"/>
    <m/>
    <x v="96"/>
    <x v="17"/>
  </r>
  <r>
    <d v="2021-06-20T00:00:00"/>
    <m/>
    <x v="97"/>
    <x v="17"/>
  </r>
  <r>
    <d v="2021-06-20T00:00:00"/>
    <m/>
    <x v="95"/>
    <x v="20"/>
  </r>
  <r>
    <d v="2021-06-20T00:00:00"/>
    <m/>
    <x v="96"/>
    <x v="17"/>
  </r>
  <r>
    <d v="2021-08-01T00:00:00"/>
    <m/>
    <x v="97"/>
    <x v="17"/>
  </r>
  <r>
    <d v="2021-08-01T00:00:00"/>
    <m/>
    <x v="95"/>
    <x v="17"/>
  </r>
  <r>
    <d v="2021-06-06T00:00:00"/>
    <m/>
    <x v="96"/>
    <x v="17"/>
  </r>
  <r>
    <d v="2021-07-10T00:00:00"/>
    <m/>
    <x v="93"/>
    <x v="19"/>
  </r>
  <r>
    <d v="2021-07-08T00:00:00"/>
    <m/>
    <x v="96"/>
    <x v="17"/>
  </r>
  <r>
    <d v="2021-07-11T00:00:00"/>
    <m/>
    <x v="93"/>
    <x v="17"/>
  </r>
  <r>
    <d v="2021-06-06T00:00:00"/>
    <m/>
    <x v="96"/>
    <x v="17"/>
  </r>
  <r>
    <d v="2021-06-06T00:00:00"/>
    <m/>
    <x v="96"/>
    <x v="17"/>
  </r>
  <r>
    <d v="2021-06-26T00:00:00"/>
    <m/>
    <x v="96"/>
    <x v="17"/>
  </r>
  <r>
    <d v="2021-06-26T00:00:00"/>
    <m/>
    <x v="96"/>
    <x v="17"/>
  </r>
  <r>
    <d v="2021-07-11T00:00:00"/>
    <m/>
    <x v="96"/>
    <x v="17"/>
  </r>
  <r>
    <d v="2021-07-18T00:00:00"/>
    <m/>
    <x v="96"/>
    <x v="17"/>
  </r>
  <r>
    <d v="2021-07-18T00:00:00"/>
    <m/>
    <x v="96"/>
    <x v="17"/>
  </r>
  <r>
    <d v="2021-08-01T00:00:00"/>
    <m/>
    <x v="96"/>
    <x v="17"/>
  </r>
  <r>
    <d v="2021-07-06T00:00:00"/>
    <m/>
    <x v="98"/>
    <x v="17"/>
  </r>
  <r>
    <d v="2021-07-18T00:00:00"/>
    <m/>
    <x v="96"/>
    <x v="17"/>
  </r>
  <r>
    <d v="2021-07-18T00:00:00"/>
    <m/>
    <x v="98"/>
    <x v="20"/>
  </r>
  <r>
    <d v="2021-07-18T00:00:00"/>
    <m/>
    <x v="96"/>
    <x v="17"/>
  </r>
  <r>
    <d v="2021-07-18T00:00:00"/>
    <m/>
    <x v="98"/>
    <x v="17"/>
  </r>
  <r>
    <d v="2021-07-18T00:00:00"/>
    <m/>
    <x v="96"/>
    <x v="17"/>
  </r>
  <r>
    <d v="2021-07-18T00:00:00"/>
    <m/>
    <x v="98"/>
    <x v="17"/>
  </r>
  <r>
    <d v="2021-07-18T00:00:00"/>
    <m/>
    <x v="96"/>
    <x v="17"/>
  </r>
  <r>
    <d v="2021-07-18T00:00:00"/>
    <m/>
    <x v="98"/>
    <x v="17"/>
  </r>
  <r>
    <d v="2021-07-18T00:00:00"/>
    <m/>
    <x v="98"/>
    <x v="17"/>
  </r>
  <r>
    <d v="2021-07-06T00:00:00"/>
    <m/>
    <x v="98"/>
    <x v="17"/>
  </r>
  <r>
    <d v="2021-07-11T00:00:00"/>
    <m/>
    <x v="98"/>
    <x v="17"/>
  </r>
  <r>
    <d v="2021-03-27T00:00:00"/>
    <m/>
    <x v="94"/>
    <x v="17"/>
  </r>
  <r>
    <d v="2021-03-27T00:00:00"/>
    <m/>
    <x v="95"/>
    <x v="17"/>
  </r>
  <r>
    <d v="2021-03-27T00:00:00"/>
    <m/>
    <x v="98"/>
    <x v="17"/>
  </r>
  <r>
    <d v="2021-03-27T00:00:00"/>
    <m/>
    <x v="96"/>
    <x v="17"/>
  </r>
  <r>
    <d v="2021-03-29T00:00:00"/>
    <m/>
    <x v="33"/>
    <x v="21"/>
  </r>
  <r>
    <d v="2021-03-31T00:00:00"/>
    <m/>
    <x v="93"/>
    <x v="17"/>
  </r>
  <r>
    <d v="2021-03-30T00:00:00"/>
    <m/>
    <x v="96"/>
    <x v="17"/>
  </r>
  <r>
    <d v="2021-03-29T00:00:00"/>
    <m/>
    <x v="9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raaitabel2" cacheId="2" applyNumberFormats="0" applyBorderFormats="0" applyFontFormats="0" applyPatternFormats="0" applyAlignmentFormats="0" applyWidthHeightFormats="1" dataCaption="Waarden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21">
    <pivotField showAll="0"/>
    <pivotField axis="axisRow" dataField="1" showAll="0">
      <items count="15">
        <item x="1"/>
        <item x="0"/>
        <item x="9"/>
        <item x="10"/>
        <item x="4"/>
        <item x="12"/>
        <item x="5"/>
        <item x="13"/>
        <item x="11"/>
        <item x="2"/>
        <item x="8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4">
        <item x="51"/>
        <item x="50"/>
        <item x="52"/>
        <item x="49"/>
        <item x="14"/>
        <item x="56"/>
        <item x="43"/>
        <item x="57"/>
        <item x="47"/>
        <item x="53"/>
        <item x="54"/>
        <item x="28"/>
        <item x="27"/>
        <item x="42"/>
        <item x="40"/>
        <item x="37"/>
        <item x="2"/>
        <item x="20"/>
        <item x="23"/>
        <item x="13"/>
        <item x="8"/>
        <item x="25"/>
        <item x="59"/>
        <item x="46"/>
        <item x="44"/>
        <item x="19"/>
        <item x="9"/>
        <item x="45"/>
        <item x="21"/>
        <item x="35"/>
        <item x="26"/>
        <item x="22"/>
        <item x="4"/>
        <item x="61"/>
        <item x="15"/>
        <item x="12"/>
        <item x="11"/>
        <item x="60"/>
        <item x="41"/>
        <item x="10"/>
        <item x="18"/>
        <item x="24"/>
        <item x="34"/>
        <item x="58"/>
        <item x="29"/>
        <item x="30"/>
        <item x="0"/>
        <item x="31"/>
        <item x="33"/>
        <item x="1"/>
        <item x="39"/>
        <item x="48"/>
        <item x="36"/>
        <item x="55"/>
        <item x="5"/>
        <item x="38"/>
        <item x="17"/>
        <item x="3"/>
        <item x="32"/>
        <item x="16"/>
        <item x="7"/>
        <item x="6"/>
        <item x="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3"/>
    </i>
    <i>
      <x v="6"/>
    </i>
    <i>
      <x v="9"/>
    </i>
    <i>
      <x v="10"/>
    </i>
    <i t="grand">
      <x/>
    </i>
  </rowItems>
  <colItems count="1">
    <i/>
  </colItems>
  <pageFields count="1">
    <pageField fld="12" item="60" hier="-1"/>
  </pageFields>
  <dataFields count="1">
    <dataField name="Aantal van DISTRI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Draaitabel2" cacheId="3" applyNumberFormats="0" applyBorderFormats="0" applyFontFormats="0" applyPatternFormats="0" applyAlignmentFormats="0" applyWidthHeightFormats="1" dataCaption="Waarden" updatedVersion="6" minRefreshableVersion="3" useAutoFormatting="1" itemPrintTitles="1" createdVersion="6" indent="0" outline="1" outlineData="1" multipleFieldFilters="0">
  <location ref="A3:B226" firstHeaderRow="1" firstDataRow="1" firstDataCol="1"/>
  <pivotFields count="4">
    <pivotField dataField="1" showAll="0"/>
    <pivotField showAll="0"/>
    <pivotField axis="axisRow" showAll="0">
      <items count="100">
        <item x="96"/>
        <item x="92"/>
        <item x="24"/>
        <item x="10"/>
        <item x="22"/>
        <item x="28"/>
        <item x="21"/>
        <item x="97"/>
        <item x="1"/>
        <item x="93"/>
        <item x="95"/>
        <item x="98"/>
        <item x="19"/>
        <item x="27"/>
        <item x="94"/>
        <item x="2"/>
        <item x="4"/>
        <item x="8"/>
        <item x="0"/>
        <item x="5"/>
        <item x="20"/>
        <item x="23"/>
        <item x="86"/>
        <item x="87"/>
        <item x="88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30"/>
        <item x="90"/>
        <item x="14"/>
        <item x="16"/>
        <item x="13"/>
        <item x="89"/>
        <item x="12"/>
        <item x="15"/>
        <item x="85"/>
        <item x="37"/>
        <item x="36"/>
        <item x="83"/>
        <item x="40"/>
        <item x="3"/>
        <item x="25"/>
        <item x="84"/>
        <item x="35"/>
        <item x="91"/>
        <item x="26"/>
        <item x="44"/>
        <item x="43"/>
        <item x="78"/>
        <item x="79"/>
        <item x="82"/>
        <item x="29"/>
        <item x="39"/>
        <item x="41"/>
        <item x="31"/>
        <item x="42"/>
        <item x="34"/>
        <item x="32"/>
        <item x="81"/>
        <item x="38"/>
        <item x="33"/>
        <item x="80"/>
        <item x="11"/>
        <item x="7"/>
        <item x="6"/>
        <item x="17"/>
        <item x="18"/>
        <item x="9"/>
        <item t="default"/>
      </items>
    </pivotField>
    <pivotField axis="axisRow" showAll="0">
      <items count="23">
        <item x="5"/>
        <item x="2"/>
        <item x="8"/>
        <item x="7"/>
        <item x="15"/>
        <item x="10"/>
        <item x="13"/>
        <item x="11"/>
        <item x="6"/>
        <item x="14"/>
        <item x="3"/>
        <item x="0"/>
        <item x="1"/>
        <item x="18"/>
        <item x="21"/>
        <item x="19"/>
        <item x="20"/>
        <item x="17"/>
        <item x="9"/>
        <item x="12"/>
        <item x="16"/>
        <item x="4"/>
        <item t="default"/>
      </items>
    </pivotField>
  </pivotFields>
  <rowFields count="2">
    <field x="2"/>
    <field x="3"/>
  </rowFields>
  <rowItems count="223">
    <i>
      <x/>
    </i>
    <i r="1">
      <x v="17"/>
    </i>
    <i>
      <x v="1"/>
    </i>
    <i r="1">
      <x v="13"/>
    </i>
    <i r="1">
      <x v="17"/>
    </i>
    <i>
      <x v="2"/>
    </i>
    <i r="1">
      <x v="18"/>
    </i>
    <i>
      <x v="3"/>
    </i>
    <i r="1">
      <x v="12"/>
    </i>
    <i r="1">
      <x v="17"/>
    </i>
    <i>
      <x v="4"/>
    </i>
    <i r="1">
      <x v="3"/>
    </i>
    <i>
      <x v="5"/>
    </i>
    <i r="1">
      <x v="18"/>
    </i>
    <i>
      <x v="6"/>
    </i>
    <i r="1">
      <x v="3"/>
    </i>
    <i>
      <x v="7"/>
    </i>
    <i r="1">
      <x v="17"/>
    </i>
    <i>
      <x v="8"/>
    </i>
    <i r="1">
      <x v="1"/>
    </i>
    <i r="1">
      <x v="11"/>
    </i>
    <i r="1">
      <x v="12"/>
    </i>
    <i>
      <x v="9"/>
    </i>
    <i r="1">
      <x v="15"/>
    </i>
    <i r="1">
      <x v="17"/>
    </i>
    <i>
      <x v="10"/>
    </i>
    <i r="1">
      <x v="16"/>
    </i>
    <i r="1">
      <x v="17"/>
    </i>
    <i>
      <x v="11"/>
    </i>
    <i r="1">
      <x v="16"/>
    </i>
    <i r="1">
      <x v="17"/>
    </i>
    <i>
      <x v="12"/>
    </i>
    <i r="1">
      <x v="3"/>
    </i>
    <i>
      <x v="13"/>
    </i>
    <i r="1">
      <x v="18"/>
    </i>
    <i>
      <x v="14"/>
    </i>
    <i r="1">
      <x v="15"/>
    </i>
    <i r="1">
      <x v="17"/>
    </i>
    <i>
      <x v="15"/>
    </i>
    <i r="1">
      <x v="11"/>
    </i>
    <i>
      <x v="16"/>
    </i>
    <i r="1">
      <x v="11"/>
    </i>
    <i>
      <x v="17"/>
    </i>
    <i r="1">
      <x v="12"/>
    </i>
    <i>
      <x v="18"/>
    </i>
    <i r="1">
      <x v="1"/>
    </i>
    <i r="1">
      <x v="11"/>
    </i>
    <i>
      <x v="19"/>
    </i>
    <i r="1">
      <x v="11"/>
    </i>
    <i r="1">
      <x v="12"/>
    </i>
    <i r="1">
      <x v="21"/>
    </i>
    <i>
      <x v="20"/>
    </i>
    <i r="1">
      <x v="2"/>
    </i>
    <i>
      <x v="21"/>
    </i>
    <i r="1">
      <x v="2"/>
    </i>
    <i>
      <x v="22"/>
    </i>
    <i r="1">
      <x v="6"/>
    </i>
    <i>
      <x v="23"/>
    </i>
    <i r="1">
      <x v="6"/>
    </i>
    <i>
      <x v="24"/>
    </i>
    <i r="1">
      <x v="6"/>
    </i>
    <i>
      <x v="25"/>
    </i>
    <i r="1">
      <x v="7"/>
    </i>
    <i>
      <x v="26"/>
    </i>
    <i r="1">
      <x v="7"/>
    </i>
    <i>
      <x v="27"/>
    </i>
    <i r="1">
      <x v="7"/>
    </i>
    <i>
      <x v="28"/>
    </i>
    <i r="1">
      <x v="7"/>
    </i>
    <i>
      <x v="29"/>
    </i>
    <i r="1">
      <x v="7"/>
    </i>
    <i>
      <x v="30"/>
    </i>
    <i r="1">
      <x v="7"/>
    </i>
    <i>
      <x v="31"/>
    </i>
    <i r="1">
      <x v="7"/>
    </i>
    <i>
      <x v="32"/>
    </i>
    <i r="1">
      <x v="7"/>
    </i>
    <i>
      <x v="33"/>
    </i>
    <i r="1">
      <x v="7"/>
    </i>
    <i>
      <x v="34"/>
    </i>
    <i r="1">
      <x v="7"/>
    </i>
    <i>
      <x v="35"/>
    </i>
    <i r="1">
      <x v="7"/>
    </i>
    <i>
      <x v="36"/>
    </i>
    <i r="1">
      <x v="7"/>
    </i>
    <i>
      <x v="37"/>
    </i>
    <i r="1">
      <x v="7"/>
    </i>
    <i>
      <x v="38"/>
    </i>
    <i r="1">
      <x v="7"/>
    </i>
    <i>
      <x v="39"/>
    </i>
    <i r="1">
      <x v="7"/>
    </i>
    <i>
      <x v="40"/>
    </i>
    <i r="1">
      <x v="7"/>
    </i>
    <i>
      <x v="41"/>
    </i>
    <i r="1">
      <x v="7"/>
    </i>
    <i>
      <x v="42"/>
    </i>
    <i r="1">
      <x v="7"/>
    </i>
    <i>
      <x v="43"/>
    </i>
    <i r="1">
      <x v="7"/>
    </i>
    <i>
      <x v="44"/>
    </i>
    <i r="1">
      <x v="7"/>
    </i>
    <i>
      <x v="45"/>
    </i>
    <i r="1">
      <x v="7"/>
    </i>
    <i>
      <x v="46"/>
    </i>
    <i r="1">
      <x v="7"/>
    </i>
    <i>
      <x v="47"/>
    </i>
    <i r="1">
      <x v="7"/>
    </i>
    <i>
      <x v="48"/>
    </i>
    <i r="1">
      <x v="7"/>
    </i>
    <i>
      <x v="49"/>
    </i>
    <i r="1">
      <x v="7"/>
    </i>
    <i>
      <x v="50"/>
    </i>
    <i r="1">
      <x v="7"/>
    </i>
    <i>
      <x v="51"/>
    </i>
    <i r="1">
      <x v="7"/>
    </i>
    <i>
      <x v="52"/>
    </i>
    <i r="1">
      <x v="7"/>
    </i>
    <i>
      <x v="53"/>
    </i>
    <i r="1">
      <x v="7"/>
    </i>
    <i>
      <x v="54"/>
    </i>
    <i r="1">
      <x v="7"/>
    </i>
    <i>
      <x v="55"/>
    </i>
    <i r="1">
      <x v="7"/>
    </i>
    <i>
      <x v="56"/>
    </i>
    <i r="1">
      <x v="7"/>
    </i>
    <i>
      <x v="57"/>
    </i>
    <i r="1">
      <x v="7"/>
    </i>
    <i>
      <x v="58"/>
    </i>
    <i r="1">
      <x v="5"/>
    </i>
    <i r="1">
      <x v="6"/>
    </i>
    <i>
      <x v="59"/>
    </i>
    <i r="1">
      <x v="4"/>
    </i>
    <i>
      <x v="60"/>
    </i>
    <i r="1">
      <x v="10"/>
    </i>
    <i>
      <x v="61"/>
    </i>
    <i r="1">
      <x v="21"/>
    </i>
    <i>
      <x v="62"/>
    </i>
    <i r="1">
      <x v="10"/>
    </i>
    <i r="1">
      <x v="21"/>
    </i>
    <i>
      <x v="63"/>
    </i>
    <i r="1">
      <x v="4"/>
    </i>
    <i r="1">
      <x v="9"/>
    </i>
    <i>
      <x v="64"/>
    </i>
    <i r="1">
      <x/>
    </i>
    <i r="1">
      <x v="10"/>
    </i>
    <i r="1">
      <x v="21"/>
    </i>
    <i>
      <x v="65"/>
    </i>
    <i r="1">
      <x v="21"/>
    </i>
    <i>
      <x v="66"/>
    </i>
    <i r="1">
      <x v="7"/>
    </i>
    <i>
      <x v="67"/>
    </i>
    <i r="1">
      <x v="7"/>
    </i>
    <i>
      <x v="68"/>
    </i>
    <i r="1">
      <x v="7"/>
    </i>
    <i>
      <x v="69"/>
    </i>
    <i r="1">
      <x v="7"/>
    </i>
    <i>
      <x v="70"/>
    </i>
    <i r="1">
      <x v="7"/>
    </i>
    <i>
      <x v="71"/>
    </i>
    <i r="1">
      <x v="11"/>
    </i>
    <i>
      <x v="72"/>
    </i>
    <i r="1">
      <x v="18"/>
    </i>
    <i>
      <x v="73"/>
    </i>
    <i r="1">
      <x v="7"/>
    </i>
    <i>
      <x v="74"/>
    </i>
    <i r="1">
      <x v="5"/>
    </i>
    <i r="1">
      <x v="7"/>
    </i>
    <i>
      <x v="75"/>
    </i>
    <i r="1">
      <x v="20"/>
    </i>
    <i>
      <x v="76"/>
    </i>
    <i r="1">
      <x v="18"/>
    </i>
    <i>
      <x v="77"/>
    </i>
    <i r="1">
      <x v="7"/>
    </i>
    <i>
      <x v="78"/>
    </i>
    <i r="1">
      <x v="7"/>
    </i>
    <i>
      <x v="79"/>
    </i>
    <i r="1">
      <x v="7"/>
    </i>
    <i>
      <x v="80"/>
    </i>
    <i r="1">
      <x v="7"/>
    </i>
    <i>
      <x v="81"/>
    </i>
    <i r="1">
      <x v="7"/>
    </i>
    <i>
      <x v="82"/>
    </i>
    <i r="1">
      <x v="18"/>
    </i>
    <i>
      <x v="83"/>
    </i>
    <i r="1">
      <x v="7"/>
    </i>
    <i>
      <x v="84"/>
    </i>
    <i r="1">
      <x v="7"/>
    </i>
    <i>
      <x v="85"/>
    </i>
    <i r="1">
      <x v="7"/>
    </i>
    <i>
      <x v="86"/>
    </i>
    <i r="1">
      <x v="7"/>
    </i>
    <i>
      <x v="87"/>
    </i>
    <i r="1">
      <x v="5"/>
    </i>
    <i r="1">
      <x v="7"/>
    </i>
    <i>
      <x v="88"/>
    </i>
    <i r="1">
      <x v="7"/>
    </i>
    <i>
      <x v="89"/>
    </i>
    <i r="1">
      <x v="7"/>
    </i>
    <i>
      <x v="90"/>
    </i>
    <i r="1">
      <x v="7"/>
    </i>
    <i>
      <x v="91"/>
    </i>
    <i r="1">
      <x v="7"/>
    </i>
    <i r="1">
      <x v="14"/>
    </i>
    <i>
      <x v="92"/>
    </i>
    <i r="1">
      <x v="7"/>
    </i>
    <i>
      <x v="93"/>
    </i>
    <i r="1">
      <x v="12"/>
    </i>
    <i>
      <x v="94"/>
    </i>
    <i r="1">
      <x v="11"/>
    </i>
    <i r="1">
      <x v="12"/>
    </i>
    <i>
      <x v="95"/>
    </i>
    <i r="1">
      <x v="11"/>
    </i>
    <i>
      <x v="96"/>
    </i>
    <i r="1">
      <x v="21"/>
    </i>
    <i>
      <x v="97"/>
    </i>
    <i r="1">
      <x v="21"/>
    </i>
    <i>
      <x v="98"/>
    </i>
    <i r="1">
      <x v="8"/>
    </i>
    <i r="1">
      <x v="10"/>
    </i>
    <i r="1">
      <x v="12"/>
    </i>
    <i r="1">
      <x v="19"/>
    </i>
    <i r="1">
      <x v="21"/>
    </i>
    <i t="grand">
      <x/>
    </i>
  </rowItems>
  <colItems count="1">
    <i/>
  </colItems>
  <dataFields count="1">
    <dataField name="Aantal van AANLEG-DATU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5" sqref="A5"/>
    </sheetView>
  </sheetViews>
  <sheetFormatPr defaultRowHeight="11.25" x14ac:dyDescent="0.15"/>
  <cols>
    <col min="1" max="1" width="60.375" bestFit="1" customWidth="1"/>
    <col min="2" max="2" width="18.75" customWidth="1"/>
  </cols>
  <sheetData>
    <row r="1" spans="1:2" x14ac:dyDescent="0.15">
      <c r="A1" s="33" t="s">
        <v>8</v>
      </c>
      <c r="B1" t="s">
        <v>99</v>
      </c>
    </row>
    <row r="3" spans="1:2" x14ac:dyDescent="0.15">
      <c r="A3" s="33" t="s">
        <v>433</v>
      </c>
      <c r="B3" t="s">
        <v>435</v>
      </c>
    </row>
    <row r="4" spans="1:2" x14ac:dyDescent="0.15">
      <c r="A4" s="34" t="s">
        <v>73</v>
      </c>
      <c r="B4" s="9">
        <v>8</v>
      </c>
    </row>
    <row r="5" spans="1:2" x14ac:dyDescent="0.15">
      <c r="A5" s="34" t="s">
        <v>391</v>
      </c>
      <c r="B5" s="9">
        <v>43</v>
      </c>
    </row>
    <row r="6" spans="1:2" x14ac:dyDescent="0.15">
      <c r="A6" s="34" t="s">
        <v>213</v>
      </c>
      <c r="B6" s="9">
        <v>4</v>
      </c>
    </row>
    <row r="7" spans="1:2" x14ac:dyDescent="0.15">
      <c r="A7" s="34" t="s">
        <v>151</v>
      </c>
      <c r="B7" s="9">
        <v>3</v>
      </c>
    </row>
    <row r="8" spans="1:2" x14ac:dyDescent="0.15">
      <c r="A8" s="34" t="s">
        <v>349</v>
      </c>
      <c r="B8" s="9">
        <v>2</v>
      </c>
    </row>
    <row r="9" spans="1:2" x14ac:dyDescent="0.15">
      <c r="A9" s="34" t="s">
        <v>434</v>
      </c>
      <c r="B9" s="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6"/>
  <sheetViews>
    <sheetView topLeftCell="A132" workbookViewId="0">
      <selection activeCell="D169" sqref="D169"/>
    </sheetView>
  </sheetViews>
  <sheetFormatPr defaultRowHeight="11.25" x14ac:dyDescent="0.15"/>
  <cols>
    <col min="1" max="1" width="32.125" bestFit="1" customWidth="1"/>
    <col min="2" max="2" width="24.25" bestFit="1" customWidth="1"/>
  </cols>
  <sheetData>
    <row r="3" spans="1:4" x14ac:dyDescent="0.15">
      <c r="A3" s="33" t="s">
        <v>433</v>
      </c>
      <c r="B3" t="s">
        <v>461</v>
      </c>
    </row>
    <row r="4" spans="1:4" x14ac:dyDescent="0.15">
      <c r="A4" s="34">
        <v>25317</v>
      </c>
      <c r="B4" s="9">
        <v>19</v>
      </c>
    </row>
    <row r="5" spans="1:4" x14ac:dyDescent="0.15">
      <c r="A5" s="42" t="s">
        <v>440</v>
      </c>
      <c r="B5" s="9">
        <v>19</v>
      </c>
      <c r="D5">
        <v>1</v>
      </c>
    </row>
    <row r="6" spans="1:4" x14ac:dyDescent="0.15">
      <c r="A6" s="34">
        <v>43095</v>
      </c>
      <c r="B6" s="9">
        <v>21</v>
      </c>
    </row>
    <row r="7" spans="1:4" x14ac:dyDescent="0.15">
      <c r="A7" s="42" t="s">
        <v>452</v>
      </c>
      <c r="B7" s="9">
        <v>10</v>
      </c>
      <c r="D7">
        <v>2</v>
      </c>
    </row>
    <row r="8" spans="1:4" x14ac:dyDescent="0.15">
      <c r="A8" s="42" t="s">
        <v>440</v>
      </c>
      <c r="B8" s="9">
        <v>11</v>
      </c>
      <c r="D8">
        <v>3</v>
      </c>
    </row>
    <row r="9" spans="1:4" x14ac:dyDescent="0.15">
      <c r="A9" s="34">
        <v>43611</v>
      </c>
      <c r="B9" s="9">
        <v>19</v>
      </c>
    </row>
    <row r="10" spans="1:4" x14ac:dyDescent="0.15">
      <c r="A10" s="42" t="s">
        <v>196</v>
      </c>
      <c r="B10" s="9">
        <v>19</v>
      </c>
      <c r="D10">
        <v>4</v>
      </c>
    </row>
    <row r="11" spans="1:4" x14ac:dyDescent="0.15">
      <c r="A11" s="34">
        <v>44004</v>
      </c>
      <c r="B11" s="9">
        <v>2</v>
      </c>
    </row>
    <row r="12" spans="1:4" x14ac:dyDescent="0.15">
      <c r="A12" s="42" t="s">
        <v>51</v>
      </c>
      <c r="B12" s="9">
        <v>1</v>
      </c>
      <c r="D12">
        <v>5</v>
      </c>
    </row>
    <row r="13" spans="1:4" x14ac:dyDescent="0.15">
      <c r="A13" s="42" t="s">
        <v>440</v>
      </c>
      <c r="B13" s="9">
        <v>1</v>
      </c>
      <c r="D13">
        <v>6</v>
      </c>
    </row>
    <row r="14" spans="1:4" x14ac:dyDescent="0.15">
      <c r="A14" s="34">
        <v>44051</v>
      </c>
      <c r="B14" s="9">
        <v>20</v>
      </c>
    </row>
    <row r="15" spans="1:4" x14ac:dyDescent="0.15">
      <c r="A15" s="42" t="s">
        <v>160</v>
      </c>
      <c r="B15" s="9">
        <v>20</v>
      </c>
      <c r="D15">
        <v>7</v>
      </c>
    </row>
    <row r="16" spans="1:4" x14ac:dyDescent="0.15">
      <c r="A16" s="34">
        <v>50405</v>
      </c>
      <c r="B16" s="9">
        <v>4</v>
      </c>
    </row>
    <row r="17" spans="1:4" x14ac:dyDescent="0.15">
      <c r="A17" s="42" t="s">
        <v>196</v>
      </c>
      <c r="B17" s="9">
        <v>4</v>
      </c>
      <c r="D17">
        <v>8</v>
      </c>
    </row>
    <row r="18" spans="1:4" x14ac:dyDescent="0.15">
      <c r="A18" s="34">
        <v>53007</v>
      </c>
      <c r="B18" s="9">
        <v>9</v>
      </c>
    </row>
    <row r="19" spans="1:4" x14ac:dyDescent="0.15">
      <c r="A19" s="42" t="s">
        <v>160</v>
      </c>
      <c r="B19" s="9">
        <v>9</v>
      </c>
      <c r="D19">
        <v>9</v>
      </c>
    </row>
    <row r="20" spans="1:4" x14ac:dyDescent="0.15">
      <c r="A20" s="34">
        <v>53009</v>
      </c>
      <c r="B20" s="9">
        <v>2</v>
      </c>
    </row>
    <row r="21" spans="1:4" x14ac:dyDescent="0.15">
      <c r="A21" s="42" t="s">
        <v>440</v>
      </c>
      <c r="B21" s="9">
        <v>2</v>
      </c>
      <c r="D21">
        <v>10</v>
      </c>
    </row>
    <row r="22" spans="1:4" x14ac:dyDescent="0.15">
      <c r="A22" s="34">
        <v>55031</v>
      </c>
      <c r="B22" s="9">
        <v>15</v>
      </c>
    </row>
    <row r="23" spans="1:4" x14ac:dyDescent="0.15">
      <c r="A23" s="42" t="s">
        <v>53</v>
      </c>
      <c r="B23" s="9">
        <v>1</v>
      </c>
      <c r="D23">
        <v>11</v>
      </c>
    </row>
    <row r="24" spans="1:4" x14ac:dyDescent="0.15">
      <c r="A24" s="42" t="s">
        <v>50</v>
      </c>
      <c r="B24" s="9">
        <v>13</v>
      </c>
      <c r="D24">
        <v>12</v>
      </c>
    </row>
    <row r="25" spans="1:4" x14ac:dyDescent="0.15">
      <c r="A25" s="42" t="s">
        <v>51</v>
      </c>
      <c r="B25" s="9">
        <v>1</v>
      </c>
      <c r="D25">
        <v>13</v>
      </c>
    </row>
    <row r="26" spans="1:4" x14ac:dyDescent="0.15">
      <c r="A26" s="34">
        <v>55302</v>
      </c>
      <c r="B26" s="9">
        <v>4</v>
      </c>
    </row>
    <row r="27" spans="1:4" x14ac:dyDescent="0.15">
      <c r="A27" s="42" t="s">
        <v>444</v>
      </c>
      <c r="B27" s="9">
        <v>1</v>
      </c>
      <c r="D27">
        <v>14</v>
      </c>
    </row>
    <row r="28" spans="1:4" x14ac:dyDescent="0.15">
      <c r="A28" s="42" t="s">
        <v>440</v>
      </c>
      <c r="B28" s="9">
        <v>3</v>
      </c>
      <c r="D28">
        <v>15</v>
      </c>
    </row>
    <row r="29" spans="1:4" x14ac:dyDescent="0.15">
      <c r="A29" s="34">
        <v>55309</v>
      </c>
      <c r="B29" s="9">
        <v>4</v>
      </c>
    </row>
    <row r="30" spans="1:4" x14ac:dyDescent="0.15">
      <c r="A30" s="42" t="s">
        <v>441</v>
      </c>
      <c r="B30" s="9">
        <v>1</v>
      </c>
      <c r="D30">
        <v>16</v>
      </c>
    </row>
    <row r="31" spans="1:4" x14ac:dyDescent="0.15">
      <c r="A31" s="42" t="s">
        <v>440</v>
      </c>
      <c r="B31" s="9">
        <v>3</v>
      </c>
      <c r="D31">
        <v>17</v>
      </c>
    </row>
    <row r="32" spans="1:4" x14ac:dyDescent="0.15">
      <c r="A32" s="34">
        <v>55311</v>
      </c>
      <c r="B32" s="9">
        <v>9</v>
      </c>
    </row>
    <row r="33" spans="1:4" x14ac:dyDescent="0.15">
      <c r="A33" s="42" t="s">
        <v>441</v>
      </c>
      <c r="B33" s="9">
        <v>1</v>
      </c>
      <c r="D33">
        <v>18</v>
      </c>
    </row>
    <row r="34" spans="1:4" x14ac:dyDescent="0.15">
      <c r="A34" s="42" t="s">
        <v>440</v>
      </c>
      <c r="B34" s="9">
        <v>8</v>
      </c>
      <c r="D34">
        <v>19</v>
      </c>
    </row>
    <row r="35" spans="1:4" x14ac:dyDescent="0.15">
      <c r="A35" s="34">
        <v>55312</v>
      </c>
      <c r="B35" s="9">
        <v>16</v>
      </c>
    </row>
    <row r="36" spans="1:4" x14ac:dyDescent="0.15">
      <c r="A36" s="42" t="s">
        <v>160</v>
      </c>
      <c r="B36" s="9">
        <v>16</v>
      </c>
      <c r="D36">
        <v>20</v>
      </c>
    </row>
    <row r="37" spans="1:4" x14ac:dyDescent="0.15">
      <c r="A37" s="34">
        <v>70611</v>
      </c>
      <c r="B37" s="9">
        <v>367</v>
      </c>
    </row>
    <row r="38" spans="1:4" x14ac:dyDescent="0.15">
      <c r="A38" s="42" t="s">
        <v>196</v>
      </c>
      <c r="B38" s="9">
        <v>367</v>
      </c>
      <c r="D38">
        <v>21</v>
      </c>
    </row>
    <row r="39" spans="1:4" x14ac:dyDescent="0.15">
      <c r="A39" s="34">
        <v>73001</v>
      </c>
      <c r="B39" s="9">
        <v>2</v>
      </c>
    </row>
    <row r="40" spans="1:4" x14ac:dyDescent="0.15">
      <c r="A40" s="42" t="s">
        <v>444</v>
      </c>
      <c r="B40" s="9">
        <v>1</v>
      </c>
      <c r="D40">
        <v>22</v>
      </c>
    </row>
    <row r="41" spans="1:4" x14ac:dyDescent="0.15">
      <c r="A41" s="42" t="s">
        <v>440</v>
      </c>
      <c r="B41" s="9">
        <v>1</v>
      </c>
      <c r="D41">
        <v>23</v>
      </c>
    </row>
    <row r="42" spans="1:4" x14ac:dyDescent="0.15">
      <c r="A42" s="34">
        <v>74300</v>
      </c>
      <c r="B42" s="9">
        <v>5</v>
      </c>
    </row>
    <row r="43" spans="1:4" x14ac:dyDescent="0.15">
      <c r="A43" s="42" t="s">
        <v>50</v>
      </c>
      <c r="B43" s="9">
        <v>5</v>
      </c>
      <c r="D43">
        <v>24</v>
      </c>
    </row>
    <row r="44" spans="1:4" x14ac:dyDescent="0.15">
      <c r="A44" s="34">
        <v>74408</v>
      </c>
      <c r="B44" s="9">
        <v>2</v>
      </c>
    </row>
    <row r="45" spans="1:4" x14ac:dyDescent="0.15">
      <c r="A45" s="42" t="s">
        <v>50</v>
      </c>
      <c r="B45" s="9">
        <v>2</v>
      </c>
      <c r="D45">
        <v>25</v>
      </c>
    </row>
    <row r="46" spans="1:4" x14ac:dyDescent="0.15">
      <c r="A46" s="34">
        <v>82807</v>
      </c>
      <c r="B46" s="9">
        <v>40</v>
      </c>
    </row>
    <row r="47" spans="1:4" x14ac:dyDescent="0.15">
      <c r="A47" s="42" t="s">
        <v>51</v>
      </c>
      <c r="B47" s="9">
        <v>40</v>
      </c>
      <c r="D47">
        <v>26</v>
      </c>
    </row>
    <row r="48" spans="1:4" x14ac:dyDescent="0.15">
      <c r="A48" s="34">
        <v>83407</v>
      </c>
      <c r="B48" s="9">
        <v>37</v>
      </c>
    </row>
    <row r="49" spans="1:4" x14ac:dyDescent="0.15">
      <c r="A49" s="42" t="s">
        <v>53</v>
      </c>
      <c r="B49" s="9">
        <v>9</v>
      </c>
      <c r="D49">
        <v>27</v>
      </c>
    </row>
    <row r="50" spans="1:4" x14ac:dyDescent="0.15">
      <c r="A50" s="42" t="s">
        <v>50</v>
      </c>
      <c r="B50" s="9">
        <v>28</v>
      </c>
      <c r="D50">
        <v>28</v>
      </c>
    </row>
    <row r="51" spans="1:4" x14ac:dyDescent="0.15">
      <c r="A51" s="34">
        <v>88407</v>
      </c>
      <c r="B51" s="9">
        <v>17</v>
      </c>
    </row>
    <row r="52" spans="1:4" x14ac:dyDescent="0.15">
      <c r="A52" s="42" t="s">
        <v>50</v>
      </c>
      <c r="B52" s="9">
        <v>13</v>
      </c>
      <c r="D52">
        <v>29</v>
      </c>
    </row>
    <row r="53" spans="1:4" x14ac:dyDescent="0.15">
      <c r="A53" s="42" t="s">
        <v>51</v>
      </c>
      <c r="B53" s="9">
        <v>2</v>
      </c>
      <c r="D53">
        <v>30</v>
      </c>
    </row>
    <row r="54" spans="1:4" x14ac:dyDescent="0.15">
      <c r="A54" s="42" t="s">
        <v>460</v>
      </c>
      <c r="B54" s="9">
        <v>2</v>
      </c>
    </row>
    <row r="55" spans="1:4" x14ac:dyDescent="0.15">
      <c r="A55" s="34">
        <v>91709</v>
      </c>
      <c r="B55" s="9">
        <v>14</v>
      </c>
    </row>
    <row r="56" spans="1:4" x14ac:dyDescent="0.15">
      <c r="A56" s="42" t="s">
        <v>161</v>
      </c>
      <c r="B56" s="9">
        <v>14</v>
      </c>
      <c r="D56">
        <v>31</v>
      </c>
    </row>
    <row r="57" spans="1:4" x14ac:dyDescent="0.15">
      <c r="A57" s="34">
        <v>92909</v>
      </c>
      <c r="B57" s="9">
        <v>1</v>
      </c>
    </row>
    <row r="58" spans="1:4" x14ac:dyDescent="0.15">
      <c r="A58" s="42" t="s">
        <v>161</v>
      </c>
      <c r="B58" s="9">
        <v>1</v>
      </c>
      <c r="D58">
        <v>32</v>
      </c>
    </row>
    <row r="59" spans="1:4" x14ac:dyDescent="0.15">
      <c r="A59" s="34">
        <v>163164</v>
      </c>
      <c r="B59" s="9">
        <v>12</v>
      </c>
    </row>
    <row r="60" spans="1:4" x14ac:dyDescent="0.15">
      <c r="A60" s="42" t="s">
        <v>401</v>
      </c>
      <c r="B60" s="9">
        <v>12</v>
      </c>
      <c r="D60">
        <v>33</v>
      </c>
    </row>
    <row r="61" spans="1:4" x14ac:dyDescent="0.15">
      <c r="A61" s="34">
        <v>163165</v>
      </c>
      <c r="B61" s="9">
        <v>11</v>
      </c>
    </row>
    <row r="62" spans="1:4" x14ac:dyDescent="0.15">
      <c r="A62" s="42" t="s">
        <v>401</v>
      </c>
      <c r="B62" s="9">
        <v>11</v>
      </c>
      <c r="D62">
        <v>34</v>
      </c>
    </row>
    <row r="63" spans="1:4" x14ac:dyDescent="0.15">
      <c r="A63" s="34">
        <v>457135</v>
      </c>
      <c r="B63" s="9">
        <v>4</v>
      </c>
    </row>
    <row r="64" spans="1:4" x14ac:dyDescent="0.15">
      <c r="A64" s="42" t="s">
        <v>401</v>
      </c>
      <c r="B64" s="9">
        <v>4</v>
      </c>
      <c r="D64">
        <v>35</v>
      </c>
    </row>
    <row r="65" spans="1:4" x14ac:dyDescent="0.15">
      <c r="A65" s="34">
        <v>527400</v>
      </c>
      <c r="B65" s="9">
        <v>1</v>
      </c>
    </row>
    <row r="66" spans="1:4" x14ac:dyDescent="0.15">
      <c r="A66" s="42" t="s">
        <v>222</v>
      </c>
      <c r="B66" s="9">
        <v>1</v>
      </c>
      <c r="D66">
        <v>36</v>
      </c>
    </row>
    <row r="67" spans="1:4" x14ac:dyDescent="0.15">
      <c r="A67" s="34">
        <v>527401</v>
      </c>
      <c r="B67" s="9">
        <v>1</v>
      </c>
    </row>
    <row r="68" spans="1:4" x14ac:dyDescent="0.15">
      <c r="A68" s="42" t="s">
        <v>222</v>
      </c>
      <c r="B68" s="9">
        <v>1</v>
      </c>
      <c r="D68">
        <v>37</v>
      </c>
    </row>
    <row r="69" spans="1:4" x14ac:dyDescent="0.15">
      <c r="A69" s="34">
        <v>527402</v>
      </c>
      <c r="B69" s="9">
        <v>1</v>
      </c>
    </row>
    <row r="70" spans="1:4" x14ac:dyDescent="0.15">
      <c r="A70" s="42" t="s">
        <v>222</v>
      </c>
      <c r="B70" s="9">
        <v>1</v>
      </c>
      <c r="D70">
        <v>38</v>
      </c>
    </row>
    <row r="71" spans="1:4" x14ac:dyDescent="0.15">
      <c r="A71" s="34">
        <v>527403</v>
      </c>
      <c r="B71" s="9">
        <v>1</v>
      </c>
    </row>
    <row r="72" spans="1:4" x14ac:dyDescent="0.15">
      <c r="A72" s="42" t="s">
        <v>222</v>
      </c>
      <c r="B72" s="9">
        <v>1</v>
      </c>
      <c r="D72">
        <v>39</v>
      </c>
    </row>
    <row r="73" spans="1:4" x14ac:dyDescent="0.15">
      <c r="A73" s="34">
        <v>527404</v>
      </c>
      <c r="B73" s="9">
        <v>1</v>
      </c>
    </row>
    <row r="74" spans="1:4" x14ac:dyDescent="0.15">
      <c r="A74" s="42" t="s">
        <v>222</v>
      </c>
      <c r="B74" s="9">
        <v>1</v>
      </c>
      <c r="D74">
        <v>40</v>
      </c>
    </row>
    <row r="75" spans="1:4" x14ac:dyDescent="0.15">
      <c r="A75" s="34">
        <v>527405</v>
      </c>
      <c r="B75" s="9">
        <v>1</v>
      </c>
    </row>
    <row r="76" spans="1:4" x14ac:dyDescent="0.15">
      <c r="A76" s="42" t="s">
        <v>222</v>
      </c>
      <c r="B76" s="9">
        <v>1</v>
      </c>
      <c r="D76">
        <v>41</v>
      </c>
    </row>
    <row r="77" spans="1:4" x14ac:dyDescent="0.15">
      <c r="A77" s="34">
        <v>527406</v>
      </c>
      <c r="B77" s="9">
        <v>1</v>
      </c>
    </row>
    <row r="78" spans="1:4" x14ac:dyDescent="0.15">
      <c r="A78" s="42" t="s">
        <v>222</v>
      </c>
      <c r="B78" s="9">
        <v>1</v>
      </c>
      <c r="D78">
        <v>42</v>
      </c>
    </row>
    <row r="79" spans="1:4" x14ac:dyDescent="0.15">
      <c r="A79" s="34">
        <v>527407</v>
      </c>
      <c r="B79" s="9">
        <v>1</v>
      </c>
    </row>
    <row r="80" spans="1:4" x14ac:dyDescent="0.15">
      <c r="A80" s="42" t="s">
        <v>222</v>
      </c>
      <c r="B80" s="9">
        <v>1</v>
      </c>
      <c r="D80">
        <v>43</v>
      </c>
    </row>
    <row r="81" spans="1:4" x14ac:dyDescent="0.15">
      <c r="A81" s="34">
        <v>527408</v>
      </c>
      <c r="B81" s="9">
        <v>1</v>
      </c>
    </row>
    <row r="82" spans="1:4" x14ac:dyDescent="0.15">
      <c r="A82" s="42" t="s">
        <v>222</v>
      </c>
      <c r="B82" s="9">
        <v>1</v>
      </c>
      <c r="D82">
        <v>44</v>
      </c>
    </row>
    <row r="83" spans="1:4" x14ac:dyDescent="0.15">
      <c r="A83" s="34">
        <v>527409</v>
      </c>
      <c r="B83" s="9">
        <v>1</v>
      </c>
    </row>
    <row r="84" spans="1:4" x14ac:dyDescent="0.15">
      <c r="A84" s="42" t="s">
        <v>222</v>
      </c>
      <c r="B84" s="9">
        <v>1</v>
      </c>
      <c r="D84">
        <v>45</v>
      </c>
    </row>
    <row r="85" spans="1:4" x14ac:dyDescent="0.15">
      <c r="A85" s="34">
        <v>527410</v>
      </c>
      <c r="B85" s="9">
        <v>1</v>
      </c>
    </row>
    <row r="86" spans="1:4" x14ac:dyDescent="0.15">
      <c r="A86" s="42" t="s">
        <v>222</v>
      </c>
      <c r="B86" s="9">
        <v>1</v>
      </c>
      <c r="D86">
        <v>46</v>
      </c>
    </row>
    <row r="87" spans="1:4" x14ac:dyDescent="0.15">
      <c r="A87" s="34">
        <v>527411</v>
      </c>
      <c r="B87" s="9">
        <v>1</v>
      </c>
    </row>
    <row r="88" spans="1:4" x14ac:dyDescent="0.15">
      <c r="A88" s="42" t="s">
        <v>222</v>
      </c>
      <c r="B88" s="9">
        <v>1</v>
      </c>
      <c r="D88">
        <v>47</v>
      </c>
    </row>
    <row r="89" spans="1:4" x14ac:dyDescent="0.15">
      <c r="A89" s="34">
        <v>527412</v>
      </c>
      <c r="B89" s="9">
        <v>1</v>
      </c>
    </row>
    <row r="90" spans="1:4" x14ac:dyDescent="0.15">
      <c r="A90" s="42" t="s">
        <v>222</v>
      </c>
      <c r="B90" s="9">
        <v>1</v>
      </c>
      <c r="D90">
        <v>48</v>
      </c>
    </row>
    <row r="91" spans="1:4" x14ac:dyDescent="0.15">
      <c r="A91" s="34">
        <v>527413</v>
      </c>
      <c r="B91" s="9">
        <v>1</v>
      </c>
    </row>
    <row r="92" spans="1:4" x14ac:dyDescent="0.15">
      <c r="A92" s="42" t="s">
        <v>222</v>
      </c>
      <c r="B92" s="9">
        <v>1</v>
      </c>
      <c r="D92">
        <v>49</v>
      </c>
    </row>
    <row r="93" spans="1:4" x14ac:dyDescent="0.15">
      <c r="A93" s="34">
        <v>527414</v>
      </c>
      <c r="B93" s="9">
        <v>1</v>
      </c>
    </row>
    <row r="94" spans="1:4" x14ac:dyDescent="0.15">
      <c r="A94" s="42" t="s">
        <v>222</v>
      </c>
      <c r="B94" s="9">
        <v>1</v>
      </c>
      <c r="D94">
        <v>50</v>
      </c>
    </row>
    <row r="95" spans="1:4" x14ac:dyDescent="0.15">
      <c r="A95" s="34">
        <v>527415</v>
      </c>
      <c r="B95" s="9">
        <v>1</v>
      </c>
    </row>
    <row r="96" spans="1:4" x14ac:dyDescent="0.15">
      <c r="A96" s="42" t="s">
        <v>222</v>
      </c>
      <c r="B96" s="9">
        <v>1</v>
      </c>
      <c r="D96">
        <v>51</v>
      </c>
    </row>
    <row r="97" spans="1:4" x14ac:dyDescent="0.15">
      <c r="A97" s="34">
        <v>527416</v>
      </c>
      <c r="B97" s="9">
        <v>1</v>
      </c>
    </row>
    <row r="98" spans="1:4" x14ac:dyDescent="0.15">
      <c r="A98" s="42" t="s">
        <v>222</v>
      </c>
      <c r="B98" s="9">
        <v>1</v>
      </c>
      <c r="D98">
        <v>52</v>
      </c>
    </row>
    <row r="99" spans="1:4" x14ac:dyDescent="0.15">
      <c r="A99" s="34">
        <v>527417</v>
      </c>
      <c r="B99" s="9">
        <v>1</v>
      </c>
    </row>
    <row r="100" spans="1:4" x14ac:dyDescent="0.15">
      <c r="A100" s="42" t="s">
        <v>222</v>
      </c>
      <c r="B100" s="9">
        <v>1</v>
      </c>
      <c r="D100">
        <v>53</v>
      </c>
    </row>
    <row r="101" spans="1:4" x14ac:dyDescent="0.15">
      <c r="A101" s="34">
        <v>527418</v>
      </c>
      <c r="B101" s="9">
        <v>1</v>
      </c>
    </row>
    <row r="102" spans="1:4" x14ac:dyDescent="0.15">
      <c r="A102" s="42" t="s">
        <v>222</v>
      </c>
      <c r="B102" s="9">
        <v>1</v>
      </c>
      <c r="D102">
        <v>54</v>
      </c>
    </row>
    <row r="103" spans="1:4" x14ac:dyDescent="0.15">
      <c r="A103" s="34">
        <v>527419</v>
      </c>
      <c r="B103" s="9">
        <v>1</v>
      </c>
    </row>
    <row r="104" spans="1:4" x14ac:dyDescent="0.15">
      <c r="A104" s="42" t="s">
        <v>222</v>
      </c>
      <c r="B104" s="9">
        <v>1</v>
      </c>
      <c r="D104">
        <v>55</v>
      </c>
    </row>
    <row r="105" spans="1:4" x14ac:dyDescent="0.15">
      <c r="A105" s="34">
        <v>527420</v>
      </c>
      <c r="B105" s="9">
        <v>1</v>
      </c>
    </row>
    <row r="106" spans="1:4" x14ac:dyDescent="0.15">
      <c r="A106" s="42" t="s">
        <v>222</v>
      </c>
      <c r="B106" s="9">
        <v>1</v>
      </c>
      <c r="D106">
        <v>56</v>
      </c>
    </row>
    <row r="107" spans="1:4" x14ac:dyDescent="0.15">
      <c r="A107" s="34">
        <v>527421</v>
      </c>
      <c r="B107" s="9">
        <v>1</v>
      </c>
    </row>
    <row r="108" spans="1:4" x14ac:dyDescent="0.15">
      <c r="A108" s="42" t="s">
        <v>222</v>
      </c>
      <c r="B108" s="9">
        <v>1</v>
      </c>
      <c r="D108">
        <v>57</v>
      </c>
    </row>
    <row r="109" spans="1:4" x14ac:dyDescent="0.15">
      <c r="A109" s="34">
        <v>527422</v>
      </c>
      <c r="B109" s="9">
        <v>1</v>
      </c>
    </row>
    <row r="110" spans="1:4" x14ac:dyDescent="0.15">
      <c r="A110" s="42" t="s">
        <v>222</v>
      </c>
      <c r="B110" s="9">
        <v>1</v>
      </c>
      <c r="D110">
        <v>58</v>
      </c>
    </row>
    <row r="111" spans="1:4" x14ac:dyDescent="0.15">
      <c r="A111" s="34">
        <v>527423</v>
      </c>
      <c r="B111" s="9">
        <v>1</v>
      </c>
    </row>
    <row r="112" spans="1:4" x14ac:dyDescent="0.15">
      <c r="A112" s="42" t="s">
        <v>222</v>
      </c>
      <c r="B112" s="9">
        <v>1</v>
      </c>
      <c r="D112">
        <v>59</v>
      </c>
    </row>
    <row r="113" spans="1:4" x14ac:dyDescent="0.15">
      <c r="A113" s="34">
        <v>527424</v>
      </c>
      <c r="B113" s="9">
        <v>1</v>
      </c>
    </row>
    <row r="114" spans="1:4" x14ac:dyDescent="0.15">
      <c r="A114" s="42" t="s">
        <v>222</v>
      </c>
      <c r="B114" s="9">
        <v>1</v>
      </c>
      <c r="D114">
        <v>60</v>
      </c>
    </row>
    <row r="115" spans="1:4" x14ac:dyDescent="0.15">
      <c r="A115" s="34">
        <v>527425</v>
      </c>
      <c r="B115" s="9">
        <v>1</v>
      </c>
    </row>
    <row r="116" spans="1:4" x14ac:dyDescent="0.15">
      <c r="A116" s="42" t="s">
        <v>222</v>
      </c>
      <c r="B116" s="9">
        <v>1</v>
      </c>
      <c r="D116">
        <v>61</v>
      </c>
    </row>
    <row r="117" spans="1:4" x14ac:dyDescent="0.15">
      <c r="A117" s="34">
        <v>527426</v>
      </c>
      <c r="B117" s="9">
        <v>1</v>
      </c>
    </row>
    <row r="118" spans="1:4" x14ac:dyDescent="0.15">
      <c r="A118" s="42" t="s">
        <v>222</v>
      </c>
      <c r="B118" s="9">
        <v>1</v>
      </c>
      <c r="D118">
        <v>62</v>
      </c>
    </row>
    <row r="119" spans="1:4" x14ac:dyDescent="0.15">
      <c r="A119" s="34">
        <v>527427</v>
      </c>
      <c r="B119" s="9">
        <v>1</v>
      </c>
    </row>
    <row r="120" spans="1:4" x14ac:dyDescent="0.15">
      <c r="A120" s="42" t="s">
        <v>222</v>
      </c>
      <c r="B120" s="9">
        <v>1</v>
      </c>
      <c r="D120">
        <v>63</v>
      </c>
    </row>
    <row r="121" spans="1:4" x14ac:dyDescent="0.15">
      <c r="A121" s="34">
        <v>527428</v>
      </c>
      <c r="B121" s="9">
        <v>1</v>
      </c>
    </row>
    <row r="122" spans="1:4" x14ac:dyDescent="0.15">
      <c r="A122" s="42" t="s">
        <v>222</v>
      </c>
      <c r="B122" s="9">
        <v>1</v>
      </c>
      <c r="D122">
        <v>64</v>
      </c>
    </row>
    <row r="123" spans="1:4" x14ac:dyDescent="0.15">
      <c r="A123" s="34">
        <v>527429</v>
      </c>
      <c r="B123" s="9">
        <v>1</v>
      </c>
    </row>
    <row r="124" spans="1:4" x14ac:dyDescent="0.15">
      <c r="A124" s="42" t="s">
        <v>222</v>
      </c>
      <c r="B124" s="9">
        <v>1</v>
      </c>
      <c r="D124">
        <v>65</v>
      </c>
    </row>
    <row r="125" spans="1:4" x14ac:dyDescent="0.15">
      <c r="A125" s="34">
        <v>527430</v>
      </c>
      <c r="B125" s="9">
        <v>1</v>
      </c>
    </row>
    <row r="126" spans="1:4" x14ac:dyDescent="0.15">
      <c r="A126" s="42" t="s">
        <v>222</v>
      </c>
      <c r="B126" s="9">
        <v>1</v>
      </c>
      <c r="D126">
        <v>66</v>
      </c>
    </row>
    <row r="127" spans="1:4" x14ac:dyDescent="0.15">
      <c r="A127" s="34">
        <v>527431</v>
      </c>
      <c r="B127" s="9">
        <v>1</v>
      </c>
    </row>
    <row r="128" spans="1:4" x14ac:dyDescent="0.15">
      <c r="A128" s="42" t="s">
        <v>222</v>
      </c>
      <c r="B128" s="9">
        <v>1</v>
      </c>
      <c r="D128">
        <v>67</v>
      </c>
    </row>
    <row r="129" spans="1:4" x14ac:dyDescent="0.15">
      <c r="A129" s="34">
        <v>527432</v>
      </c>
      <c r="B129" s="9">
        <v>1</v>
      </c>
    </row>
    <row r="130" spans="1:4" x14ac:dyDescent="0.15">
      <c r="A130" s="42" t="s">
        <v>222</v>
      </c>
      <c r="B130" s="9">
        <v>1</v>
      </c>
      <c r="D130">
        <v>68</v>
      </c>
    </row>
    <row r="131" spans="1:4" x14ac:dyDescent="0.15">
      <c r="A131" s="34">
        <v>757000</v>
      </c>
      <c r="B131" s="9">
        <v>82</v>
      </c>
    </row>
    <row r="132" spans="1:4" x14ac:dyDescent="0.15">
      <c r="A132" s="42" t="s">
        <v>220</v>
      </c>
      <c r="B132" s="9">
        <v>2</v>
      </c>
      <c r="D132">
        <v>69</v>
      </c>
    </row>
    <row r="133" spans="1:4" x14ac:dyDescent="0.15">
      <c r="A133" s="42" t="s">
        <v>401</v>
      </c>
      <c r="B133" s="9">
        <v>80</v>
      </c>
      <c r="D133">
        <v>70</v>
      </c>
    </row>
    <row r="134" spans="1:4" x14ac:dyDescent="0.15">
      <c r="A134" s="34">
        <v>36330400</v>
      </c>
      <c r="B134" s="9">
        <v>5</v>
      </c>
    </row>
    <row r="135" spans="1:4" x14ac:dyDescent="0.15">
      <c r="A135" s="42" t="s">
        <v>430</v>
      </c>
      <c r="B135" s="9">
        <v>5</v>
      </c>
      <c r="D135">
        <v>71</v>
      </c>
    </row>
    <row r="136" spans="1:4" x14ac:dyDescent="0.15">
      <c r="A136" s="34">
        <v>36330401</v>
      </c>
      <c r="B136" s="9">
        <v>2</v>
      </c>
    </row>
    <row r="137" spans="1:4" x14ac:dyDescent="0.15">
      <c r="A137" s="42" t="s">
        <v>104</v>
      </c>
      <c r="B137" s="9">
        <v>2</v>
      </c>
      <c r="D137">
        <v>72</v>
      </c>
    </row>
    <row r="138" spans="1:4" x14ac:dyDescent="0.15">
      <c r="A138" s="34">
        <v>74303100</v>
      </c>
      <c r="B138" s="9">
        <v>2</v>
      </c>
    </row>
    <row r="139" spans="1:4" x14ac:dyDescent="0.15">
      <c r="A139" s="42" t="s">
        <v>460</v>
      </c>
      <c r="B139" s="9">
        <v>2</v>
      </c>
      <c r="D139">
        <v>73</v>
      </c>
    </row>
    <row r="140" spans="1:4" x14ac:dyDescent="0.15">
      <c r="A140" s="34">
        <v>74304200</v>
      </c>
      <c r="B140" s="9">
        <v>22</v>
      </c>
    </row>
    <row r="141" spans="1:4" x14ac:dyDescent="0.15">
      <c r="A141" s="42" t="s">
        <v>104</v>
      </c>
      <c r="B141" s="9">
        <v>16</v>
      </c>
      <c r="D141">
        <v>74</v>
      </c>
    </row>
    <row r="142" spans="1:4" x14ac:dyDescent="0.15">
      <c r="A142" s="42" t="s">
        <v>460</v>
      </c>
      <c r="B142" s="9">
        <v>6</v>
      </c>
    </row>
    <row r="143" spans="1:4" x14ac:dyDescent="0.15">
      <c r="A143" s="34">
        <v>76300601</v>
      </c>
      <c r="B143" s="9">
        <v>74</v>
      </c>
    </row>
    <row r="144" spans="1:4" x14ac:dyDescent="0.15">
      <c r="A144" s="42" t="s">
        <v>430</v>
      </c>
      <c r="B144" s="9">
        <v>53</v>
      </c>
      <c r="D144">
        <v>75</v>
      </c>
    </row>
    <row r="145" spans="1:4" x14ac:dyDescent="0.15">
      <c r="A145" s="42" t="s">
        <v>429</v>
      </c>
      <c r="B145" s="9">
        <v>21</v>
      </c>
      <c r="D145">
        <v>76</v>
      </c>
    </row>
    <row r="146" spans="1:4" x14ac:dyDescent="0.15">
      <c r="A146" s="34">
        <v>76300602</v>
      </c>
      <c r="B146" s="9">
        <v>31</v>
      </c>
    </row>
    <row r="147" spans="1:4" x14ac:dyDescent="0.15">
      <c r="A147" s="42" t="s">
        <v>44</v>
      </c>
      <c r="B147" s="9">
        <v>1</v>
      </c>
    </row>
    <row r="148" spans="1:4" x14ac:dyDescent="0.15">
      <c r="A148" s="42" t="s">
        <v>104</v>
      </c>
      <c r="B148" s="9">
        <v>19</v>
      </c>
      <c r="D148">
        <v>77</v>
      </c>
    </row>
    <row r="149" spans="1:4" x14ac:dyDescent="0.15">
      <c r="A149" s="42" t="s">
        <v>460</v>
      </c>
      <c r="B149" s="9">
        <v>11</v>
      </c>
    </row>
    <row r="150" spans="1:4" x14ac:dyDescent="0.15">
      <c r="A150" s="34">
        <v>76354300</v>
      </c>
      <c r="B150" s="9">
        <v>3</v>
      </c>
    </row>
    <row r="151" spans="1:4" x14ac:dyDescent="0.15">
      <c r="A151" s="42" t="s">
        <v>460</v>
      </c>
      <c r="B151" s="9">
        <v>3</v>
      </c>
    </row>
    <row r="152" spans="1:4" x14ac:dyDescent="0.15">
      <c r="A152" s="34" t="s">
        <v>348</v>
      </c>
      <c r="B152" s="9">
        <v>1</v>
      </c>
    </row>
    <row r="153" spans="1:4" x14ac:dyDescent="0.15">
      <c r="A153" s="42" t="s">
        <v>222</v>
      </c>
      <c r="B153" s="9">
        <v>1</v>
      </c>
      <c r="D153">
        <v>78</v>
      </c>
    </row>
    <row r="154" spans="1:4" x14ac:dyDescent="0.15">
      <c r="A154" s="34" t="s">
        <v>253</v>
      </c>
      <c r="B154" s="9">
        <v>3</v>
      </c>
    </row>
    <row r="155" spans="1:4" x14ac:dyDescent="0.15">
      <c r="A155" s="42" t="s">
        <v>222</v>
      </c>
      <c r="B155" s="9">
        <v>3</v>
      </c>
    </row>
    <row r="156" spans="1:4" x14ac:dyDescent="0.15">
      <c r="A156" s="34" t="s">
        <v>235</v>
      </c>
      <c r="B156" s="9">
        <v>1</v>
      </c>
    </row>
    <row r="157" spans="1:4" x14ac:dyDescent="0.15">
      <c r="A157" s="42" t="s">
        <v>222</v>
      </c>
      <c r="B157" s="9">
        <v>1</v>
      </c>
      <c r="D157">
        <v>79</v>
      </c>
    </row>
    <row r="158" spans="1:4" x14ac:dyDescent="0.15">
      <c r="A158" s="34" t="s">
        <v>346</v>
      </c>
      <c r="B158" s="9">
        <v>1</v>
      </c>
    </row>
    <row r="159" spans="1:4" x14ac:dyDescent="0.15">
      <c r="A159" s="42" t="s">
        <v>222</v>
      </c>
      <c r="B159" s="9">
        <v>1</v>
      </c>
      <c r="D159">
        <v>80</v>
      </c>
    </row>
    <row r="160" spans="1:4" x14ac:dyDescent="0.15">
      <c r="A160" s="34" t="s">
        <v>336</v>
      </c>
      <c r="B160" s="9">
        <v>6</v>
      </c>
    </row>
    <row r="161" spans="1:2" x14ac:dyDescent="0.15">
      <c r="A161" s="42" t="s">
        <v>222</v>
      </c>
      <c r="B161" s="9">
        <v>6</v>
      </c>
    </row>
    <row r="162" spans="1:2" x14ac:dyDescent="0.15">
      <c r="A162" s="34" t="s">
        <v>46</v>
      </c>
      <c r="B162" s="9">
        <v>1</v>
      </c>
    </row>
    <row r="163" spans="1:2" x14ac:dyDescent="0.15">
      <c r="A163" s="42" t="s">
        <v>50</v>
      </c>
      <c r="B163" s="9">
        <v>1</v>
      </c>
    </row>
    <row r="164" spans="1:2" x14ac:dyDescent="0.15">
      <c r="A164" s="34" t="s">
        <v>197</v>
      </c>
      <c r="B164" s="9">
        <v>1</v>
      </c>
    </row>
    <row r="165" spans="1:2" x14ac:dyDescent="0.15">
      <c r="A165" s="42" t="s">
        <v>196</v>
      </c>
      <c r="B165" s="9">
        <v>1</v>
      </c>
    </row>
    <row r="166" spans="1:2" x14ac:dyDescent="0.15">
      <c r="A166" s="34" t="s">
        <v>347</v>
      </c>
      <c r="B166" s="9">
        <v>2</v>
      </c>
    </row>
    <row r="167" spans="1:2" x14ac:dyDescent="0.15">
      <c r="A167" s="42" t="s">
        <v>222</v>
      </c>
      <c r="B167" s="9">
        <v>2</v>
      </c>
    </row>
    <row r="168" spans="1:2" x14ac:dyDescent="0.15">
      <c r="A168" s="34" t="s">
        <v>231</v>
      </c>
      <c r="B168" s="9">
        <v>15</v>
      </c>
    </row>
    <row r="169" spans="1:2" x14ac:dyDescent="0.15">
      <c r="A169" s="42" t="s">
        <v>220</v>
      </c>
      <c r="B169" s="9">
        <v>2</v>
      </c>
    </row>
    <row r="170" spans="1:2" x14ac:dyDescent="0.15">
      <c r="A170" s="42" t="s">
        <v>222</v>
      </c>
      <c r="B170" s="9">
        <v>13</v>
      </c>
    </row>
    <row r="171" spans="1:2" x14ac:dyDescent="0.15">
      <c r="A171" s="34" t="s">
        <v>431</v>
      </c>
      <c r="B171" s="9">
        <v>1</v>
      </c>
    </row>
    <row r="172" spans="1:2" x14ac:dyDescent="0.15">
      <c r="A172" s="42" t="s">
        <v>432</v>
      </c>
      <c r="B172" s="9">
        <v>1</v>
      </c>
    </row>
    <row r="173" spans="1:2" x14ac:dyDescent="0.15">
      <c r="A173" s="34" t="s">
        <v>200</v>
      </c>
      <c r="B173" s="9">
        <v>1</v>
      </c>
    </row>
    <row r="174" spans="1:2" x14ac:dyDescent="0.15">
      <c r="A174" s="42" t="s">
        <v>196</v>
      </c>
      <c r="B174" s="9">
        <v>1</v>
      </c>
    </row>
    <row r="175" spans="1:2" x14ac:dyDescent="0.15">
      <c r="A175" s="34" t="s">
        <v>340</v>
      </c>
      <c r="B175" s="9">
        <v>15</v>
      </c>
    </row>
    <row r="176" spans="1:2" x14ac:dyDescent="0.15">
      <c r="A176" s="42" t="s">
        <v>222</v>
      </c>
      <c r="B176" s="9">
        <v>15</v>
      </c>
    </row>
    <row r="177" spans="1:2" x14ac:dyDescent="0.15">
      <c r="A177" s="34" t="s">
        <v>339</v>
      </c>
      <c r="B177" s="9">
        <v>7</v>
      </c>
    </row>
    <row r="178" spans="1:2" x14ac:dyDescent="0.15">
      <c r="A178" s="42" t="s">
        <v>222</v>
      </c>
      <c r="B178" s="9">
        <v>7</v>
      </c>
    </row>
    <row r="179" spans="1:2" x14ac:dyDescent="0.15">
      <c r="A179" s="34" t="s">
        <v>341</v>
      </c>
      <c r="B179" s="9">
        <v>24</v>
      </c>
    </row>
    <row r="180" spans="1:2" x14ac:dyDescent="0.15">
      <c r="A180" s="42" t="s">
        <v>222</v>
      </c>
      <c r="B180" s="9">
        <v>24</v>
      </c>
    </row>
    <row r="181" spans="1:2" x14ac:dyDescent="0.15">
      <c r="A181" s="34" t="s">
        <v>342</v>
      </c>
      <c r="B181" s="9">
        <v>5</v>
      </c>
    </row>
    <row r="182" spans="1:2" x14ac:dyDescent="0.15">
      <c r="A182" s="42" t="s">
        <v>222</v>
      </c>
      <c r="B182" s="9">
        <v>5</v>
      </c>
    </row>
    <row r="183" spans="1:2" x14ac:dyDescent="0.15">
      <c r="A183" s="34" t="s">
        <v>345</v>
      </c>
      <c r="B183" s="9">
        <v>5</v>
      </c>
    </row>
    <row r="184" spans="1:2" x14ac:dyDescent="0.15">
      <c r="A184" s="42" t="s">
        <v>222</v>
      </c>
      <c r="B184" s="9">
        <v>5</v>
      </c>
    </row>
    <row r="185" spans="1:2" x14ac:dyDescent="0.15">
      <c r="A185" s="34" t="s">
        <v>202</v>
      </c>
      <c r="B185" s="9">
        <v>2</v>
      </c>
    </row>
    <row r="186" spans="1:2" x14ac:dyDescent="0.15">
      <c r="A186" s="42" t="s">
        <v>196</v>
      </c>
      <c r="B186" s="9">
        <v>2</v>
      </c>
    </row>
    <row r="187" spans="1:2" x14ac:dyDescent="0.15">
      <c r="A187" s="34" t="s">
        <v>335</v>
      </c>
      <c r="B187" s="9">
        <v>36</v>
      </c>
    </row>
    <row r="188" spans="1:2" x14ac:dyDescent="0.15">
      <c r="A188" s="42" t="s">
        <v>222</v>
      </c>
      <c r="B188" s="9">
        <v>36</v>
      </c>
    </row>
    <row r="189" spans="1:2" x14ac:dyDescent="0.15">
      <c r="A189" s="34" t="s">
        <v>337</v>
      </c>
      <c r="B189" s="9">
        <v>1</v>
      </c>
    </row>
    <row r="190" spans="1:2" x14ac:dyDescent="0.15">
      <c r="A190" s="42" t="s">
        <v>222</v>
      </c>
      <c r="B190" s="9">
        <v>1</v>
      </c>
    </row>
    <row r="191" spans="1:2" x14ac:dyDescent="0.15">
      <c r="A191" s="34" t="s">
        <v>252</v>
      </c>
      <c r="B191" s="9">
        <v>6</v>
      </c>
    </row>
    <row r="192" spans="1:2" x14ac:dyDescent="0.15">
      <c r="A192" s="42" t="s">
        <v>222</v>
      </c>
      <c r="B192" s="9">
        <v>6</v>
      </c>
    </row>
    <row r="193" spans="1:2" x14ac:dyDescent="0.15">
      <c r="A193" s="34" t="s">
        <v>338</v>
      </c>
      <c r="B193" s="9">
        <v>6</v>
      </c>
    </row>
    <row r="194" spans="1:2" x14ac:dyDescent="0.15">
      <c r="A194" s="42" t="s">
        <v>222</v>
      </c>
      <c r="B194" s="9">
        <v>6</v>
      </c>
    </row>
    <row r="195" spans="1:2" x14ac:dyDescent="0.15">
      <c r="A195" s="34" t="s">
        <v>226</v>
      </c>
      <c r="B195" s="9">
        <v>186</v>
      </c>
    </row>
    <row r="196" spans="1:2" x14ac:dyDescent="0.15">
      <c r="A196" s="42" t="s">
        <v>220</v>
      </c>
      <c r="B196" s="9">
        <v>34</v>
      </c>
    </row>
    <row r="197" spans="1:2" x14ac:dyDescent="0.15">
      <c r="A197" s="42" t="s">
        <v>222</v>
      </c>
      <c r="B197" s="9">
        <v>152</v>
      </c>
    </row>
    <row r="198" spans="1:2" x14ac:dyDescent="0.15">
      <c r="A198" s="34" t="s">
        <v>223</v>
      </c>
      <c r="B198" s="9">
        <v>2</v>
      </c>
    </row>
    <row r="199" spans="1:2" x14ac:dyDescent="0.15">
      <c r="A199" s="42" t="s">
        <v>222</v>
      </c>
      <c r="B199" s="9">
        <v>2</v>
      </c>
    </row>
    <row r="200" spans="1:2" x14ac:dyDescent="0.15">
      <c r="A200" s="34" t="s">
        <v>344</v>
      </c>
      <c r="B200" s="9">
        <v>3</v>
      </c>
    </row>
    <row r="201" spans="1:2" x14ac:dyDescent="0.15">
      <c r="A201" s="42" t="s">
        <v>222</v>
      </c>
      <c r="B201" s="9">
        <v>3</v>
      </c>
    </row>
    <row r="202" spans="1:2" x14ac:dyDescent="0.15">
      <c r="A202" s="34" t="s">
        <v>254</v>
      </c>
      <c r="B202" s="9">
        <v>13</v>
      </c>
    </row>
    <row r="203" spans="1:2" x14ac:dyDescent="0.15">
      <c r="A203" s="42" t="s">
        <v>222</v>
      </c>
      <c r="B203" s="9">
        <v>13</v>
      </c>
    </row>
    <row r="204" spans="1:2" x14ac:dyDescent="0.15">
      <c r="A204" s="34" t="s">
        <v>225</v>
      </c>
      <c r="B204" s="9">
        <v>2</v>
      </c>
    </row>
    <row r="205" spans="1:2" x14ac:dyDescent="0.15">
      <c r="A205" s="42" t="s">
        <v>222</v>
      </c>
      <c r="B205" s="9">
        <v>1</v>
      </c>
    </row>
    <row r="206" spans="1:2" x14ac:dyDescent="0.15">
      <c r="A206" s="42" t="s">
        <v>457</v>
      </c>
      <c r="B206" s="9">
        <v>1</v>
      </c>
    </row>
    <row r="207" spans="1:2" x14ac:dyDescent="0.15">
      <c r="A207" s="34" t="s">
        <v>343</v>
      </c>
      <c r="B207" s="9">
        <v>2</v>
      </c>
    </row>
    <row r="208" spans="1:2" x14ac:dyDescent="0.15">
      <c r="A208" s="42" t="s">
        <v>222</v>
      </c>
      <c r="B208" s="9">
        <v>2</v>
      </c>
    </row>
    <row r="209" spans="1:2" x14ac:dyDescent="0.15">
      <c r="A209" s="34" t="s">
        <v>49</v>
      </c>
      <c r="B209" s="9">
        <v>6</v>
      </c>
    </row>
    <row r="210" spans="1:2" x14ac:dyDescent="0.15">
      <c r="A210" s="42" t="s">
        <v>51</v>
      </c>
      <c r="B210" s="9">
        <v>6</v>
      </c>
    </row>
    <row r="211" spans="1:2" x14ac:dyDescent="0.15">
      <c r="A211" s="34" t="s">
        <v>48</v>
      </c>
      <c r="B211" s="9">
        <v>24</v>
      </c>
    </row>
    <row r="212" spans="1:2" x14ac:dyDescent="0.15">
      <c r="A212" s="42" t="s">
        <v>50</v>
      </c>
      <c r="B212" s="9">
        <v>3</v>
      </c>
    </row>
    <row r="213" spans="1:2" x14ac:dyDescent="0.15">
      <c r="A213" s="42" t="s">
        <v>51</v>
      </c>
      <c r="B213" s="9">
        <v>21</v>
      </c>
    </row>
    <row r="214" spans="1:2" x14ac:dyDescent="0.15">
      <c r="A214" s="34" t="s">
        <v>47</v>
      </c>
      <c r="B214" s="9">
        <v>9</v>
      </c>
    </row>
    <row r="215" spans="1:2" x14ac:dyDescent="0.15">
      <c r="A215" s="42" t="s">
        <v>50</v>
      </c>
      <c r="B215" s="9">
        <v>9</v>
      </c>
    </row>
    <row r="216" spans="1:2" x14ac:dyDescent="0.15">
      <c r="A216" s="34" t="s">
        <v>146</v>
      </c>
      <c r="B216" s="9">
        <v>2</v>
      </c>
    </row>
    <row r="217" spans="1:2" x14ac:dyDescent="0.15">
      <c r="A217" s="42" t="s">
        <v>460</v>
      </c>
      <c r="B217" s="9">
        <v>2</v>
      </c>
    </row>
    <row r="218" spans="1:2" x14ac:dyDescent="0.15">
      <c r="A218" s="34" t="s">
        <v>147</v>
      </c>
      <c r="B218" s="9">
        <v>1</v>
      </c>
    </row>
    <row r="219" spans="1:2" x14ac:dyDescent="0.15">
      <c r="A219" s="42" t="s">
        <v>460</v>
      </c>
      <c r="B219" s="9">
        <v>1</v>
      </c>
    </row>
    <row r="220" spans="1:2" x14ac:dyDescent="0.15">
      <c r="A220" s="34" t="s">
        <v>460</v>
      </c>
      <c r="B220" s="9">
        <v>932</v>
      </c>
    </row>
    <row r="221" spans="1:2" x14ac:dyDescent="0.15">
      <c r="A221" s="42" t="s">
        <v>154</v>
      </c>
      <c r="B221" s="9">
        <v>13</v>
      </c>
    </row>
    <row r="222" spans="1:2" x14ac:dyDescent="0.15">
      <c r="A222" s="42" t="s">
        <v>104</v>
      </c>
      <c r="B222" s="9">
        <v>1</v>
      </c>
    </row>
    <row r="223" spans="1:2" x14ac:dyDescent="0.15">
      <c r="A223" s="42" t="s">
        <v>51</v>
      </c>
      <c r="B223" s="9">
        <v>1</v>
      </c>
    </row>
    <row r="224" spans="1:2" x14ac:dyDescent="0.15">
      <c r="A224" s="42" t="s">
        <v>215</v>
      </c>
      <c r="B224" s="9">
        <v>4</v>
      </c>
    </row>
    <row r="225" spans="1:2" x14ac:dyDescent="0.15">
      <c r="A225" s="42" t="s">
        <v>460</v>
      </c>
      <c r="B225" s="9">
        <v>913</v>
      </c>
    </row>
    <row r="226" spans="1:2" x14ac:dyDescent="0.15">
      <c r="A226" s="34" t="s">
        <v>434</v>
      </c>
      <c r="B226" s="9">
        <v>2232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235"/>
  <sheetViews>
    <sheetView tabSelected="1" workbookViewId="0">
      <selection activeCell="A9" sqref="A9"/>
    </sheetView>
  </sheetViews>
  <sheetFormatPr defaultRowHeight="11.25" x14ac:dyDescent="0.15"/>
  <cols>
    <col min="1" max="1" width="16.875" bestFit="1" customWidth="1"/>
    <col min="2" max="2" width="10.5" bestFit="1" customWidth="1"/>
    <col min="3" max="3" width="12.875" customWidth="1"/>
    <col min="7" max="7" width="9.625" customWidth="1"/>
    <col min="8" max="8" width="9.875" customWidth="1"/>
    <col min="13" max="13" width="14.875" customWidth="1"/>
    <col min="14" max="14" width="48.125" bestFit="1" customWidth="1"/>
    <col min="15" max="15" width="10.75" customWidth="1"/>
    <col min="16" max="16" width="36.25" bestFit="1" customWidth="1"/>
    <col min="17" max="17" width="26" customWidth="1"/>
    <col min="18" max="18" width="23.5" bestFit="1" customWidth="1"/>
    <col min="19" max="19" width="20" bestFit="1" customWidth="1"/>
    <col min="20" max="20" width="9.75" customWidth="1"/>
    <col min="21" max="21" width="13.75" customWidth="1"/>
  </cols>
  <sheetData>
    <row r="1" spans="1:21" ht="81" x14ac:dyDescent="0.25">
      <c r="A1" s="1" t="s">
        <v>18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>
        <f t="shared" ref="K1:K64" si="0">MIN(G1:H1)</f>
        <v>0</v>
      </c>
      <c r="L1">
        <f t="shared" ref="L1:L64" si="1">MAX(G1:H1)</f>
        <v>0</v>
      </c>
      <c r="M1" s="1" t="s">
        <v>8</v>
      </c>
      <c r="N1" s="1" t="s">
        <v>9</v>
      </c>
      <c r="O1" s="1" t="s">
        <v>14</v>
      </c>
      <c r="P1" s="1" t="s">
        <v>10</v>
      </c>
      <c r="Q1" s="2" t="s">
        <v>15</v>
      </c>
      <c r="R1" s="2" t="s">
        <v>16</v>
      </c>
      <c r="S1" s="1" t="s">
        <v>11</v>
      </c>
      <c r="T1" s="3" t="s">
        <v>12</v>
      </c>
      <c r="U1" s="1" t="s">
        <v>17</v>
      </c>
    </row>
    <row r="2" spans="1:21" x14ac:dyDescent="0.15">
      <c r="A2" s="4" t="s">
        <v>19</v>
      </c>
      <c r="B2" t="s">
        <v>20</v>
      </c>
      <c r="C2" s="6">
        <v>31142564</v>
      </c>
      <c r="D2">
        <v>2</v>
      </c>
      <c r="E2" t="s">
        <v>76</v>
      </c>
      <c r="F2" t="s">
        <v>84</v>
      </c>
      <c r="G2">
        <v>63</v>
      </c>
      <c r="H2">
        <v>63.19</v>
      </c>
      <c r="I2" t="s">
        <v>94</v>
      </c>
      <c r="K2">
        <f t="shared" si="0"/>
        <v>63</v>
      </c>
      <c r="L2">
        <f t="shared" si="1"/>
        <v>63.19</v>
      </c>
      <c r="M2" t="s">
        <v>24</v>
      </c>
      <c r="O2" s="7">
        <v>44400</v>
      </c>
      <c r="P2" s="8" t="s">
        <v>45</v>
      </c>
      <c r="Q2">
        <v>83407</v>
      </c>
      <c r="R2" t="s">
        <v>50</v>
      </c>
      <c r="S2">
        <v>40</v>
      </c>
    </row>
    <row r="3" spans="1:21" x14ac:dyDescent="0.15">
      <c r="A3" s="4" t="s">
        <v>19</v>
      </c>
      <c r="B3" t="s">
        <v>20</v>
      </c>
      <c r="C3" s="6">
        <v>31142564</v>
      </c>
      <c r="D3">
        <v>2</v>
      </c>
      <c r="E3" t="s">
        <v>76</v>
      </c>
      <c r="F3" t="s">
        <v>84</v>
      </c>
      <c r="G3">
        <v>63.734999999999999</v>
      </c>
      <c r="H3">
        <v>63.8</v>
      </c>
      <c r="I3" t="s">
        <v>94</v>
      </c>
      <c r="K3">
        <f t="shared" si="0"/>
        <v>63.734999999999999</v>
      </c>
      <c r="L3">
        <f t="shared" si="1"/>
        <v>63.8</v>
      </c>
      <c r="M3" t="s">
        <v>25</v>
      </c>
      <c r="O3" s="7">
        <v>44400</v>
      </c>
      <c r="Q3">
        <v>55031</v>
      </c>
      <c r="R3" t="s">
        <v>50</v>
      </c>
      <c r="S3">
        <v>40</v>
      </c>
    </row>
    <row r="4" spans="1:21" x14ac:dyDescent="0.15">
      <c r="A4" s="4" t="s">
        <v>19</v>
      </c>
      <c r="B4" t="s">
        <v>20</v>
      </c>
      <c r="C4" s="6">
        <v>31142564</v>
      </c>
      <c r="D4">
        <v>2</v>
      </c>
      <c r="E4" t="s">
        <v>76</v>
      </c>
      <c r="F4" t="s">
        <v>84</v>
      </c>
      <c r="G4">
        <v>63.9</v>
      </c>
      <c r="H4">
        <v>64.3</v>
      </c>
      <c r="I4" t="s">
        <v>96</v>
      </c>
      <c r="K4">
        <f t="shared" si="0"/>
        <v>63.9</v>
      </c>
      <c r="L4">
        <f t="shared" si="1"/>
        <v>64.3</v>
      </c>
      <c r="M4" t="s">
        <v>25</v>
      </c>
      <c r="O4" s="7">
        <v>44400</v>
      </c>
      <c r="Q4">
        <v>55031</v>
      </c>
      <c r="R4" t="s">
        <v>50</v>
      </c>
      <c r="S4">
        <v>98</v>
      </c>
    </row>
    <row r="5" spans="1:21" x14ac:dyDescent="0.15">
      <c r="A5" s="4" t="s">
        <v>19</v>
      </c>
      <c r="B5" t="s">
        <v>20</v>
      </c>
      <c r="C5" s="6">
        <v>31142564</v>
      </c>
      <c r="D5">
        <v>2</v>
      </c>
      <c r="E5" t="s">
        <v>76</v>
      </c>
      <c r="F5" t="s">
        <v>84</v>
      </c>
      <c r="G5">
        <v>64.599999999999994</v>
      </c>
      <c r="H5">
        <v>64.7</v>
      </c>
      <c r="I5" t="s">
        <v>98</v>
      </c>
      <c r="K5">
        <f t="shared" si="0"/>
        <v>64.599999999999994</v>
      </c>
      <c r="L5">
        <f t="shared" si="1"/>
        <v>64.7</v>
      </c>
      <c r="M5" t="s">
        <v>25</v>
      </c>
      <c r="N5" t="s">
        <v>31</v>
      </c>
      <c r="O5" s="7">
        <v>44400</v>
      </c>
      <c r="Q5">
        <v>55031</v>
      </c>
      <c r="R5" t="s">
        <v>50</v>
      </c>
    </row>
    <row r="6" spans="1:21" x14ac:dyDescent="0.15">
      <c r="A6" s="4" t="s">
        <v>19</v>
      </c>
      <c r="B6" t="s">
        <v>20</v>
      </c>
      <c r="C6" s="6">
        <v>31142564</v>
      </c>
      <c r="D6">
        <v>27</v>
      </c>
      <c r="E6" t="s">
        <v>75</v>
      </c>
      <c r="G6">
        <v>69.984999999999999</v>
      </c>
      <c r="H6">
        <v>70.099999999999994</v>
      </c>
      <c r="I6" t="s">
        <v>181</v>
      </c>
      <c r="K6">
        <f t="shared" si="0"/>
        <v>69.984999999999999</v>
      </c>
      <c r="L6">
        <f t="shared" si="1"/>
        <v>70.099999999999994</v>
      </c>
      <c r="M6" t="s">
        <v>24</v>
      </c>
      <c r="O6" s="7">
        <v>44391</v>
      </c>
      <c r="Q6">
        <v>83407</v>
      </c>
      <c r="R6" t="s">
        <v>50</v>
      </c>
      <c r="S6">
        <v>25</v>
      </c>
    </row>
    <row r="7" spans="1:21" x14ac:dyDescent="0.15">
      <c r="A7" s="4" t="s">
        <v>19</v>
      </c>
      <c r="B7" t="s">
        <v>20</v>
      </c>
      <c r="C7" s="6">
        <v>31142564</v>
      </c>
      <c r="D7">
        <v>27</v>
      </c>
      <c r="E7" t="s">
        <v>76</v>
      </c>
      <c r="F7" t="s">
        <v>77</v>
      </c>
      <c r="G7">
        <v>103.8</v>
      </c>
      <c r="H7">
        <v>103.23</v>
      </c>
      <c r="J7" t="s">
        <v>23</v>
      </c>
      <c r="K7">
        <f t="shared" si="0"/>
        <v>103.23</v>
      </c>
      <c r="L7">
        <f t="shared" si="1"/>
        <v>103.8</v>
      </c>
      <c r="M7" t="s">
        <v>26</v>
      </c>
      <c r="O7" s="7">
        <v>44391</v>
      </c>
      <c r="Q7">
        <v>74300</v>
      </c>
      <c r="R7" t="s">
        <v>50</v>
      </c>
      <c r="S7">
        <v>637</v>
      </c>
    </row>
    <row r="8" spans="1:21" x14ac:dyDescent="0.15">
      <c r="A8" s="4" t="s">
        <v>19</v>
      </c>
      <c r="B8" t="s">
        <v>20</v>
      </c>
      <c r="C8" s="6">
        <v>31142564</v>
      </c>
      <c r="D8">
        <v>27</v>
      </c>
      <c r="E8" t="s">
        <v>76</v>
      </c>
      <c r="F8" t="s">
        <v>80</v>
      </c>
      <c r="G8">
        <v>100.27</v>
      </c>
      <c r="H8">
        <v>99.93</v>
      </c>
      <c r="J8" t="s">
        <v>23</v>
      </c>
      <c r="K8">
        <f t="shared" si="0"/>
        <v>99.93</v>
      </c>
      <c r="L8">
        <f t="shared" si="1"/>
        <v>100.27</v>
      </c>
      <c r="M8" t="s">
        <v>26</v>
      </c>
      <c r="O8" s="7">
        <v>44391</v>
      </c>
      <c r="Q8">
        <v>74300</v>
      </c>
      <c r="R8" t="s">
        <v>50</v>
      </c>
      <c r="S8">
        <v>280</v>
      </c>
    </row>
    <row r="9" spans="1:21" x14ac:dyDescent="0.15">
      <c r="A9" s="4" t="s">
        <v>19</v>
      </c>
      <c r="B9" t="s">
        <v>20</v>
      </c>
      <c r="C9" s="5">
        <v>31142564</v>
      </c>
      <c r="D9">
        <v>27</v>
      </c>
      <c r="E9" t="s">
        <v>76</v>
      </c>
      <c r="F9" t="s">
        <v>77</v>
      </c>
      <c r="G9">
        <v>100.4</v>
      </c>
      <c r="H9">
        <v>99.91</v>
      </c>
      <c r="J9" t="s">
        <v>23</v>
      </c>
      <c r="K9">
        <f t="shared" si="0"/>
        <v>99.91</v>
      </c>
      <c r="L9">
        <f t="shared" si="1"/>
        <v>100.4</v>
      </c>
      <c r="M9" t="s">
        <v>26</v>
      </c>
      <c r="O9" s="7">
        <v>44391</v>
      </c>
      <c r="Q9">
        <v>74300</v>
      </c>
      <c r="R9" t="s">
        <v>50</v>
      </c>
      <c r="S9">
        <v>432</v>
      </c>
    </row>
    <row r="10" spans="1:21" x14ac:dyDescent="0.15">
      <c r="A10" s="4" t="s">
        <v>19</v>
      </c>
      <c r="B10" t="s">
        <v>20</v>
      </c>
      <c r="C10" s="5">
        <v>31142564</v>
      </c>
      <c r="D10">
        <v>27</v>
      </c>
      <c r="E10" t="s">
        <v>74</v>
      </c>
      <c r="G10">
        <v>80.984999999999999</v>
      </c>
      <c r="H10">
        <v>80.900000000000006</v>
      </c>
      <c r="I10" t="s">
        <v>92</v>
      </c>
      <c r="K10">
        <f t="shared" si="0"/>
        <v>80.900000000000006</v>
      </c>
      <c r="L10">
        <f t="shared" si="1"/>
        <v>80.984999999999999</v>
      </c>
      <c r="M10" t="s">
        <v>24</v>
      </c>
      <c r="O10" s="7">
        <v>44391</v>
      </c>
      <c r="Q10">
        <v>83407</v>
      </c>
      <c r="R10" t="s">
        <v>50</v>
      </c>
      <c r="S10">
        <v>25</v>
      </c>
    </row>
    <row r="11" spans="1:21" x14ac:dyDescent="0.15">
      <c r="A11" s="4" t="s">
        <v>19</v>
      </c>
      <c r="B11" t="s">
        <v>20</v>
      </c>
      <c r="C11" s="5">
        <v>31142564</v>
      </c>
      <c r="D11">
        <v>27</v>
      </c>
      <c r="E11" t="s">
        <v>74</v>
      </c>
      <c r="G11">
        <v>78.010000000000005</v>
      </c>
      <c r="H11">
        <v>77.504999999999995</v>
      </c>
      <c r="I11" t="s">
        <v>92</v>
      </c>
      <c r="K11">
        <f t="shared" si="0"/>
        <v>77.504999999999995</v>
      </c>
      <c r="L11">
        <f t="shared" si="1"/>
        <v>78.010000000000005</v>
      </c>
      <c r="M11" t="s">
        <v>27</v>
      </c>
      <c r="O11" s="7">
        <v>44391</v>
      </c>
      <c r="Q11" t="s">
        <v>46</v>
      </c>
      <c r="R11" t="s">
        <v>50</v>
      </c>
      <c r="S11" t="s">
        <v>55</v>
      </c>
    </row>
    <row r="12" spans="1:21" x14ac:dyDescent="0.15">
      <c r="A12" s="4" t="s">
        <v>19</v>
      </c>
      <c r="B12" t="s">
        <v>20</v>
      </c>
      <c r="C12" s="6">
        <v>31142564</v>
      </c>
      <c r="D12">
        <v>27</v>
      </c>
      <c r="E12" t="s">
        <v>76</v>
      </c>
      <c r="F12" t="s">
        <v>89</v>
      </c>
      <c r="G12">
        <v>70.995000000000005</v>
      </c>
      <c r="H12">
        <v>70.650000000000006</v>
      </c>
      <c r="J12" t="s">
        <v>23</v>
      </c>
      <c r="K12">
        <f t="shared" si="0"/>
        <v>70.650000000000006</v>
      </c>
      <c r="L12">
        <f t="shared" si="1"/>
        <v>70.995000000000005</v>
      </c>
      <c r="M12" t="s">
        <v>25</v>
      </c>
      <c r="O12" s="7">
        <v>44391</v>
      </c>
      <c r="Q12">
        <v>55031</v>
      </c>
      <c r="R12" t="s">
        <v>50</v>
      </c>
      <c r="S12">
        <v>266</v>
      </c>
    </row>
    <row r="13" spans="1:21" x14ac:dyDescent="0.15">
      <c r="A13" s="4" t="s">
        <v>19</v>
      </c>
      <c r="B13" t="s">
        <v>20</v>
      </c>
      <c r="C13" s="6">
        <v>31142564</v>
      </c>
      <c r="D13">
        <v>27</v>
      </c>
      <c r="E13" t="s">
        <v>74</v>
      </c>
      <c r="G13">
        <v>64.685000000000002</v>
      </c>
      <c r="H13">
        <v>64.599999999999994</v>
      </c>
      <c r="I13" t="s">
        <v>182</v>
      </c>
      <c r="K13">
        <f t="shared" si="0"/>
        <v>64.599999999999994</v>
      </c>
      <c r="L13">
        <f t="shared" si="1"/>
        <v>64.685000000000002</v>
      </c>
      <c r="M13" t="s">
        <v>26</v>
      </c>
      <c r="O13" s="7">
        <v>44391</v>
      </c>
      <c r="P13" t="s">
        <v>40</v>
      </c>
      <c r="Q13">
        <v>74408</v>
      </c>
      <c r="R13" t="s">
        <v>50</v>
      </c>
      <c r="S13">
        <v>56</v>
      </c>
    </row>
    <row r="14" spans="1:21" x14ac:dyDescent="0.15">
      <c r="A14" s="4" t="s">
        <v>19</v>
      </c>
      <c r="B14" t="s">
        <v>20</v>
      </c>
      <c r="C14" s="6">
        <v>31142564</v>
      </c>
      <c r="D14">
        <v>28</v>
      </c>
      <c r="E14" t="s">
        <v>76</v>
      </c>
      <c r="F14" t="s">
        <v>85</v>
      </c>
      <c r="G14">
        <v>1.1000000000000001</v>
      </c>
      <c r="H14">
        <v>1.4</v>
      </c>
      <c r="J14" t="s">
        <v>23</v>
      </c>
      <c r="K14">
        <f t="shared" si="0"/>
        <v>1.1000000000000001</v>
      </c>
      <c r="L14">
        <f t="shared" si="1"/>
        <v>1.4</v>
      </c>
      <c r="M14" t="s">
        <v>28</v>
      </c>
      <c r="O14" s="7">
        <v>44397</v>
      </c>
      <c r="P14" t="s">
        <v>41</v>
      </c>
      <c r="Q14">
        <v>88407</v>
      </c>
      <c r="R14" t="s">
        <v>50</v>
      </c>
      <c r="S14">
        <v>192</v>
      </c>
    </row>
    <row r="15" spans="1:21" x14ac:dyDescent="0.15">
      <c r="A15" s="4" t="s">
        <v>19</v>
      </c>
      <c r="B15" t="s">
        <v>20</v>
      </c>
      <c r="C15" s="6">
        <v>31142564</v>
      </c>
      <c r="D15">
        <v>28</v>
      </c>
      <c r="E15" t="s">
        <v>75</v>
      </c>
      <c r="G15">
        <v>6.8</v>
      </c>
      <c r="H15">
        <v>6.9</v>
      </c>
      <c r="I15" t="s">
        <v>181</v>
      </c>
      <c r="K15">
        <f t="shared" si="0"/>
        <v>6.8</v>
      </c>
      <c r="L15">
        <f t="shared" si="1"/>
        <v>6.9</v>
      </c>
      <c r="M15" t="s">
        <v>27</v>
      </c>
      <c r="N15" t="s">
        <v>32</v>
      </c>
      <c r="O15" s="7">
        <v>44391</v>
      </c>
      <c r="Q15" t="s">
        <v>47</v>
      </c>
      <c r="R15" t="s">
        <v>50</v>
      </c>
      <c r="S15" t="s">
        <v>56</v>
      </c>
    </row>
    <row r="16" spans="1:21" x14ac:dyDescent="0.15">
      <c r="A16" s="4" t="s">
        <v>19</v>
      </c>
      <c r="B16" t="s">
        <v>20</v>
      </c>
      <c r="C16" s="6">
        <v>31142564</v>
      </c>
      <c r="D16">
        <v>28</v>
      </c>
      <c r="E16" t="s">
        <v>75</v>
      </c>
      <c r="G16">
        <v>6.9</v>
      </c>
      <c r="H16">
        <v>7.05</v>
      </c>
      <c r="I16" t="s">
        <v>181</v>
      </c>
      <c r="K16">
        <f t="shared" si="0"/>
        <v>6.9</v>
      </c>
      <c r="L16">
        <f t="shared" si="1"/>
        <v>7.05</v>
      </c>
      <c r="M16" t="s">
        <v>24</v>
      </c>
      <c r="O16" s="7">
        <v>44391</v>
      </c>
      <c r="Q16">
        <v>83407</v>
      </c>
      <c r="R16" t="s">
        <v>50</v>
      </c>
      <c r="S16">
        <v>31</v>
      </c>
    </row>
    <row r="17" spans="1:19" x14ac:dyDescent="0.15">
      <c r="A17" s="4" t="s">
        <v>19</v>
      </c>
      <c r="B17" t="s">
        <v>20</v>
      </c>
      <c r="C17" s="6">
        <v>31142564</v>
      </c>
      <c r="D17">
        <v>28</v>
      </c>
      <c r="E17" t="s">
        <v>75</v>
      </c>
      <c r="G17">
        <v>17.3</v>
      </c>
      <c r="H17">
        <v>17.420000000000002</v>
      </c>
      <c r="I17" t="s">
        <v>181</v>
      </c>
      <c r="K17">
        <f t="shared" si="0"/>
        <v>17.3</v>
      </c>
      <c r="L17">
        <f t="shared" si="1"/>
        <v>17.420000000000002</v>
      </c>
      <c r="M17" t="s">
        <v>27</v>
      </c>
      <c r="N17" t="s">
        <v>33</v>
      </c>
      <c r="O17" s="7">
        <v>44391</v>
      </c>
      <c r="Q17" t="s">
        <v>47</v>
      </c>
      <c r="R17" t="s">
        <v>50</v>
      </c>
      <c r="S17" t="s">
        <v>57</v>
      </c>
    </row>
    <row r="18" spans="1:19" x14ac:dyDescent="0.15">
      <c r="A18" s="4" t="s">
        <v>19</v>
      </c>
      <c r="B18" t="s">
        <v>20</v>
      </c>
      <c r="C18" s="5">
        <v>31142564</v>
      </c>
      <c r="D18">
        <v>28</v>
      </c>
      <c r="E18" t="s">
        <v>76</v>
      </c>
      <c r="F18" t="s">
        <v>87</v>
      </c>
      <c r="G18">
        <v>0.6</v>
      </c>
      <c r="H18">
        <v>0.35</v>
      </c>
      <c r="I18" t="s">
        <v>92</v>
      </c>
      <c r="K18">
        <f t="shared" si="0"/>
        <v>0.35</v>
      </c>
      <c r="L18">
        <f t="shared" si="1"/>
        <v>0.6</v>
      </c>
      <c r="M18" t="s">
        <v>28</v>
      </c>
      <c r="O18" s="7">
        <v>44393</v>
      </c>
      <c r="P18" t="s">
        <v>42</v>
      </c>
      <c r="Q18">
        <v>88407</v>
      </c>
      <c r="R18" t="s">
        <v>50</v>
      </c>
      <c r="S18">
        <v>100</v>
      </c>
    </row>
    <row r="19" spans="1:19" x14ac:dyDescent="0.15">
      <c r="A19" s="4" t="s">
        <v>19</v>
      </c>
      <c r="B19" t="s">
        <v>20</v>
      </c>
      <c r="C19" s="5">
        <v>31142564</v>
      </c>
      <c r="D19">
        <v>28</v>
      </c>
      <c r="E19" t="s">
        <v>76</v>
      </c>
      <c r="F19" t="s">
        <v>87</v>
      </c>
      <c r="G19">
        <v>0.58499999999999996</v>
      </c>
      <c r="H19">
        <v>0.35</v>
      </c>
      <c r="I19" t="s">
        <v>95</v>
      </c>
      <c r="K19">
        <f t="shared" si="0"/>
        <v>0.35</v>
      </c>
      <c r="L19">
        <f t="shared" si="1"/>
        <v>0.58499999999999996</v>
      </c>
      <c r="M19" t="s">
        <v>28</v>
      </c>
      <c r="O19" s="7">
        <v>44393</v>
      </c>
      <c r="P19" t="s">
        <v>42</v>
      </c>
      <c r="Q19">
        <v>88407</v>
      </c>
      <c r="R19" t="s">
        <v>50</v>
      </c>
      <c r="S19">
        <v>100</v>
      </c>
    </row>
    <row r="20" spans="1:19" x14ac:dyDescent="0.15">
      <c r="A20" s="4" t="s">
        <v>19</v>
      </c>
      <c r="B20" t="s">
        <v>20</v>
      </c>
      <c r="C20" s="5">
        <v>31142564</v>
      </c>
      <c r="D20">
        <v>28</v>
      </c>
      <c r="E20" t="s">
        <v>76</v>
      </c>
      <c r="F20" t="s">
        <v>87</v>
      </c>
      <c r="G20">
        <v>0.58499999999999996</v>
      </c>
      <c r="H20">
        <v>0.35</v>
      </c>
      <c r="I20" t="s">
        <v>90</v>
      </c>
      <c r="K20">
        <f t="shared" si="0"/>
        <v>0.35</v>
      </c>
      <c r="L20">
        <f t="shared" si="1"/>
        <v>0.58499999999999996</v>
      </c>
      <c r="M20" t="s">
        <v>28</v>
      </c>
      <c r="O20" s="7">
        <v>44393</v>
      </c>
      <c r="P20" t="s">
        <v>42</v>
      </c>
      <c r="Q20">
        <v>88407</v>
      </c>
      <c r="R20" t="s">
        <v>50</v>
      </c>
      <c r="S20">
        <v>110</v>
      </c>
    </row>
    <row r="21" spans="1:19" x14ac:dyDescent="0.15">
      <c r="A21" s="4" t="s">
        <v>19</v>
      </c>
      <c r="B21" t="s">
        <v>20</v>
      </c>
      <c r="C21" s="5">
        <v>31142564</v>
      </c>
      <c r="D21">
        <v>28</v>
      </c>
      <c r="E21" t="s">
        <v>76</v>
      </c>
      <c r="F21" t="s">
        <v>87</v>
      </c>
      <c r="G21">
        <v>0.32</v>
      </c>
      <c r="H21">
        <v>0.17499999999999999</v>
      </c>
      <c r="I21" t="s">
        <v>92</v>
      </c>
      <c r="K21">
        <f t="shared" si="0"/>
        <v>0.17499999999999999</v>
      </c>
      <c r="L21">
        <f t="shared" si="1"/>
        <v>0.32</v>
      </c>
      <c r="M21" t="s">
        <v>27</v>
      </c>
      <c r="O21" s="7">
        <v>44393</v>
      </c>
      <c r="Q21" t="s">
        <v>47</v>
      </c>
      <c r="R21" t="s">
        <v>50</v>
      </c>
      <c r="S21" t="s">
        <v>58</v>
      </c>
    </row>
    <row r="22" spans="1:19" x14ac:dyDescent="0.15">
      <c r="A22" s="4" t="s">
        <v>19</v>
      </c>
      <c r="B22" t="s">
        <v>20</v>
      </c>
      <c r="C22" s="5">
        <v>31142564</v>
      </c>
      <c r="D22">
        <v>28</v>
      </c>
      <c r="E22" t="s">
        <v>76</v>
      </c>
      <c r="F22" t="s">
        <v>87</v>
      </c>
      <c r="G22">
        <v>0.125</v>
      </c>
      <c r="H22">
        <v>0</v>
      </c>
      <c r="I22" t="s">
        <v>92</v>
      </c>
      <c r="K22">
        <f t="shared" si="0"/>
        <v>0</v>
      </c>
      <c r="L22">
        <f t="shared" si="1"/>
        <v>0.125</v>
      </c>
      <c r="M22" t="s">
        <v>24</v>
      </c>
      <c r="O22" s="7">
        <v>44393</v>
      </c>
      <c r="Q22">
        <v>83407</v>
      </c>
      <c r="R22" t="s">
        <v>50</v>
      </c>
      <c r="S22">
        <v>33</v>
      </c>
    </row>
    <row r="23" spans="1:19" x14ac:dyDescent="0.15">
      <c r="A23" s="4" t="s">
        <v>19</v>
      </c>
      <c r="B23" t="s">
        <v>20</v>
      </c>
      <c r="C23" s="6">
        <v>31142564</v>
      </c>
      <c r="D23">
        <v>2</v>
      </c>
      <c r="E23" t="s">
        <v>76</v>
      </c>
      <c r="F23" t="s">
        <v>88</v>
      </c>
      <c r="G23">
        <v>68.64</v>
      </c>
      <c r="H23">
        <v>68.875</v>
      </c>
      <c r="J23" t="s">
        <v>23</v>
      </c>
      <c r="K23">
        <f t="shared" si="0"/>
        <v>68.64</v>
      </c>
      <c r="L23">
        <f t="shared" si="1"/>
        <v>68.875</v>
      </c>
      <c r="M23" t="s">
        <v>28</v>
      </c>
      <c r="O23" s="7">
        <v>44452</v>
      </c>
      <c r="P23" t="s">
        <v>43</v>
      </c>
      <c r="Q23">
        <v>88407</v>
      </c>
      <c r="R23" t="s">
        <v>50</v>
      </c>
      <c r="S23">
        <v>155</v>
      </c>
    </row>
    <row r="24" spans="1:19" x14ac:dyDescent="0.15">
      <c r="A24" s="4" t="s">
        <v>19</v>
      </c>
      <c r="B24" t="s">
        <v>20</v>
      </c>
      <c r="C24" s="6">
        <v>31142564</v>
      </c>
      <c r="D24">
        <v>2</v>
      </c>
      <c r="E24" t="s">
        <v>75</v>
      </c>
      <c r="G24">
        <v>71.305000000000007</v>
      </c>
      <c r="H24">
        <v>71.849999999999994</v>
      </c>
      <c r="I24" t="s">
        <v>186</v>
      </c>
      <c r="K24">
        <f t="shared" si="0"/>
        <v>71.305000000000007</v>
      </c>
      <c r="L24">
        <f t="shared" si="1"/>
        <v>71.849999999999994</v>
      </c>
      <c r="M24" t="s">
        <v>27</v>
      </c>
      <c r="O24" s="7">
        <v>44448</v>
      </c>
      <c r="Q24" t="s">
        <v>47</v>
      </c>
      <c r="R24" t="s">
        <v>50</v>
      </c>
      <c r="S24" t="s">
        <v>59</v>
      </c>
    </row>
    <row r="25" spans="1:19" x14ac:dyDescent="0.15">
      <c r="A25" s="4" t="s">
        <v>19</v>
      </c>
      <c r="B25" t="s">
        <v>20</v>
      </c>
      <c r="C25" s="6">
        <v>31142564</v>
      </c>
      <c r="D25">
        <v>2</v>
      </c>
      <c r="E25" t="s">
        <v>75</v>
      </c>
      <c r="G25">
        <v>71.849999999999994</v>
      </c>
      <c r="H25">
        <v>72.2</v>
      </c>
      <c r="I25" t="s">
        <v>186</v>
      </c>
      <c r="K25">
        <f t="shared" si="0"/>
        <v>71.849999999999994</v>
      </c>
      <c r="L25">
        <f t="shared" si="1"/>
        <v>72.2</v>
      </c>
      <c r="M25" t="s">
        <v>24</v>
      </c>
      <c r="O25" s="7">
        <v>44448</v>
      </c>
      <c r="Q25">
        <v>83407</v>
      </c>
      <c r="R25" t="s">
        <v>50</v>
      </c>
      <c r="S25">
        <v>87</v>
      </c>
    </row>
    <row r="26" spans="1:19" x14ac:dyDescent="0.15">
      <c r="A26" s="4" t="s">
        <v>19</v>
      </c>
      <c r="B26" t="s">
        <v>20</v>
      </c>
      <c r="C26" s="6">
        <v>31142564</v>
      </c>
      <c r="D26">
        <v>2</v>
      </c>
      <c r="E26" t="s">
        <v>76</v>
      </c>
      <c r="F26" t="s">
        <v>88</v>
      </c>
      <c r="G26">
        <v>72.674999999999997</v>
      </c>
      <c r="H26">
        <v>72.885000000000005</v>
      </c>
      <c r="J26" t="s">
        <v>23</v>
      </c>
      <c r="K26">
        <f t="shared" si="0"/>
        <v>72.674999999999997</v>
      </c>
      <c r="L26">
        <f t="shared" si="1"/>
        <v>72.885000000000005</v>
      </c>
      <c r="M26" t="s">
        <v>28</v>
      </c>
      <c r="O26" s="7">
        <v>44425</v>
      </c>
      <c r="P26" t="s">
        <v>43</v>
      </c>
      <c r="Q26">
        <v>88407</v>
      </c>
      <c r="R26" t="s">
        <v>50</v>
      </c>
      <c r="S26">
        <v>146</v>
      </c>
    </row>
    <row r="27" spans="1:19" x14ac:dyDescent="0.15">
      <c r="A27" s="4" t="s">
        <v>19</v>
      </c>
      <c r="B27" t="s">
        <v>20</v>
      </c>
      <c r="C27" s="6">
        <v>31142564</v>
      </c>
      <c r="D27">
        <v>2</v>
      </c>
      <c r="E27" t="s">
        <v>75</v>
      </c>
      <c r="G27">
        <v>72.894999999999996</v>
      </c>
      <c r="H27" t="s">
        <v>21</v>
      </c>
      <c r="I27" t="s">
        <v>22</v>
      </c>
      <c r="K27">
        <f t="shared" si="0"/>
        <v>72.894999999999996</v>
      </c>
      <c r="L27">
        <f t="shared" si="1"/>
        <v>72.894999999999996</v>
      </c>
      <c r="M27" t="s">
        <v>27</v>
      </c>
      <c r="O27" s="7">
        <v>44426</v>
      </c>
      <c r="Q27" t="s">
        <v>47</v>
      </c>
      <c r="R27" t="s">
        <v>50</v>
      </c>
      <c r="S27" t="s">
        <v>60</v>
      </c>
    </row>
    <row r="28" spans="1:19" x14ac:dyDescent="0.15">
      <c r="A28" s="4" t="s">
        <v>19</v>
      </c>
      <c r="B28" t="s">
        <v>20</v>
      </c>
      <c r="C28" s="6">
        <v>31142564</v>
      </c>
      <c r="D28">
        <v>2</v>
      </c>
      <c r="E28" t="s">
        <v>75</v>
      </c>
      <c r="G28" s="9">
        <v>73.025000000000006</v>
      </c>
      <c r="H28">
        <v>73.09</v>
      </c>
      <c r="I28" t="s">
        <v>22</v>
      </c>
      <c r="K28">
        <f t="shared" si="0"/>
        <v>73.025000000000006</v>
      </c>
      <c r="L28">
        <f t="shared" si="1"/>
        <v>73.09</v>
      </c>
      <c r="M28" t="s">
        <v>24</v>
      </c>
      <c r="O28" s="7">
        <v>44426</v>
      </c>
      <c r="Q28">
        <v>83407</v>
      </c>
      <c r="R28" t="s">
        <v>50</v>
      </c>
      <c r="S28">
        <v>30</v>
      </c>
    </row>
    <row r="29" spans="1:19" x14ac:dyDescent="0.15">
      <c r="A29" s="4" t="s">
        <v>19</v>
      </c>
      <c r="B29" t="s">
        <v>20</v>
      </c>
      <c r="C29" s="6">
        <v>31142564</v>
      </c>
      <c r="D29">
        <v>2</v>
      </c>
      <c r="E29" t="s">
        <v>76</v>
      </c>
      <c r="F29" t="s">
        <v>80</v>
      </c>
      <c r="G29" s="9">
        <v>72.63</v>
      </c>
      <c r="H29">
        <v>72.575000000000003</v>
      </c>
      <c r="I29" t="s">
        <v>91</v>
      </c>
      <c r="K29">
        <f t="shared" si="0"/>
        <v>72.575000000000003</v>
      </c>
      <c r="L29">
        <f t="shared" si="1"/>
        <v>72.63</v>
      </c>
      <c r="M29" t="s">
        <v>28</v>
      </c>
      <c r="N29" t="s">
        <v>34</v>
      </c>
      <c r="O29" s="7">
        <v>44439</v>
      </c>
      <c r="P29" t="s">
        <v>43</v>
      </c>
      <c r="Q29">
        <v>88407</v>
      </c>
      <c r="R29" t="s">
        <v>50</v>
      </c>
      <c r="S29">
        <v>24</v>
      </c>
    </row>
    <row r="30" spans="1:19" x14ac:dyDescent="0.15">
      <c r="A30" s="4" t="s">
        <v>19</v>
      </c>
      <c r="B30" t="s">
        <v>20</v>
      </c>
      <c r="C30" s="6">
        <v>31142564</v>
      </c>
      <c r="D30">
        <v>2</v>
      </c>
      <c r="E30" t="s">
        <v>74</v>
      </c>
      <c r="G30">
        <v>72.2</v>
      </c>
      <c r="H30">
        <v>72.03</v>
      </c>
      <c r="I30" t="s">
        <v>209</v>
      </c>
      <c r="K30">
        <f t="shared" si="0"/>
        <v>72.03</v>
      </c>
      <c r="L30">
        <f t="shared" si="1"/>
        <v>72.2</v>
      </c>
      <c r="M30" t="s">
        <v>24</v>
      </c>
      <c r="O30" s="7">
        <v>44439</v>
      </c>
      <c r="Q30">
        <v>83407</v>
      </c>
      <c r="R30" t="s">
        <v>50</v>
      </c>
      <c r="S30" t="s">
        <v>44</v>
      </c>
    </row>
    <row r="31" spans="1:19" x14ac:dyDescent="0.15">
      <c r="A31" s="4" t="s">
        <v>19</v>
      </c>
      <c r="B31" t="s">
        <v>20</v>
      </c>
      <c r="C31" s="6">
        <v>31142564</v>
      </c>
      <c r="D31">
        <v>2</v>
      </c>
      <c r="E31" t="s">
        <v>74</v>
      </c>
      <c r="G31">
        <v>72.17</v>
      </c>
      <c r="H31">
        <v>72.03</v>
      </c>
      <c r="I31" t="s">
        <v>291</v>
      </c>
      <c r="K31">
        <f t="shared" si="0"/>
        <v>72.03</v>
      </c>
      <c r="L31">
        <f t="shared" si="1"/>
        <v>72.17</v>
      </c>
      <c r="M31" t="s">
        <v>24</v>
      </c>
      <c r="O31" s="7">
        <v>44439</v>
      </c>
      <c r="Q31">
        <v>83407</v>
      </c>
      <c r="R31" t="s">
        <v>50</v>
      </c>
    </row>
    <row r="32" spans="1:19" x14ac:dyDescent="0.15">
      <c r="A32" s="4" t="s">
        <v>19</v>
      </c>
      <c r="B32" t="s">
        <v>20</v>
      </c>
      <c r="C32" s="6">
        <v>31142564</v>
      </c>
      <c r="D32">
        <v>2</v>
      </c>
      <c r="E32" t="s">
        <v>74</v>
      </c>
      <c r="G32">
        <v>72.03</v>
      </c>
      <c r="H32">
        <v>71.599999999999994</v>
      </c>
      <c r="I32" t="s">
        <v>209</v>
      </c>
      <c r="K32">
        <f t="shared" si="0"/>
        <v>71.599999999999994</v>
      </c>
      <c r="L32">
        <f t="shared" si="1"/>
        <v>72.03</v>
      </c>
      <c r="M32" t="s">
        <v>27</v>
      </c>
      <c r="O32" s="7">
        <v>44439</v>
      </c>
      <c r="Q32" t="s">
        <v>47</v>
      </c>
      <c r="R32" t="s">
        <v>50</v>
      </c>
      <c r="S32" t="s">
        <v>61</v>
      </c>
    </row>
    <row r="33" spans="1:19" x14ac:dyDescent="0.15">
      <c r="A33" s="4" t="s">
        <v>19</v>
      </c>
      <c r="B33" t="s">
        <v>20</v>
      </c>
      <c r="C33" s="6">
        <v>31142564</v>
      </c>
      <c r="D33">
        <v>2</v>
      </c>
      <c r="E33" t="s">
        <v>74</v>
      </c>
      <c r="G33">
        <v>72.03</v>
      </c>
      <c r="H33">
        <v>71.599999999999994</v>
      </c>
      <c r="I33" t="s">
        <v>291</v>
      </c>
      <c r="K33">
        <f t="shared" si="0"/>
        <v>71.599999999999994</v>
      </c>
      <c r="L33">
        <f t="shared" si="1"/>
        <v>72.03</v>
      </c>
      <c r="M33" t="s">
        <v>27</v>
      </c>
      <c r="O33" s="7">
        <v>44439</v>
      </c>
      <c r="Q33" t="s">
        <v>47</v>
      </c>
      <c r="R33" t="s">
        <v>50</v>
      </c>
    </row>
    <row r="34" spans="1:19" x14ac:dyDescent="0.15">
      <c r="A34" s="4" t="s">
        <v>19</v>
      </c>
      <c r="B34" t="s">
        <v>20</v>
      </c>
      <c r="C34" s="6">
        <v>31142564</v>
      </c>
      <c r="D34">
        <v>2</v>
      </c>
      <c r="E34" t="s">
        <v>74</v>
      </c>
      <c r="G34">
        <v>71.599999999999994</v>
      </c>
      <c r="H34" s="9">
        <v>71.3</v>
      </c>
      <c r="I34" t="s">
        <v>209</v>
      </c>
      <c r="K34">
        <f t="shared" si="0"/>
        <v>71.3</v>
      </c>
      <c r="L34">
        <f t="shared" si="1"/>
        <v>71.599999999999994</v>
      </c>
      <c r="M34" t="s">
        <v>27</v>
      </c>
      <c r="O34" s="7">
        <v>44439</v>
      </c>
      <c r="Q34" t="s">
        <v>47</v>
      </c>
      <c r="R34" t="s">
        <v>50</v>
      </c>
    </row>
    <row r="35" spans="1:19" x14ac:dyDescent="0.15">
      <c r="A35" s="4" t="s">
        <v>19</v>
      </c>
      <c r="B35" t="s">
        <v>20</v>
      </c>
      <c r="C35" s="6">
        <v>31142564</v>
      </c>
      <c r="D35">
        <v>2</v>
      </c>
      <c r="E35" t="s">
        <v>74</v>
      </c>
      <c r="G35" s="9">
        <v>71.3</v>
      </c>
      <c r="H35">
        <v>70.900000000000006</v>
      </c>
      <c r="I35" t="s">
        <v>209</v>
      </c>
      <c r="K35">
        <f t="shared" si="0"/>
        <v>70.900000000000006</v>
      </c>
      <c r="L35">
        <f t="shared" si="1"/>
        <v>71.3</v>
      </c>
      <c r="M35" t="s">
        <v>24</v>
      </c>
      <c r="O35" s="7">
        <v>44439</v>
      </c>
      <c r="Q35">
        <v>83407</v>
      </c>
      <c r="R35" t="s">
        <v>50</v>
      </c>
    </row>
    <row r="36" spans="1:19" x14ac:dyDescent="0.15">
      <c r="A36" s="4" t="s">
        <v>19</v>
      </c>
      <c r="B36" t="s">
        <v>20</v>
      </c>
      <c r="C36" s="6">
        <v>31142564</v>
      </c>
      <c r="D36">
        <v>2</v>
      </c>
      <c r="E36" t="s">
        <v>76</v>
      </c>
      <c r="F36" t="s">
        <v>80</v>
      </c>
      <c r="G36" s="9">
        <v>70.95</v>
      </c>
      <c r="H36">
        <v>70.685000000000002</v>
      </c>
      <c r="J36" t="s">
        <v>23</v>
      </c>
      <c r="K36">
        <f t="shared" si="0"/>
        <v>70.685000000000002</v>
      </c>
      <c r="L36">
        <f t="shared" si="1"/>
        <v>70.95</v>
      </c>
      <c r="M36" t="s">
        <v>28</v>
      </c>
      <c r="N36" t="s">
        <v>35</v>
      </c>
      <c r="O36" s="7">
        <v>44439</v>
      </c>
      <c r="P36" t="s">
        <v>43</v>
      </c>
      <c r="Q36">
        <v>88407</v>
      </c>
      <c r="R36" t="s">
        <v>50</v>
      </c>
      <c r="S36">
        <v>210</v>
      </c>
    </row>
    <row r="37" spans="1:19" x14ac:dyDescent="0.15">
      <c r="A37" s="4" t="s">
        <v>19</v>
      </c>
      <c r="B37" t="s">
        <v>20</v>
      </c>
      <c r="C37" s="6">
        <v>31142564</v>
      </c>
      <c r="D37">
        <v>2</v>
      </c>
      <c r="E37" t="s">
        <v>74</v>
      </c>
      <c r="G37">
        <v>68.7</v>
      </c>
      <c r="H37">
        <v>68.599999999999994</v>
      </c>
      <c r="I37" t="s">
        <v>209</v>
      </c>
      <c r="K37">
        <f t="shared" si="0"/>
        <v>68.599999999999994</v>
      </c>
      <c r="L37">
        <f t="shared" si="1"/>
        <v>68.7</v>
      </c>
      <c r="M37" t="s">
        <v>24</v>
      </c>
      <c r="O37" s="7">
        <v>44453</v>
      </c>
      <c r="Q37">
        <v>83407</v>
      </c>
      <c r="R37" t="s">
        <v>50</v>
      </c>
      <c r="S37" t="s">
        <v>62</v>
      </c>
    </row>
    <row r="38" spans="1:19" x14ac:dyDescent="0.15">
      <c r="A38" s="4" t="s">
        <v>19</v>
      </c>
      <c r="B38" t="s">
        <v>20</v>
      </c>
      <c r="C38" s="6">
        <v>31142564</v>
      </c>
      <c r="D38">
        <v>2</v>
      </c>
      <c r="E38" t="s">
        <v>74</v>
      </c>
      <c r="G38">
        <v>68.7</v>
      </c>
      <c r="H38">
        <v>68.5</v>
      </c>
      <c r="I38" t="s">
        <v>93</v>
      </c>
      <c r="K38">
        <f t="shared" si="0"/>
        <v>68.5</v>
      </c>
      <c r="L38">
        <f t="shared" si="1"/>
        <v>68.7</v>
      </c>
      <c r="M38" t="s">
        <v>24</v>
      </c>
      <c r="O38" s="7">
        <v>44453</v>
      </c>
      <c r="Q38">
        <v>83407</v>
      </c>
      <c r="R38" t="s">
        <v>50</v>
      </c>
    </row>
    <row r="39" spans="1:19" x14ac:dyDescent="0.15">
      <c r="A39" s="4" t="s">
        <v>19</v>
      </c>
      <c r="B39" t="s">
        <v>20</v>
      </c>
      <c r="C39" s="6">
        <v>31142564</v>
      </c>
      <c r="D39">
        <v>2</v>
      </c>
      <c r="E39" t="s">
        <v>74</v>
      </c>
      <c r="G39">
        <v>70.900000000000006</v>
      </c>
      <c r="H39">
        <v>70.2</v>
      </c>
      <c r="I39" t="s">
        <v>209</v>
      </c>
      <c r="K39">
        <f t="shared" si="0"/>
        <v>70.2</v>
      </c>
      <c r="L39">
        <f t="shared" si="1"/>
        <v>70.900000000000006</v>
      </c>
      <c r="M39" t="s">
        <v>24</v>
      </c>
      <c r="O39" s="7">
        <v>44453</v>
      </c>
      <c r="Q39">
        <v>83407</v>
      </c>
      <c r="R39" t="s">
        <v>50</v>
      </c>
    </row>
    <row r="40" spans="1:19" x14ac:dyDescent="0.15">
      <c r="A40" s="4" t="s">
        <v>19</v>
      </c>
      <c r="B40" t="s">
        <v>20</v>
      </c>
      <c r="C40" s="6">
        <v>31142564</v>
      </c>
      <c r="D40">
        <v>2</v>
      </c>
      <c r="E40" t="s">
        <v>74</v>
      </c>
      <c r="G40">
        <v>69.8</v>
      </c>
      <c r="H40">
        <v>68.7</v>
      </c>
      <c r="I40" t="s">
        <v>209</v>
      </c>
      <c r="K40">
        <f t="shared" si="0"/>
        <v>68.7</v>
      </c>
      <c r="L40">
        <f t="shared" si="1"/>
        <v>69.8</v>
      </c>
      <c r="M40" t="s">
        <v>24</v>
      </c>
      <c r="O40" s="7">
        <v>44453</v>
      </c>
      <c r="Q40">
        <v>83407</v>
      </c>
      <c r="R40" t="s">
        <v>50</v>
      </c>
      <c r="S40">
        <v>80</v>
      </c>
    </row>
    <row r="41" spans="1:19" x14ac:dyDescent="0.15">
      <c r="A41" s="4" t="s">
        <v>19</v>
      </c>
      <c r="B41" t="s">
        <v>20</v>
      </c>
      <c r="C41" s="6">
        <v>31142564</v>
      </c>
      <c r="D41">
        <v>12</v>
      </c>
      <c r="E41" t="s">
        <v>75</v>
      </c>
      <c r="G41">
        <v>40.6</v>
      </c>
      <c r="H41">
        <v>40.75</v>
      </c>
      <c r="I41" t="s">
        <v>186</v>
      </c>
      <c r="K41">
        <f t="shared" si="0"/>
        <v>40.6</v>
      </c>
      <c r="L41">
        <f t="shared" si="1"/>
        <v>40.75</v>
      </c>
      <c r="M41" t="s">
        <v>25</v>
      </c>
      <c r="O41" s="7">
        <v>44449</v>
      </c>
      <c r="Q41">
        <v>55031</v>
      </c>
      <c r="R41" t="s">
        <v>50</v>
      </c>
      <c r="S41">
        <v>75</v>
      </c>
    </row>
    <row r="42" spans="1:19" x14ac:dyDescent="0.15">
      <c r="A42" s="4" t="s">
        <v>19</v>
      </c>
      <c r="B42" t="s">
        <v>20</v>
      </c>
      <c r="C42" s="6">
        <v>31142564</v>
      </c>
      <c r="D42">
        <v>12</v>
      </c>
      <c r="E42" t="s">
        <v>75</v>
      </c>
      <c r="G42">
        <v>41.6</v>
      </c>
      <c r="H42">
        <v>41.7</v>
      </c>
      <c r="I42" t="s">
        <v>96</v>
      </c>
      <c r="K42">
        <f t="shared" si="0"/>
        <v>41.6</v>
      </c>
      <c r="L42">
        <f t="shared" si="1"/>
        <v>41.7</v>
      </c>
      <c r="M42" t="s">
        <v>25</v>
      </c>
      <c r="N42" t="s">
        <v>36</v>
      </c>
      <c r="O42" s="7">
        <v>44449</v>
      </c>
      <c r="Q42">
        <v>55031</v>
      </c>
      <c r="R42" t="s">
        <v>50</v>
      </c>
      <c r="S42">
        <v>50</v>
      </c>
    </row>
    <row r="43" spans="1:19" x14ac:dyDescent="0.15">
      <c r="A43" s="4" t="s">
        <v>19</v>
      </c>
      <c r="B43" t="s">
        <v>20</v>
      </c>
      <c r="C43" s="6">
        <v>31142564</v>
      </c>
      <c r="D43">
        <v>12</v>
      </c>
      <c r="E43" t="s">
        <v>75</v>
      </c>
      <c r="G43">
        <v>51.26</v>
      </c>
      <c r="H43">
        <v>51.3</v>
      </c>
      <c r="I43" t="s">
        <v>96</v>
      </c>
      <c r="K43">
        <f t="shared" si="0"/>
        <v>51.26</v>
      </c>
      <c r="L43">
        <f t="shared" si="1"/>
        <v>51.3</v>
      </c>
      <c r="M43" t="s">
        <v>25</v>
      </c>
      <c r="O43" s="7">
        <v>44449</v>
      </c>
      <c r="Q43">
        <v>83407</v>
      </c>
      <c r="R43" t="s">
        <v>50</v>
      </c>
      <c r="S43">
        <v>80</v>
      </c>
    </row>
    <row r="44" spans="1:19" x14ac:dyDescent="0.15">
      <c r="A44" s="4" t="s">
        <v>19</v>
      </c>
      <c r="B44" t="s">
        <v>20</v>
      </c>
      <c r="C44" s="6">
        <v>31142564</v>
      </c>
      <c r="D44">
        <v>12</v>
      </c>
      <c r="E44" t="s">
        <v>76</v>
      </c>
      <c r="F44" t="s">
        <v>85</v>
      </c>
      <c r="G44">
        <v>57.7</v>
      </c>
      <c r="H44">
        <v>57.8</v>
      </c>
      <c r="I44" t="s">
        <v>96</v>
      </c>
      <c r="K44">
        <f t="shared" si="0"/>
        <v>57.7</v>
      </c>
      <c r="L44">
        <f t="shared" si="1"/>
        <v>57.8</v>
      </c>
      <c r="M44" t="s">
        <v>28</v>
      </c>
      <c r="O44" s="7">
        <v>44449</v>
      </c>
      <c r="P44" t="s">
        <v>43</v>
      </c>
      <c r="Q44">
        <v>88407</v>
      </c>
      <c r="R44" t="s">
        <v>50</v>
      </c>
      <c r="S44">
        <v>44</v>
      </c>
    </row>
    <row r="45" spans="1:19" x14ac:dyDescent="0.15">
      <c r="A45" s="4" t="s">
        <v>19</v>
      </c>
      <c r="B45" t="s">
        <v>20</v>
      </c>
      <c r="C45" s="6">
        <v>31142564</v>
      </c>
      <c r="D45">
        <v>12</v>
      </c>
      <c r="E45" t="s">
        <v>76</v>
      </c>
      <c r="F45" t="s">
        <v>82</v>
      </c>
      <c r="G45">
        <v>58.984999999999999</v>
      </c>
      <c r="H45">
        <v>59.08</v>
      </c>
      <c r="J45" t="s">
        <v>23</v>
      </c>
      <c r="K45">
        <f t="shared" si="0"/>
        <v>58.984999999999999</v>
      </c>
      <c r="L45">
        <f t="shared" si="1"/>
        <v>59.08</v>
      </c>
      <c r="M45" t="s">
        <v>25</v>
      </c>
      <c r="O45" s="7">
        <v>44427</v>
      </c>
      <c r="Q45">
        <v>55031</v>
      </c>
      <c r="R45" t="s">
        <v>50</v>
      </c>
      <c r="S45">
        <v>150</v>
      </c>
    </row>
    <row r="46" spans="1:19" x14ac:dyDescent="0.15">
      <c r="A46" s="4" t="s">
        <v>19</v>
      </c>
      <c r="B46" t="s">
        <v>20</v>
      </c>
      <c r="C46" s="6">
        <v>31142564</v>
      </c>
      <c r="D46">
        <v>12</v>
      </c>
      <c r="E46" t="s">
        <v>76</v>
      </c>
      <c r="F46" t="s">
        <v>82</v>
      </c>
      <c r="G46">
        <v>59.08</v>
      </c>
      <c r="H46">
        <v>59.35</v>
      </c>
      <c r="J46" t="s">
        <v>23</v>
      </c>
      <c r="K46">
        <f t="shared" si="0"/>
        <v>59.08</v>
      </c>
      <c r="L46">
        <f t="shared" si="1"/>
        <v>59.35</v>
      </c>
      <c r="M46" t="s">
        <v>28</v>
      </c>
      <c r="O46" s="7">
        <v>44427</v>
      </c>
      <c r="Q46">
        <v>88407</v>
      </c>
      <c r="R46" t="s">
        <v>50</v>
      </c>
      <c r="S46">
        <v>277</v>
      </c>
    </row>
    <row r="47" spans="1:19" x14ac:dyDescent="0.15">
      <c r="A47" s="4" t="s">
        <v>19</v>
      </c>
      <c r="B47" t="s">
        <v>20</v>
      </c>
      <c r="C47" s="5">
        <v>31142564</v>
      </c>
      <c r="D47">
        <v>12</v>
      </c>
      <c r="E47" t="s">
        <v>76</v>
      </c>
      <c r="F47" t="s">
        <v>86</v>
      </c>
      <c r="G47">
        <v>62.475000000000001</v>
      </c>
      <c r="H47">
        <v>62.4</v>
      </c>
      <c r="I47" t="s">
        <v>92</v>
      </c>
      <c r="K47">
        <f t="shared" si="0"/>
        <v>62.4</v>
      </c>
      <c r="L47">
        <f t="shared" si="1"/>
        <v>62.475000000000001</v>
      </c>
      <c r="M47" t="s">
        <v>26</v>
      </c>
      <c r="O47" s="7">
        <v>44453</v>
      </c>
      <c r="Q47">
        <v>74408</v>
      </c>
      <c r="R47" t="s">
        <v>50</v>
      </c>
      <c r="S47">
        <v>50</v>
      </c>
    </row>
    <row r="48" spans="1:19" x14ac:dyDescent="0.15">
      <c r="A48" s="4" t="s">
        <v>19</v>
      </c>
      <c r="B48" t="s">
        <v>20</v>
      </c>
      <c r="C48" s="5">
        <v>31142564</v>
      </c>
      <c r="D48">
        <v>12</v>
      </c>
      <c r="E48" t="s">
        <v>76</v>
      </c>
      <c r="F48" t="s">
        <v>87</v>
      </c>
      <c r="G48" s="9">
        <v>57.61</v>
      </c>
      <c r="H48">
        <v>57.5</v>
      </c>
      <c r="I48" t="s">
        <v>209</v>
      </c>
      <c r="K48">
        <f t="shared" si="0"/>
        <v>57.5</v>
      </c>
      <c r="L48">
        <f t="shared" si="1"/>
        <v>57.61</v>
      </c>
      <c r="M48" t="s">
        <v>25</v>
      </c>
      <c r="O48" s="7">
        <v>44453</v>
      </c>
      <c r="Q48">
        <v>55031</v>
      </c>
      <c r="R48" t="s">
        <v>50</v>
      </c>
      <c r="S48">
        <v>60</v>
      </c>
    </row>
    <row r="49" spans="1:19" x14ac:dyDescent="0.15">
      <c r="A49" s="4" t="s">
        <v>19</v>
      </c>
      <c r="B49" t="s">
        <v>20</v>
      </c>
      <c r="C49" s="5">
        <v>31142564</v>
      </c>
      <c r="D49">
        <v>27</v>
      </c>
      <c r="E49" t="s">
        <v>75</v>
      </c>
      <c r="G49">
        <v>104.3</v>
      </c>
      <c r="H49">
        <v>104.5</v>
      </c>
      <c r="I49" t="s">
        <v>94</v>
      </c>
      <c r="K49">
        <f t="shared" si="0"/>
        <v>104.3</v>
      </c>
      <c r="L49">
        <f t="shared" si="1"/>
        <v>104.5</v>
      </c>
      <c r="M49" t="s">
        <v>25</v>
      </c>
      <c r="O49" s="7">
        <v>44449</v>
      </c>
      <c r="Q49">
        <v>55031</v>
      </c>
      <c r="R49" t="s">
        <v>50</v>
      </c>
      <c r="S49">
        <v>92</v>
      </c>
    </row>
    <row r="50" spans="1:19" x14ac:dyDescent="0.15">
      <c r="A50" s="4" t="s">
        <v>19</v>
      </c>
      <c r="B50" t="s">
        <v>20</v>
      </c>
      <c r="C50" s="6">
        <v>31142564</v>
      </c>
      <c r="D50">
        <v>27</v>
      </c>
      <c r="E50" t="s">
        <v>75</v>
      </c>
      <c r="G50">
        <v>105.9</v>
      </c>
      <c r="H50">
        <v>106</v>
      </c>
      <c r="I50" t="s">
        <v>96</v>
      </c>
      <c r="K50">
        <f t="shared" si="0"/>
        <v>105.9</v>
      </c>
      <c r="L50">
        <f t="shared" si="1"/>
        <v>106</v>
      </c>
      <c r="M50" t="s">
        <v>25</v>
      </c>
      <c r="O50" s="7">
        <v>44449</v>
      </c>
      <c r="Q50">
        <v>55031</v>
      </c>
      <c r="R50" t="s">
        <v>50</v>
      </c>
      <c r="S50">
        <v>53</v>
      </c>
    </row>
    <row r="51" spans="1:19" x14ac:dyDescent="0.15">
      <c r="A51" s="4" t="s">
        <v>19</v>
      </c>
      <c r="B51" t="s">
        <v>20</v>
      </c>
      <c r="C51" s="6">
        <v>31142564</v>
      </c>
      <c r="D51">
        <v>27</v>
      </c>
      <c r="E51" t="s">
        <v>75</v>
      </c>
      <c r="G51">
        <v>106.8</v>
      </c>
      <c r="H51">
        <v>107</v>
      </c>
      <c r="I51" t="s">
        <v>96</v>
      </c>
      <c r="K51">
        <f t="shared" si="0"/>
        <v>106.8</v>
      </c>
      <c r="L51">
        <f t="shared" si="1"/>
        <v>107</v>
      </c>
      <c r="M51" t="s">
        <v>25</v>
      </c>
      <c r="O51" s="7">
        <v>44449</v>
      </c>
      <c r="Q51">
        <v>55031</v>
      </c>
      <c r="R51" t="s">
        <v>50</v>
      </c>
      <c r="S51">
        <v>107</v>
      </c>
    </row>
    <row r="52" spans="1:19" x14ac:dyDescent="0.15">
      <c r="A52" s="4" t="s">
        <v>19</v>
      </c>
      <c r="B52" t="s">
        <v>20</v>
      </c>
      <c r="C52" s="6">
        <v>31142564</v>
      </c>
      <c r="D52">
        <v>27</v>
      </c>
      <c r="E52" t="s">
        <v>76</v>
      </c>
      <c r="F52" t="s">
        <v>80</v>
      </c>
      <c r="G52">
        <v>103.64</v>
      </c>
      <c r="H52">
        <v>103.28</v>
      </c>
      <c r="J52" t="s">
        <v>23</v>
      </c>
      <c r="K52">
        <f t="shared" si="0"/>
        <v>103.28</v>
      </c>
      <c r="L52">
        <f t="shared" si="1"/>
        <v>103.64</v>
      </c>
      <c r="M52" t="s">
        <v>26</v>
      </c>
      <c r="O52" s="7">
        <v>44448</v>
      </c>
      <c r="Q52">
        <v>74300</v>
      </c>
      <c r="R52" t="s">
        <v>50</v>
      </c>
      <c r="S52">
        <v>330</v>
      </c>
    </row>
    <row r="53" spans="1:19" x14ac:dyDescent="0.15">
      <c r="A53" s="4" t="s">
        <v>19</v>
      </c>
      <c r="B53" t="s">
        <v>20</v>
      </c>
      <c r="C53" s="6">
        <v>31142564</v>
      </c>
      <c r="D53">
        <v>27</v>
      </c>
      <c r="E53" t="s">
        <v>74</v>
      </c>
      <c r="G53">
        <v>103.9</v>
      </c>
      <c r="H53">
        <v>103.8</v>
      </c>
      <c r="I53" t="s">
        <v>92</v>
      </c>
      <c r="K53">
        <f t="shared" si="0"/>
        <v>103.8</v>
      </c>
      <c r="L53">
        <f t="shared" si="1"/>
        <v>103.9</v>
      </c>
      <c r="M53" t="s">
        <v>25</v>
      </c>
      <c r="O53" s="7">
        <v>44448</v>
      </c>
      <c r="Q53">
        <v>55031</v>
      </c>
      <c r="R53" t="s">
        <v>50</v>
      </c>
      <c r="S53">
        <v>54</v>
      </c>
    </row>
    <row r="54" spans="1:19" x14ac:dyDescent="0.15">
      <c r="A54" s="4" t="s">
        <v>19</v>
      </c>
      <c r="B54" t="s">
        <v>20</v>
      </c>
      <c r="C54" s="6">
        <v>31142564</v>
      </c>
      <c r="D54">
        <v>28</v>
      </c>
      <c r="E54" t="s">
        <v>76</v>
      </c>
      <c r="F54" t="s">
        <v>85</v>
      </c>
      <c r="G54" s="9">
        <v>27.875</v>
      </c>
      <c r="H54">
        <v>28</v>
      </c>
      <c r="I54" t="s">
        <v>96</v>
      </c>
      <c r="K54">
        <f t="shared" si="0"/>
        <v>27.875</v>
      </c>
      <c r="L54">
        <f t="shared" si="1"/>
        <v>28</v>
      </c>
      <c r="M54" t="s">
        <v>26</v>
      </c>
      <c r="O54" s="7">
        <v>44448</v>
      </c>
      <c r="Q54">
        <v>74300</v>
      </c>
      <c r="R54" t="s">
        <v>50</v>
      </c>
      <c r="S54">
        <v>70</v>
      </c>
    </row>
    <row r="55" spans="1:19" x14ac:dyDescent="0.15">
      <c r="A55" s="4" t="s">
        <v>19</v>
      </c>
      <c r="B55" t="s">
        <v>20</v>
      </c>
      <c r="C55" s="6">
        <v>31142564</v>
      </c>
      <c r="D55">
        <v>2</v>
      </c>
      <c r="E55" t="s">
        <v>76</v>
      </c>
      <c r="F55" t="s">
        <v>78</v>
      </c>
      <c r="G55">
        <v>64.13</v>
      </c>
      <c r="H55">
        <v>64.2</v>
      </c>
      <c r="I55" t="s">
        <v>96</v>
      </c>
      <c r="K55">
        <f t="shared" si="0"/>
        <v>64.13</v>
      </c>
      <c r="L55">
        <f t="shared" si="1"/>
        <v>64.2</v>
      </c>
      <c r="M55" t="s">
        <v>24</v>
      </c>
      <c r="O55" s="7">
        <v>44488</v>
      </c>
      <c r="Q55">
        <v>83407</v>
      </c>
      <c r="R55" t="s">
        <v>50</v>
      </c>
      <c r="S55">
        <v>180</v>
      </c>
    </row>
    <row r="56" spans="1:19" x14ac:dyDescent="0.15">
      <c r="A56" s="4" t="s">
        <v>19</v>
      </c>
      <c r="B56" t="s">
        <v>20</v>
      </c>
      <c r="C56" s="6">
        <v>31142564</v>
      </c>
      <c r="D56">
        <v>2</v>
      </c>
      <c r="E56" t="s">
        <v>76</v>
      </c>
      <c r="F56" t="s">
        <v>78</v>
      </c>
      <c r="G56">
        <v>64.13</v>
      </c>
      <c r="H56">
        <v>64.349999999999994</v>
      </c>
      <c r="I56" t="s">
        <v>94</v>
      </c>
      <c r="K56">
        <f t="shared" si="0"/>
        <v>64.13</v>
      </c>
      <c r="L56">
        <f t="shared" si="1"/>
        <v>64.349999999999994</v>
      </c>
      <c r="M56" t="s">
        <v>24</v>
      </c>
      <c r="O56" s="7">
        <v>44488</v>
      </c>
      <c r="Q56">
        <v>83407</v>
      </c>
      <c r="R56" t="s">
        <v>50</v>
      </c>
    </row>
    <row r="57" spans="1:19" x14ac:dyDescent="0.15">
      <c r="A57" s="4" t="s">
        <v>19</v>
      </c>
      <c r="B57" t="s">
        <v>20</v>
      </c>
      <c r="C57" s="6">
        <v>31142564</v>
      </c>
      <c r="D57">
        <v>2</v>
      </c>
      <c r="E57" t="s">
        <v>76</v>
      </c>
      <c r="F57" t="s">
        <v>78</v>
      </c>
      <c r="G57">
        <v>64.17</v>
      </c>
      <c r="H57">
        <v>64.349999999999994</v>
      </c>
      <c r="I57" t="s">
        <v>181</v>
      </c>
      <c r="K57">
        <f t="shared" si="0"/>
        <v>64.17</v>
      </c>
      <c r="L57">
        <f t="shared" si="1"/>
        <v>64.349999999999994</v>
      </c>
      <c r="M57" t="s">
        <v>24</v>
      </c>
      <c r="O57" s="7">
        <v>44488</v>
      </c>
      <c r="Q57">
        <v>83407</v>
      </c>
      <c r="R57" t="s">
        <v>50</v>
      </c>
    </row>
    <row r="58" spans="1:19" x14ac:dyDescent="0.15">
      <c r="A58" s="4" t="s">
        <v>19</v>
      </c>
      <c r="B58" t="s">
        <v>20</v>
      </c>
      <c r="C58" s="6">
        <v>31142564</v>
      </c>
      <c r="D58">
        <v>2</v>
      </c>
      <c r="E58" t="s">
        <v>75</v>
      </c>
      <c r="G58">
        <v>64.349999999999994</v>
      </c>
      <c r="H58">
        <v>64.5</v>
      </c>
      <c r="I58" t="s">
        <v>186</v>
      </c>
      <c r="K58">
        <f t="shared" si="0"/>
        <v>64.349999999999994</v>
      </c>
      <c r="L58">
        <f t="shared" si="1"/>
        <v>64.5</v>
      </c>
      <c r="M58" t="s">
        <v>24</v>
      </c>
      <c r="O58" s="7">
        <v>44489</v>
      </c>
      <c r="Q58">
        <v>83407</v>
      </c>
      <c r="R58" t="s">
        <v>50</v>
      </c>
      <c r="S58">
        <v>340</v>
      </c>
    </row>
    <row r="59" spans="1:19" x14ac:dyDescent="0.15">
      <c r="A59" s="4" t="s">
        <v>19</v>
      </c>
      <c r="B59" t="s">
        <v>20</v>
      </c>
      <c r="C59" s="6">
        <v>31142564</v>
      </c>
      <c r="D59">
        <v>2</v>
      </c>
      <c r="E59" t="s">
        <v>75</v>
      </c>
      <c r="G59">
        <v>64.349999999999994</v>
      </c>
      <c r="H59">
        <v>64.5</v>
      </c>
      <c r="I59" t="s">
        <v>303</v>
      </c>
      <c r="K59">
        <f t="shared" si="0"/>
        <v>64.349999999999994</v>
      </c>
      <c r="L59">
        <f t="shared" si="1"/>
        <v>64.5</v>
      </c>
      <c r="M59" t="s">
        <v>24</v>
      </c>
      <c r="O59" s="7">
        <v>44489</v>
      </c>
      <c r="Q59">
        <v>83407</v>
      </c>
      <c r="R59" t="s">
        <v>50</v>
      </c>
    </row>
    <row r="60" spans="1:19" x14ac:dyDescent="0.15">
      <c r="A60" s="4" t="s">
        <v>19</v>
      </c>
      <c r="B60" t="s">
        <v>20</v>
      </c>
      <c r="C60" s="6">
        <v>31142564</v>
      </c>
      <c r="D60">
        <v>2</v>
      </c>
      <c r="E60" t="s">
        <v>75</v>
      </c>
      <c r="G60">
        <v>64.7</v>
      </c>
      <c r="H60">
        <v>65.5</v>
      </c>
      <c r="I60" t="s">
        <v>186</v>
      </c>
      <c r="K60">
        <f t="shared" si="0"/>
        <v>64.7</v>
      </c>
      <c r="L60">
        <f t="shared" si="1"/>
        <v>65.5</v>
      </c>
      <c r="M60" t="s">
        <v>24</v>
      </c>
      <c r="O60" s="7">
        <v>44489</v>
      </c>
      <c r="Q60">
        <v>83407</v>
      </c>
      <c r="R60" t="s">
        <v>50</v>
      </c>
    </row>
    <row r="61" spans="1:19" x14ac:dyDescent="0.15">
      <c r="A61" s="4" t="s">
        <v>19</v>
      </c>
      <c r="B61" t="s">
        <v>20</v>
      </c>
      <c r="C61" s="6">
        <v>31142564</v>
      </c>
      <c r="D61">
        <v>2</v>
      </c>
      <c r="E61" t="s">
        <v>75</v>
      </c>
      <c r="G61">
        <v>64.7</v>
      </c>
      <c r="H61">
        <v>65.5</v>
      </c>
      <c r="I61" t="s">
        <v>303</v>
      </c>
      <c r="K61">
        <f t="shared" si="0"/>
        <v>64.7</v>
      </c>
      <c r="L61">
        <f t="shared" si="1"/>
        <v>65.5</v>
      </c>
      <c r="M61" t="s">
        <v>24</v>
      </c>
      <c r="O61" s="7">
        <v>44489</v>
      </c>
      <c r="Q61">
        <v>83407</v>
      </c>
      <c r="R61" t="s">
        <v>50</v>
      </c>
    </row>
    <row r="62" spans="1:19" x14ac:dyDescent="0.15">
      <c r="A62" s="4" t="s">
        <v>19</v>
      </c>
      <c r="B62" t="s">
        <v>20</v>
      </c>
      <c r="C62" s="6">
        <v>31142564</v>
      </c>
      <c r="D62">
        <v>2</v>
      </c>
      <c r="E62" t="s">
        <v>76</v>
      </c>
      <c r="F62" t="s">
        <v>82</v>
      </c>
      <c r="G62">
        <v>68.63</v>
      </c>
      <c r="H62">
        <v>68.915000000000006</v>
      </c>
      <c r="J62" t="s">
        <v>23</v>
      </c>
      <c r="K62">
        <f t="shared" si="0"/>
        <v>68.63</v>
      </c>
      <c r="L62">
        <f t="shared" si="1"/>
        <v>68.915000000000006</v>
      </c>
      <c r="M62" t="s">
        <v>28</v>
      </c>
      <c r="N62" t="s">
        <v>37</v>
      </c>
      <c r="O62" s="7">
        <v>44452</v>
      </c>
      <c r="Q62">
        <v>88407</v>
      </c>
      <c r="R62" t="s">
        <v>50</v>
      </c>
      <c r="S62">
        <v>433</v>
      </c>
    </row>
    <row r="63" spans="1:19" x14ac:dyDescent="0.15">
      <c r="A63" s="4" t="s">
        <v>19</v>
      </c>
      <c r="B63" t="s">
        <v>20</v>
      </c>
      <c r="C63" s="6">
        <v>31142564</v>
      </c>
      <c r="D63">
        <v>2</v>
      </c>
      <c r="E63" t="s">
        <v>75</v>
      </c>
      <c r="G63">
        <v>68.8</v>
      </c>
      <c r="H63">
        <v>69.099999999999994</v>
      </c>
      <c r="I63" t="s">
        <v>186</v>
      </c>
      <c r="K63">
        <f t="shared" si="0"/>
        <v>68.8</v>
      </c>
      <c r="L63">
        <f t="shared" si="1"/>
        <v>69.099999999999994</v>
      </c>
      <c r="M63" t="s">
        <v>24</v>
      </c>
      <c r="O63" s="7">
        <v>44487</v>
      </c>
      <c r="Q63">
        <v>83407</v>
      </c>
      <c r="R63" t="s">
        <v>50</v>
      </c>
      <c r="S63">
        <v>37</v>
      </c>
    </row>
    <row r="64" spans="1:19" x14ac:dyDescent="0.15">
      <c r="A64" s="4" t="s">
        <v>19</v>
      </c>
      <c r="B64" t="s">
        <v>20</v>
      </c>
      <c r="C64" s="6">
        <v>31142564</v>
      </c>
      <c r="D64">
        <v>2</v>
      </c>
      <c r="E64" t="s">
        <v>75</v>
      </c>
      <c r="G64">
        <v>68.875</v>
      </c>
      <c r="H64">
        <v>69.099999999999994</v>
      </c>
      <c r="I64" t="s">
        <v>22</v>
      </c>
      <c r="K64">
        <f t="shared" si="0"/>
        <v>68.875</v>
      </c>
      <c r="L64">
        <f t="shared" si="1"/>
        <v>69.099999999999994</v>
      </c>
      <c r="M64" t="s">
        <v>24</v>
      </c>
      <c r="O64" s="7">
        <v>44487</v>
      </c>
      <c r="Q64">
        <v>83407</v>
      </c>
      <c r="R64" t="s">
        <v>50</v>
      </c>
      <c r="S64">
        <v>140</v>
      </c>
    </row>
    <row r="65" spans="1:19" x14ac:dyDescent="0.15">
      <c r="A65" s="4" t="s">
        <v>19</v>
      </c>
      <c r="B65" t="s">
        <v>20</v>
      </c>
      <c r="C65" s="6">
        <v>31142564</v>
      </c>
      <c r="D65">
        <v>2</v>
      </c>
      <c r="E65" t="s">
        <v>75</v>
      </c>
      <c r="G65">
        <v>69.55</v>
      </c>
      <c r="H65">
        <v>70.89</v>
      </c>
      <c r="I65" t="s">
        <v>186</v>
      </c>
      <c r="K65">
        <f t="shared" ref="K65:K128" si="2">MIN(G65:H65)</f>
        <v>69.55</v>
      </c>
      <c r="L65">
        <f t="shared" ref="L65:L128" si="3">MAX(G65:H65)</f>
        <v>70.89</v>
      </c>
      <c r="M65" t="s">
        <v>24</v>
      </c>
      <c r="O65" s="7">
        <v>44487</v>
      </c>
      <c r="Q65">
        <v>83407</v>
      </c>
      <c r="R65" t="s">
        <v>50</v>
      </c>
      <c r="S65">
        <v>301</v>
      </c>
    </row>
    <row r="66" spans="1:19" x14ac:dyDescent="0.15">
      <c r="A66" s="4" t="s">
        <v>19</v>
      </c>
      <c r="B66" t="s">
        <v>20</v>
      </c>
      <c r="C66" s="6">
        <v>31142564</v>
      </c>
      <c r="D66">
        <v>2</v>
      </c>
      <c r="E66" t="s">
        <v>76</v>
      </c>
      <c r="F66" t="s">
        <v>82</v>
      </c>
      <c r="G66">
        <v>72.400000000000006</v>
      </c>
      <c r="H66">
        <v>72.564999999999998</v>
      </c>
      <c r="J66" t="s">
        <v>23</v>
      </c>
      <c r="K66">
        <f t="shared" si="2"/>
        <v>72.400000000000006</v>
      </c>
      <c r="L66">
        <f t="shared" si="3"/>
        <v>72.564999999999998</v>
      </c>
      <c r="M66" t="s">
        <v>28</v>
      </c>
      <c r="O66" s="7">
        <v>44448</v>
      </c>
      <c r="P66" t="s">
        <v>43</v>
      </c>
      <c r="Q66">
        <v>88407</v>
      </c>
      <c r="R66" t="s">
        <v>50</v>
      </c>
      <c r="S66">
        <v>213</v>
      </c>
    </row>
    <row r="67" spans="1:19" x14ac:dyDescent="0.15">
      <c r="A67" s="4" t="s">
        <v>19</v>
      </c>
      <c r="B67" t="s">
        <v>20</v>
      </c>
      <c r="C67" s="6">
        <v>31142564</v>
      </c>
      <c r="D67">
        <v>2</v>
      </c>
      <c r="E67" t="s">
        <v>75</v>
      </c>
      <c r="G67">
        <v>75.66</v>
      </c>
      <c r="H67">
        <v>75.760000000000005</v>
      </c>
      <c r="J67" t="s">
        <v>23</v>
      </c>
      <c r="K67">
        <f t="shared" si="2"/>
        <v>75.66</v>
      </c>
      <c r="L67">
        <f t="shared" si="3"/>
        <v>75.760000000000005</v>
      </c>
      <c r="M67" t="s">
        <v>27</v>
      </c>
      <c r="O67" s="7">
        <v>44515</v>
      </c>
      <c r="Q67" t="s">
        <v>48</v>
      </c>
      <c r="R67" t="s">
        <v>50</v>
      </c>
      <c r="S67" t="s">
        <v>63</v>
      </c>
    </row>
    <row r="68" spans="1:19" x14ac:dyDescent="0.15">
      <c r="A68" s="4" t="s">
        <v>19</v>
      </c>
      <c r="B68" t="s">
        <v>20</v>
      </c>
      <c r="C68" s="6">
        <v>31142564</v>
      </c>
      <c r="D68">
        <v>2</v>
      </c>
      <c r="E68" t="s">
        <v>75</v>
      </c>
      <c r="G68">
        <v>77.185000000000002</v>
      </c>
      <c r="H68">
        <v>77.400000000000006</v>
      </c>
      <c r="I68" t="s">
        <v>94</v>
      </c>
      <c r="K68">
        <f t="shared" si="2"/>
        <v>77.185000000000002</v>
      </c>
      <c r="L68">
        <f t="shared" si="3"/>
        <v>77.400000000000006</v>
      </c>
      <c r="M68" t="s">
        <v>27</v>
      </c>
      <c r="O68" s="7">
        <v>44515</v>
      </c>
      <c r="Q68" t="s">
        <v>48</v>
      </c>
      <c r="R68" t="s">
        <v>50</v>
      </c>
    </row>
    <row r="69" spans="1:19" x14ac:dyDescent="0.15">
      <c r="A69" s="4" t="s">
        <v>19</v>
      </c>
      <c r="B69" t="s">
        <v>20</v>
      </c>
      <c r="C69" s="6">
        <v>31142564</v>
      </c>
      <c r="D69">
        <v>2</v>
      </c>
      <c r="E69" t="s">
        <v>75</v>
      </c>
      <c r="G69">
        <v>77.185000000000002</v>
      </c>
      <c r="H69">
        <v>77.400000000000006</v>
      </c>
      <c r="I69" t="s">
        <v>181</v>
      </c>
      <c r="K69">
        <f t="shared" si="2"/>
        <v>77.185000000000002</v>
      </c>
      <c r="L69">
        <f t="shared" si="3"/>
        <v>77.400000000000006</v>
      </c>
      <c r="M69" t="s">
        <v>27</v>
      </c>
      <c r="O69" s="7">
        <v>44515</v>
      </c>
      <c r="Q69" t="s">
        <v>48</v>
      </c>
      <c r="R69" t="s">
        <v>50</v>
      </c>
    </row>
    <row r="70" spans="1:19" x14ac:dyDescent="0.15">
      <c r="A70" s="4" t="s">
        <v>19</v>
      </c>
      <c r="B70" t="s">
        <v>20</v>
      </c>
      <c r="C70" s="6">
        <v>31142564</v>
      </c>
      <c r="D70">
        <v>2</v>
      </c>
      <c r="E70" t="s">
        <v>75</v>
      </c>
      <c r="G70" s="9">
        <v>81.599999999999994</v>
      </c>
      <c r="H70" s="9">
        <v>82.79</v>
      </c>
      <c r="I70" t="s">
        <v>186</v>
      </c>
      <c r="K70">
        <f t="shared" si="2"/>
        <v>81.599999999999994</v>
      </c>
      <c r="L70">
        <f t="shared" si="3"/>
        <v>82.79</v>
      </c>
      <c r="M70" t="s">
        <v>24</v>
      </c>
      <c r="O70" s="7">
        <v>44467</v>
      </c>
      <c r="Q70">
        <v>82807</v>
      </c>
      <c r="R70" t="s">
        <v>51</v>
      </c>
      <c r="S70">
        <v>440</v>
      </c>
    </row>
    <row r="71" spans="1:19" x14ac:dyDescent="0.15">
      <c r="A71" s="4" t="s">
        <v>19</v>
      </c>
      <c r="B71" t="s">
        <v>20</v>
      </c>
      <c r="C71" s="6">
        <v>31142564</v>
      </c>
      <c r="D71">
        <v>2</v>
      </c>
      <c r="E71" t="s">
        <v>75</v>
      </c>
      <c r="G71" s="9">
        <v>82.79</v>
      </c>
      <c r="H71">
        <v>83.5</v>
      </c>
      <c r="I71" t="s">
        <v>186</v>
      </c>
      <c r="K71">
        <f t="shared" si="2"/>
        <v>82.79</v>
      </c>
      <c r="L71">
        <f t="shared" si="3"/>
        <v>83.5</v>
      </c>
      <c r="M71" t="s">
        <v>27</v>
      </c>
      <c r="O71" s="7">
        <v>44467</v>
      </c>
      <c r="Q71" t="s">
        <v>48</v>
      </c>
      <c r="R71" t="s">
        <v>51</v>
      </c>
      <c r="S71" t="s">
        <v>64</v>
      </c>
    </row>
    <row r="72" spans="1:19" x14ac:dyDescent="0.15">
      <c r="A72" s="4" t="s">
        <v>19</v>
      </c>
      <c r="B72" t="s">
        <v>20</v>
      </c>
      <c r="C72" s="6">
        <v>31142564</v>
      </c>
      <c r="D72">
        <v>2</v>
      </c>
      <c r="E72" t="s">
        <v>75</v>
      </c>
      <c r="G72">
        <v>83.5</v>
      </c>
      <c r="H72">
        <v>83.9</v>
      </c>
      <c r="I72" t="s">
        <v>186</v>
      </c>
      <c r="K72">
        <f t="shared" si="2"/>
        <v>83.5</v>
      </c>
      <c r="L72">
        <f t="shared" si="3"/>
        <v>83.9</v>
      </c>
      <c r="M72" t="s">
        <v>24</v>
      </c>
      <c r="O72" s="7">
        <v>44467</v>
      </c>
      <c r="Q72">
        <v>82807</v>
      </c>
      <c r="R72" t="s">
        <v>51</v>
      </c>
    </row>
    <row r="73" spans="1:19" x14ac:dyDescent="0.15">
      <c r="A73" s="4" t="s">
        <v>19</v>
      </c>
      <c r="B73" t="s">
        <v>20</v>
      </c>
      <c r="C73" s="6">
        <v>31142564</v>
      </c>
      <c r="D73">
        <v>2</v>
      </c>
      <c r="E73" t="s">
        <v>75</v>
      </c>
      <c r="G73">
        <v>83.9</v>
      </c>
      <c r="H73">
        <v>84.15</v>
      </c>
      <c r="I73" t="s">
        <v>186</v>
      </c>
      <c r="K73">
        <f t="shared" si="2"/>
        <v>83.9</v>
      </c>
      <c r="L73">
        <f t="shared" si="3"/>
        <v>84.15</v>
      </c>
      <c r="M73" t="s">
        <v>27</v>
      </c>
      <c r="O73" s="7">
        <v>44467</v>
      </c>
      <c r="Q73" t="s">
        <v>48</v>
      </c>
      <c r="R73" t="s">
        <v>51</v>
      </c>
    </row>
    <row r="74" spans="1:19" x14ac:dyDescent="0.15">
      <c r="A74" s="4" t="s">
        <v>19</v>
      </c>
      <c r="B74" t="s">
        <v>20</v>
      </c>
      <c r="C74" s="6">
        <v>31142564</v>
      </c>
      <c r="D74">
        <v>2</v>
      </c>
      <c r="E74" t="s">
        <v>75</v>
      </c>
      <c r="G74">
        <v>84.15</v>
      </c>
      <c r="H74">
        <v>84.82</v>
      </c>
      <c r="I74" t="s">
        <v>186</v>
      </c>
      <c r="K74">
        <f t="shared" si="2"/>
        <v>84.15</v>
      </c>
      <c r="L74">
        <f t="shared" si="3"/>
        <v>84.82</v>
      </c>
      <c r="M74" t="s">
        <v>24</v>
      </c>
      <c r="O74" s="7">
        <v>44467</v>
      </c>
      <c r="Q74">
        <v>82807</v>
      </c>
      <c r="R74" t="s">
        <v>51</v>
      </c>
    </row>
    <row r="75" spans="1:19" x14ac:dyDescent="0.15">
      <c r="A75" s="4" t="s">
        <v>19</v>
      </c>
      <c r="B75" t="s">
        <v>20</v>
      </c>
      <c r="C75" s="6">
        <v>31142564</v>
      </c>
      <c r="D75">
        <v>2</v>
      </c>
      <c r="E75" t="s">
        <v>75</v>
      </c>
      <c r="G75">
        <v>84.82</v>
      </c>
      <c r="H75">
        <v>85.06</v>
      </c>
      <c r="I75" t="s">
        <v>186</v>
      </c>
      <c r="K75">
        <f t="shared" si="2"/>
        <v>84.82</v>
      </c>
      <c r="L75">
        <f t="shared" si="3"/>
        <v>85.06</v>
      </c>
      <c r="M75" t="s">
        <v>27</v>
      </c>
      <c r="O75" s="7">
        <v>44467</v>
      </c>
      <c r="Q75" t="s">
        <v>48</v>
      </c>
      <c r="R75" t="s">
        <v>51</v>
      </c>
    </row>
    <row r="76" spans="1:19" x14ac:dyDescent="0.15">
      <c r="A76" s="4" t="s">
        <v>19</v>
      </c>
      <c r="B76" t="s">
        <v>20</v>
      </c>
      <c r="C76" s="6">
        <v>31142564</v>
      </c>
      <c r="D76">
        <v>2</v>
      </c>
      <c r="E76" t="s">
        <v>75</v>
      </c>
      <c r="G76">
        <v>85.06</v>
      </c>
      <c r="H76">
        <v>85.12</v>
      </c>
      <c r="I76" t="s">
        <v>186</v>
      </c>
      <c r="K76">
        <f t="shared" si="2"/>
        <v>85.06</v>
      </c>
      <c r="L76">
        <f t="shared" si="3"/>
        <v>85.12</v>
      </c>
      <c r="M76" t="s">
        <v>24</v>
      </c>
      <c r="O76" s="7">
        <v>44467</v>
      </c>
      <c r="Q76">
        <v>82807</v>
      </c>
      <c r="R76" t="s">
        <v>51</v>
      </c>
    </row>
    <row r="77" spans="1:19" x14ac:dyDescent="0.15">
      <c r="A77" s="4" t="s">
        <v>19</v>
      </c>
      <c r="B77" t="s">
        <v>20</v>
      </c>
      <c r="C77" s="6">
        <v>31142564</v>
      </c>
      <c r="D77">
        <v>2</v>
      </c>
      <c r="E77" t="s">
        <v>75</v>
      </c>
      <c r="G77">
        <v>85.12</v>
      </c>
      <c r="H77">
        <v>85.2</v>
      </c>
      <c r="I77" t="s">
        <v>186</v>
      </c>
      <c r="K77">
        <f t="shared" si="2"/>
        <v>85.12</v>
      </c>
      <c r="L77">
        <f t="shared" si="3"/>
        <v>85.2</v>
      </c>
      <c r="M77" t="s">
        <v>27</v>
      </c>
      <c r="O77" s="7">
        <v>44467</v>
      </c>
      <c r="Q77" t="s">
        <v>48</v>
      </c>
      <c r="R77" t="s">
        <v>51</v>
      </c>
    </row>
    <row r="78" spans="1:19" x14ac:dyDescent="0.15">
      <c r="A78" s="4" t="s">
        <v>19</v>
      </c>
      <c r="B78" t="s">
        <v>20</v>
      </c>
      <c r="C78" s="6">
        <v>31142564</v>
      </c>
      <c r="D78">
        <v>2</v>
      </c>
      <c r="E78" t="s">
        <v>75</v>
      </c>
      <c r="G78">
        <v>85.2</v>
      </c>
      <c r="H78">
        <v>85.5</v>
      </c>
      <c r="I78" t="s">
        <v>186</v>
      </c>
      <c r="K78">
        <f t="shared" si="2"/>
        <v>85.2</v>
      </c>
      <c r="L78">
        <f t="shared" si="3"/>
        <v>85.5</v>
      </c>
      <c r="M78" t="s">
        <v>24</v>
      </c>
      <c r="O78" s="7">
        <v>44467</v>
      </c>
      <c r="Q78">
        <v>82807</v>
      </c>
      <c r="R78" t="s">
        <v>51</v>
      </c>
    </row>
    <row r="79" spans="1:19" x14ac:dyDescent="0.15">
      <c r="A79" s="4" t="s">
        <v>19</v>
      </c>
      <c r="B79" t="s">
        <v>20</v>
      </c>
      <c r="C79" s="6">
        <v>31142564</v>
      </c>
      <c r="D79">
        <v>2</v>
      </c>
      <c r="E79" t="s">
        <v>75</v>
      </c>
      <c r="G79">
        <v>83.26</v>
      </c>
      <c r="H79">
        <v>83.33</v>
      </c>
      <c r="I79" t="s">
        <v>97</v>
      </c>
      <c r="K79">
        <f t="shared" si="2"/>
        <v>83.26</v>
      </c>
      <c r="L79">
        <f t="shared" si="3"/>
        <v>83.33</v>
      </c>
      <c r="M79" t="s">
        <v>27</v>
      </c>
      <c r="O79" s="7">
        <v>44467</v>
      </c>
      <c r="Q79" t="s">
        <v>48</v>
      </c>
      <c r="R79" t="s">
        <v>51</v>
      </c>
    </row>
    <row r="80" spans="1:19" x14ac:dyDescent="0.15">
      <c r="A80" s="4" t="s">
        <v>19</v>
      </c>
      <c r="B80" t="s">
        <v>20</v>
      </c>
      <c r="C80" s="6">
        <v>31142564</v>
      </c>
      <c r="D80">
        <v>2</v>
      </c>
      <c r="E80" t="s">
        <v>75</v>
      </c>
      <c r="G80">
        <v>83.84</v>
      </c>
      <c r="H80">
        <v>84.1</v>
      </c>
      <c r="I80" t="s">
        <v>187</v>
      </c>
      <c r="K80">
        <f t="shared" si="2"/>
        <v>83.84</v>
      </c>
      <c r="L80">
        <f t="shared" si="3"/>
        <v>84.1</v>
      </c>
      <c r="M80" t="s">
        <v>24</v>
      </c>
      <c r="O80" s="7">
        <v>44467</v>
      </c>
      <c r="Q80">
        <v>82807</v>
      </c>
      <c r="R80" t="s">
        <v>51</v>
      </c>
    </row>
    <row r="81" spans="1:19" x14ac:dyDescent="0.15">
      <c r="A81" s="4" t="s">
        <v>19</v>
      </c>
      <c r="B81" t="s">
        <v>20</v>
      </c>
      <c r="C81" s="6">
        <v>31142564</v>
      </c>
      <c r="D81">
        <v>2</v>
      </c>
      <c r="E81" t="s">
        <v>75</v>
      </c>
      <c r="G81">
        <v>84.6</v>
      </c>
      <c r="H81">
        <v>84.82</v>
      </c>
      <c r="I81" t="s">
        <v>187</v>
      </c>
      <c r="K81">
        <f t="shared" si="2"/>
        <v>84.6</v>
      </c>
      <c r="L81">
        <f t="shared" si="3"/>
        <v>84.82</v>
      </c>
      <c r="M81" t="s">
        <v>24</v>
      </c>
      <c r="O81" s="7">
        <v>44467</v>
      </c>
      <c r="Q81">
        <v>82807</v>
      </c>
      <c r="R81" t="s">
        <v>51</v>
      </c>
    </row>
    <row r="82" spans="1:19" x14ac:dyDescent="0.15">
      <c r="A82" s="4" t="s">
        <v>19</v>
      </c>
      <c r="B82" t="s">
        <v>20</v>
      </c>
      <c r="C82" s="6">
        <v>31142564</v>
      </c>
      <c r="D82">
        <v>2</v>
      </c>
      <c r="E82" t="s">
        <v>75</v>
      </c>
      <c r="G82">
        <v>84.82</v>
      </c>
      <c r="H82">
        <v>85.06</v>
      </c>
      <c r="I82" t="s">
        <v>187</v>
      </c>
      <c r="K82">
        <f t="shared" si="2"/>
        <v>84.82</v>
      </c>
      <c r="L82">
        <f t="shared" si="3"/>
        <v>85.06</v>
      </c>
      <c r="M82" t="s">
        <v>27</v>
      </c>
      <c r="O82" s="7">
        <v>44467</v>
      </c>
      <c r="Q82" t="s">
        <v>48</v>
      </c>
      <c r="R82" t="s">
        <v>51</v>
      </c>
    </row>
    <row r="83" spans="1:19" x14ac:dyDescent="0.15">
      <c r="A83" s="4" t="s">
        <v>19</v>
      </c>
      <c r="B83" t="s">
        <v>20</v>
      </c>
      <c r="C83" s="6">
        <v>31142564</v>
      </c>
      <c r="D83">
        <v>2</v>
      </c>
      <c r="E83" t="s">
        <v>75</v>
      </c>
      <c r="G83">
        <v>85.06</v>
      </c>
      <c r="H83">
        <v>85.12</v>
      </c>
      <c r="I83" t="s">
        <v>187</v>
      </c>
      <c r="K83">
        <f t="shared" si="2"/>
        <v>85.06</v>
      </c>
      <c r="L83">
        <f t="shared" si="3"/>
        <v>85.12</v>
      </c>
      <c r="M83" t="s">
        <v>24</v>
      </c>
      <c r="O83" s="7">
        <v>44467</v>
      </c>
      <c r="Q83">
        <v>82807</v>
      </c>
      <c r="R83" t="s">
        <v>51</v>
      </c>
    </row>
    <row r="84" spans="1:19" x14ac:dyDescent="0.15">
      <c r="A84" s="4" t="s">
        <v>19</v>
      </c>
      <c r="B84" t="s">
        <v>20</v>
      </c>
      <c r="C84" s="6">
        <v>31142564</v>
      </c>
      <c r="D84">
        <v>2</v>
      </c>
      <c r="E84" t="s">
        <v>75</v>
      </c>
      <c r="G84">
        <v>85.12</v>
      </c>
      <c r="H84">
        <v>85.2</v>
      </c>
      <c r="I84" t="s">
        <v>187</v>
      </c>
      <c r="K84">
        <f t="shared" si="2"/>
        <v>85.12</v>
      </c>
      <c r="L84">
        <f t="shared" si="3"/>
        <v>85.2</v>
      </c>
      <c r="M84" t="s">
        <v>27</v>
      </c>
      <c r="O84" s="7">
        <v>44467</v>
      </c>
      <c r="Q84" t="s">
        <v>48</v>
      </c>
      <c r="R84" t="s">
        <v>51</v>
      </c>
    </row>
    <row r="85" spans="1:19" x14ac:dyDescent="0.15">
      <c r="A85" s="4" t="s">
        <v>19</v>
      </c>
      <c r="B85" t="s">
        <v>20</v>
      </c>
      <c r="C85" s="6">
        <v>31142564</v>
      </c>
      <c r="D85">
        <v>2</v>
      </c>
      <c r="E85" t="s">
        <v>75</v>
      </c>
      <c r="G85">
        <v>85.5</v>
      </c>
      <c r="H85">
        <v>88.3</v>
      </c>
      <c r="I85" t="s">
        <v>186</v>
      </c>
      <c r="K85">
        <f t="shared" si="2"/>
        <v>85.5</v>
      </c>
      <c r="L85">
        <f t="shared" si="3"/>
        <v>88.3</v>
      </c>
      <c r="M85" t="s">
        <v>24</v>
      </c>
      <c r="O85" s="7">
        <v>44467</v>
      </c>
      <c r="Q85">
        <v>82807</v>
      </c>
      <c r="R85" t="s">
        <v>51</v>
      </c>
      <c r="S85">
        <v>551</v>
      </c>
    </row>
    <row r="86" spans="1:19" x14ac:dyDescent="0.15">
      <c r="A86" s="4" t="s">
        <v>19</v>
      </c>
      <c r="B86" t="s">
        <v>20</v>
      </c>
      <c r="C86" s="6">
        <v>31142564</v>
      </c>
      <c r="D86">
        <v>2</v>
      </c>
      <c r="E86" t="s">
        <v>75</v>
      </c>
      <c r="G86">
        <v>85.5</v>
      </c>
      <c r="H86">
        <v>85.6</v>
      </c>
      <c r="I86" t="s">
        <v>22</v>
      </c>
      <c r="K86">
        <f t="shared" si="2"/>
        <v>85.5</v>
      </c>
      <c r="L86">
        <f t="shared" si="3"/>
        <v>85.6</v>
      </c>
      <c r="M86" t="s">
        <v>24</v>
      </c>
      <c r="O86" s="7">
        <v>44467</v>
      </c>
      <c r="R86" t="s">
        <v>51</v>
      </c>
    </row>
    <row r="87" spans="1:19" x14ac:dyDescent="0.15">
      <c r="A87" s="4" t="s">
        <v>19</v>
      </c>
      <c r="B87" t="s">
        <v>20</v>
      </c>
      <c r="C87" s="6">
        <v>31142564</v>
      </c>
      <c r="D87">
        <v>2</v>
      </c>
      <c r="E87" t="s">
        <v>75</v>
      </c>
      <c r="G87">
        <v>88.3</v>
      </c>
      <c r="H87">
        <v>88.5</v>
      </c>
      <c r="I87" t="s">
        <v>181</v>
      </c>
      <c r="K87">
        <f t="shared" si="2"/>
        <v>88.3</v>
      </c>
      <c r="L87">
        <f t="shared" si="3"/>
        <v>88.5</v>
      </c>
      <c r="M87" t="s">
        <v>24</v>
      </c>
      <c r="O87" s="7">
        <v>44467</v>
      </c>
      <c r="Q87">
        <v>82807</v>
      </c>
      <c r="R87" t="s">
        <v>51</v>
      </c>
      <c r="S87">
        <v>128</v>
      </c>
    </row>
    <row r="88" spans="1:19" x14ac:dyDescent="0.15">
      <c r="A88" s="4" t="s">
        <v>19</v>
      </c>
      <c r="B88" t="s">
        <v>20</v>
      </c>
      <c r="C88" s="6">
        <v>31142564</v>
      </c>
      <c r="D88">
        <v>2</v>
      </c>
      <c r="E88" t="s">
        <v>75</v>
      </c>
      <c r="G88">
        <v>88.3</v>
      </c>
      <c r="H88">
        <v>88.5</v>
      </c>
      <c r="I88" t="s">
        <v>186</v>
      </c>
      <c r="K88">
        <f t="shared" si="2"/>
        <v>88.3</v>
      </c>
      <c r="L88">
        <f t="shared" si="3"/>
        <v>88.5</v>
      </c>
      <c r="M88" t="s">
        <v>24</v>
      </c>
      <c r="O88" s="7">
        <v>44467</v>
      </c>
      <c r="Q88">
        <v>82807</v>
      </c>
      <c r="R88" t="s">
        <v>51</v>
      </c>
    </row>
    <row r="89" spans="1:19" x14ac:dyDescent="0.15">
      <c r="A89" s="4" t="s">
        <v>19</v>
      </c>
      <c r="B89" t="s">
        <v>20</v>
      </c>
      <c r="C89" s="6">
        <v>31142564</v>
      </c>
      <c r="D89">
        <v>2</v>
      </c>
      <c r="E89" t="s">
        <v>75</v>
      </c>
      <c r="G89">
        <v>88.3</v>
      </c>
      <c r="H89">
        <v>88.5</v>
      </c>
      <c r="I89" t="s">
        <v>303</v>
      </c>
      <c r="K89">
        <f t="shared" si="2"/>
        <v>88.3</v>
      </c>
      <c r="L89">
        <f t="shared" si="3"/>
        <v>88.5</v>
      </c>
      <c r="M89" t="s">
        <v>24</v>
      </c>
      <c r="O89" s="7">
        <v>44467</v>
      </c>
      <c r="Q89">
        <v>82807</v>
      </c>
      <c r="R89" t="s">
        <v>51</v>
      </c>
    </row>
    <row r="90" spans="1:19" x14ac:dyDescent="0.15">
      <c r="A90" s="4" t="s">
        <v>19</v>
      </c>
      <c r="B90" t="s">
        <v>20</v>
      </c>
      <c r="C90" s="6">
        <v>31142564</v>
      </c>
      <c r="D90">
        <v>2</v>
      </c>
      <c r="E90" t="s">
        <v>75</v>
      </c>
      <c r="G90">
        <v>88.5</v>
      </c>
      <c r="H90">
        <v>89.3</v>
      </c>
      <c r="I90" t="s">
        <v>181</v>
      </c>
      <c r="K90">
        <f t="shared" si="2"/>
        <v>88.5</v>
      </c>
      <c r="L90">
        <f t="shared" si="3"/>
        <v>89.3</v>
      </c>
      <c r="M90" t="s">
        <v>24</v>
      </c>
      <c r="O90" s="7">
        <v>44467</v>
      </c>
      <c r="Q90">
        <v>82807</v>
      </c>
      <c r="R90" t="s">
        <v>51</v>
      </c>
    </row>
    <row r="91" spans="1:19" x14ac:dyDescent="0.15">
      <c r="A91" s="4" t="s">
        <v>19</v>
      </c>
      <c r="B91" t="s">
        <v>20</v>
      </c>
      <c r="C91" s="6">
        <v>31142564</v>
      </c>
      <c r="D91">
        <v>2</v>
      </c>
      <c r="E91" t="s">
        <v>75</v>
      </c>
      <c r="G91">
        <v>88.5</v>
      </c>
      <c r="H91">
        <v>89.3</v>
      </c>
      <c r="I91" t="s">
        <v>98</v>
      </c>
      <c r="K91">
        <f t="shared" si="2"/>
        <v>88.5</v>
      </c>
      <c r="L91">
        <f t="shared" si="3"/>
        <v>89.3</v>
      </c>
      <c r="M91" t="s">
        <v>24</v>
      </c>
      <c r="O91" s="7">
        <v>44467</v>
      </c>
      <c r="Q91">
        <v>82807</v>
      </c>
      <c r="R91" t="s">
        <v>51</v>
      </c>
    </row>
    <row r="92" spans="1:19" x14ac:dyDescent="0.15">
      <c r="A92" s="4" t="s">
        <v>19</v>
      </c>
      <c r="B92" t="s">
        <v>20</v>
      </c>
      <c r="C92" s="6">
        <v>31142564</v>
      </c>
      <c r="D92">
        <v>2</v>
      </c>
      <c r="E92" t="s">
        <v>75</v>
      </c>
      <c r="G92">
        <v>88.5</v>
      </c>
      <c r="H92">
        <v>89.3</v>
      </c>
      <c r="I92" t="s">
        <v>188</v>
      </c>
      <c r="K92">
        <f t="shared" si="2"/>
        <v>88.5</v>
      </c>
      <c r="L92">
        <f t="shared" si="3"/>
        <v>89.3</v>
      </c>
      <c r="M92" t="s">
        <v>24</v>
      </c>
      <c r="O92" s="7">
        <v>44467</v>
      </c>
      <c r="Q92">
        <v>82807</v>
      </c>
      <c r="R92" t="s">
        <v>51</v>
      </c>
    </row>
    <row r="93" spans="1:19" x14ac:dyDescent="0.15">
      <c r="A93" s="4" t="s">
        <v>19</v>
      </c>
      <c r="B93" t="s">
        <v>20</v>
      </c>
      <c r="C93" s="6">
        <v>31142564</v>
      </c>
      <c r="D93">
        <v>2</v>
      </c>
      <c r="E93" t="s">
        <v>76</v>
      </c>
      <c r="F93" t="s">
        <v>84</v>
      </c>
      <c r="G93">
        <v>63.8</v>
      </c>
      <c r="H93">
        <v>63.9</v>
      </c>
      <c r="I93" t="s">
        <v>94</v>
      </c>
      <c r="K93">
        <f t="shared" si="2"/>
        <v>63.8</v>
      </c>
      <c r="L93">
        <f t="shared" si="3"/>
        <v>63.9</v>
      </c>
      <c r="M93" t="s">
        <v>25</v>
      </c>
      <c r="O93" s="7">
        <v>44469</v>
      </c>
      <c r="Q93">
        <v>55031</v>
      </c>
      <c r="R93" t="s">
        <v>51</v>
      </c>
      <c r="S93">
        <v>55</v>
      </c>
    </row>
    <row r="94" spans="1:19" x14ac:dyDescent="0.15">
      <c r="A94" s="4" t="s">
        <v>19</v>
      </c>
      <c r="B94" t="s">
        <v>20</v>
      </c>
      <c r="C94" s="6">
        <v>31142564</v>
      </c>
      <c r="D94">
        <v>2</v>
      </c>
      <c r="E94" t="s">
        <v>74</v>
      </c>
      <c r="G94">
        <v>67.8</v>
      </c>
      <c r="H94">
        <v>67.599999999999994</v>
      </c>
      <c r="I94" t="s">
        <v>209</v>
      </c>
      <c r="K94">
        <f t="shared" si="2"/>
        <v>67.599999999999994</v>
      </c>
      <c r="L94">
        <f t="shared" si="3"/>
        <v>67.8</v>
      </c>
      <c r="M94" t="s">
        <v>24</v>
      </c>
      <c r="O94" s="7">
        <v>44487</v>
      </c>
      <c r="Q94">
        <v>83407</v>
      </c>
      <c r="R94" t="s">
        <v>50</v>
      </c>
      <c r="S94">
        <v>83</v>
      </c>
    </row>
    <row r="95" spans="1:19" x14ac:dyDescent="0.15">
      <c r="A95" s="4" t="s">
        <v>19</v>
      </c>
      <c r="B95" t="s">
        <v>20</v>
      </c>
      <c r="C95" s="6">
        <v>31142564</v>
      </c>
      <c r="D95">
        <v>2</v>
      </c>
      <c r="E95" t="s">
        <v>74</v>
      </c>
      <c r="G95">
        <v>67.8</v>
      </c>
      <c r="H95">
        <v>67.599999999999994</v>
      </c>
      <c r="I95" t="s">
        <v>304</v>
      </c>
      <c r="K95">
        <f t="shared" si="2"/>
        <v>67.599999999999994</v>
      </c>
      <c r="L95">
        <f t="shared" si="3"/>
        <v>67.8</v>
      </c>
      <c r="M95" t="s">
        <v>24</v>
      </c>
      <c r="O95" s="7">
        <v>44487</v>
      </c>
      <c r="Q95">
        <v>83407</v>
      </c>
      <c r="R95" t="s">
        <v>52</v>
      </c>
    </row>
    <row r="96" spans="1:19" x14ac:dyDescent="0.15">
      <c r="A96" s="4" t="s">
        <v>19</v>
      </c>
      <c r="B96" t="s">
        <v>20</v>
      </c>
      <c r="C96" s="6">
        <v>31142564</v>
      </c>
      <c r="D96">
        <v>2</v>
      </c>
      <c r="E96" t="s">
        <v>76</v>
      </c>
      <c r="F96" t="s">
        <v>83</v>
      </c>
      <c r="G96">
        <v>65.84</v>
      </c>
      <c r="H96">
        <v>65.55</v>
      </c>
      <c r="I96" t="s">
        <v>92</v>
      </c>
      <c r="K96">
        <f t="shared" si="2"/>
        <v>65.55</v>
      </c>
      <c r="L96">
        <f t="shared" si="3"/>
        <v>65.84</v>
      </c>
      <c r="M96" t="s">
        <v>27</v>
      </c>
      <c r="O96" s="7">
        <v>44503</v>
      </c>
      <c r="Q96" t="s">
        <v>47</v>
      </c>
      <c r="R96" t="s">
        <v>52</v>
      </c>
      <c r="S96" t="s">
        <v>65</v>
      </c>
    </row>
    <row r="97" spans="1:19" x14ac:dyDescent="0.15">
      <c r="A97" s="4" t="s">
        <v>19</v>
      </c>
      <c r="B97" t="s">
        <v>20</v>
      </c>
      <c r="C97" s="6">
        <v>31142564</v>
      </c>
      <c r="D97">
        <v>12</v>
      </c>
      <c r="E97" t="s">
        <v>76</v>
      </c>
      <c r="F97" t="s">
        <v>82</v>
      </c>
      <c r="G97">
        <v>60.03</v>
      </c>
      <c r="H97">
        <v>60.13</v>
      </c>
      <c r="J97" t="s">
        <v>23</v>
      </c>
      <c r="K97">
        <f t="shared" si="2"/>
        <v>60.03</v>
      </c>
      <c r="L97">
        <f t="shared" si="3"/>
        <v>60.13</v>
      </c>
      <c r="M97" t="s">
        <v>28</v>
      </c>
      <c r="O97" s="7">
        <v>44449</v>
      </c>
      <c r="P97" t="s">
        <v>43</v>
      </c>
      <c r="Q97">
        <v>88407</v>
      </c>
      <c r="R97" t="s">
        <v>52</v>
      </c>
      <c r="S97">
        <v>145</v>
      </c>
    </row>
    <row r="98" spans="1:19" x14ac:dyDescent="0.15">
      <c r="A98" s="4" t="s">
        <v>19</v>
      </c>
      <c r="B98" t="s">
        <v>20</v>
      </c>
      <c r="C98" s="6">
        <v>31142564</v>
      </c>
      <c r="D98">
        <v>12</v>
      </c>
      <c r="E98" t="s">
        <v>74</v>
      </c>
      <c r="G98">
        <v>61</v>
      </c>
      <c r="H98">
        <v>60.5</v>
      </c>
      <c r="I98" t="s">
        <v>182</v>
      </c>
      <c r="K98">
        <f t="shared" si="2"/>
        <v>60.5</v>
      </c>
      <c r="L98">
        <f t="shared" si="3"/>
        <v>61</v>
      </c>
      <c r="M98" t="s">
        <v>29</v>
      </c>
      <c r="O98" s="7">
        <v>44487</v>
      </c>
      <c r="Q98">
        <v>83407</v>
      </c>
      <c r="R98" t="s">
        <v>52</v>
      </c>
      <c r="S98">
        <v>119</v>
      </c>
    </row>
    <row r="99" spans="1:19" x14ac:dyDescent="0.15">
      <c r="A99" s="4" t="s">
        <v>19</v>
      </c>
      <c r="B99" t="s">
        <v>20</v>
      </c>
      <c r="C99" s="6">
        <v>31142564</v>
      </c>
      <c r="D99">
        <v>12</v>
      </c>
      <c r="E99" t="s">
        <v>76</v>
      </c>
      <c r="F99" t="s">
        <v>81</v>
      </c>
      <c r="G99">
        <v>58.4</v>
      </c>
      <c r="H99">
        <v>58.2</v>
      </c>
      <c r="I99" t="s">
        <v>92</v>
      </c>
      <c r="K99">
        <f t="shared" si="2"/>
        <v>58.2</v>
      </c>
      <c r="L99">
        <f t="shared" si="3"/>
        <v>58.4</v>
      </c>
      <c r="M99" t="s">
        <v>25</v>
      </c>
      <c r="O99" s="7">
        <v>44453</v>
      </c>
      <c r="Q99">
        <v>55031</v>
      </c>
      <c r="R99" t="s">
        <v>52</v>
      </c>
      <c r="S99">
        <v>94</v>
      </c>
    </row>
    <row r="100" spans="1:19" x14ac:dyDescent="0.15">
      <c r="A100" s="4" t="s">
        <v>19</v>
      </c>
      <c r="B100" t="s">
        <v>20</v>
      </c>
      <c r="C100" s="6">
        <v>31142564</v>
      </c>
      <c r="D100">
        <v>12</v>
      </c>
      <c r="E100" t="s">
        <v>74</v>
      </c>
      <c r="G100">
        <v>57.2</v>
      </c>
      <c r="H100">
        <v>57.1</v>
      </c>
      <c r="I100" t="s">
        <v>92</v>
      </c>
      <c r="K100">
        <f t="shared" si="2"/>
        <v>57.1</v>
      </c>
      <c r="L100">
        <f t="shared" si="3"/>
        <v>57.2</v>
      </c>
      <c r="M100" t="s">
        <v>29</v>
      </c>
      <c r="O100" s="7">
        <v>44469</v>
      </c>
      <c r="Q100">
        <v>83407</v>
      </c>
      <c r="R100" t="s">
        <v>53</v>
      </c>
      <c r="S100">
        <v>175</v>
      </c>
    </row>
    <row r="101" spans="1:19" x14ac:dyDescent="0.15">
      <c r="A101" s="4" t="s">
        <v>19</v>
      </c>
      <c r="B101" t="s">
        <v>20</v>
      </c>
      <c r="C101" s="6">
        <v>31142564</v>
      </c>
      <c r="D101">
        <v>12</v>
      </c>
      <c r="E101" t="s">
        <v>74</v>
      </c>
      <c r="G101">
        <v>57.2</v>
      </c>
      <c r="H101">
        <v>57</v>
      </c>
      <c r="I101" t="s">
        <v>182</v>
      </c>
      <c r="K101">
        <f t="shared" si="2"/>
        <v>57</v>
      </c>
      <c r="L101">
        <f t="shared" si="3"/>
        <v>57.2</v>
      </c>
      <c r="M101" t="s">
        <v>29</v>
      </c>
      <c r="O101" s="7">
        <v>44469</v>
      </c>
      <c r="Q101">
        <v>83407</v>
      </c>
      <c r="R101" t="s">
        <v>53</v>
      </c>
    </row>
    <row r="102" spans="1:19" x14ac:dyDescent="0.15">
      <c r="A102" s="4" t="s">
        <v>19</v>
      </c>
      <c r="B102" t="s">
        <v>20</v>
      </c>
      <c r="C102" s="6">
        <v>31142564</v>
      </c>
      <c r="D102">
        <v>12</v>
      </c>
      <c r="E102" t="s">
        <v>74</v>
      </c>
      <c r="G102">
        <v>56.91</v>
      </c>
      <c r="H102">
        <v>56.5</v>
      </c>
      <c r="I102" t="s">
        <v>182</v>
      </c>
      <c r="K102">
        <f t="shared" si="2"/>
        <v>56.5</v>
      </c>
      <c r="L102">
        <f t="shared" si="3"/>
        <v>56.91</v>
      </c>
      <c r="M102" t="s">
        <v>29</v>
      </c>
      <c r="O102" s="7">
        <v>44469</v>
      </c>
      <c r="Q102">
        <v>83407</v>
      </c>
      <c r="R102" t="s">
        <v>53</v>
      </c>
    </row>
    <row r="103" spans="1:19" x14ac:dyDescent="0.15">
      <c r="A103" s="4" t="s">
        <v>19</v>
      </c>
      <c r="B103" t="s">
        <v>20</v>
      </c>
      <c r="C103" s="6">
        <v>31142564</v>
      </c>
      <c r="D103">
        <v>12</v>
      </c>
      <c r="E103" t="s">
        <v>74</v>
      </c>
      <c r="G103">
        <v>55.9</v>
      </c>
      <c r="H103">
        <v>55.7</v>
      </c>
      <c r="I103" t="s">
        <v>209</v>
      </c>
      <c r="K103">
        <f t="shared" si="2"/>
        <v>55.7</v>
      </c>
      <c r="L103">
        <f t="shared" si="3"/>
        <v>55.9</v>
      </c>
      <c r="M103" t="s">
        <v>25</v>
      </c>
      <c r="O103" s="7">
        <v>44475</v>
      </c>
      <c r="Q103">
        <v>55031</v>
      </c>
      <c r="R103" t="s">
        <v>53</v>
      </c>
      <c r="S103">
        <v>955</v>
      </c>
    </row>
    <row r="104" spans="1:19" x14ac:dyDescent="0.15">
      <c r="A104" s="4" t="s">
        <v>19</v>
      </c>
      <c r="B104" t="s">
        <v>20</v>
      </c>
      <c r="C104" s="6">
        <v>31142564</v>
      </c>
      <c r="D104">
        <v>12</v>
      </c>
      <c r="E104" t="s">
        <v>74</v>
      </c>
      <c r="G104">
        <v>55.2</v>
      </c>
      <c r="H104">
        <v>54.7</v>
      </c>
      <c r="I104" t="s">
        <v>182</v>
      </c>
      <c r="K104">
        <f t="shared" si="2"/>
        <v>54.7</v>
      </c>
      <c r="L104">
        <f t="shared" si="3"/>
        <v>55.2</v>
      </c>
      <c r="M104" t="s">
        <v>25</v>
      </c>
      <c r="O104" s="7">
        <v>44475</v>
      </c>
      <c r="Q104">
        <v>83407</v>
      </c>
      <c r="R104" t="s">
        <v>53</v>
      </c>
    </row>
    <row r="105" spans="1:19" x14ac:dyDescent="0.15">
      <c r="A105" s="4" t="s">
        <v>19</v>
      </c>
      <c r="B105" t="s">
        <v>20</v>
      </c>
      <c r="C105" s="6">
        <v>31142564</v>
      </c>
      <c r="D105">
        <v>12</v>
      </c>
      <c r="E105" t="s">
        <v>74</v>
      </c>
      <c r="G105">
        <v>55.2</v>
      </c>
      <c r="H105">
        <v>54.7</v>
      </c>
      <c r="I105" t="s">
        <v>209</v>
      </c>
      <c r="K105">
        <f t="shared" si="2"/>
        <v>54.7</v>
      </c>
      <c r="L105">
        <f t="shared" si="3"/>
        <v>55.2</v>
      </c>
      <c r="M105" t="s">
        <v>25</v>
      </c>
      <c r="O105" s="7">
        <v>44475</v>
      </c>
      <c r="Q105">
        <v>83407</v>
      </c>
      <c r="R105" t="s">
        <v>53</v>
      </c>
    </row>
    <row r="106" spans="1:19" x14ac:dyDescent="0.15">
      <c r="A106" s="4" t="s">
        <v>19</v>
      </c>
      <c r="B106" t="s">
        <v>20</v>
      </c>
      <c r="C106" s="6">
        <v>31142564</v>
      </c>
      <c r="D106">
        <v>12</v>
      </c>
      <c r="E106" t="s">
        <v>74</v>
      </c>
      <c r="G106">
        <v>54.63</v>
      </c>
      <c r="H106">
        <v>54.4</v>
      </c>
      <c r="I106" t="s">
        <v>182</v>
      </c>
      <c r="K106">
        <f t="shared" si="2"/>
        <v>54.4</v>
      </c>
      <c r="L106">
        <f t="shared" si="3"/>
        <v>54.63</v>
      </c>
      <c r="M106" t="s">
        <v>25</v>
      </c>
      <c r="O106" s="7">
        <v>44475</v>
      </c>
      <c r="Q106">
        <v>83407</v>
      </c>
      <c r="R106" t="s">
        <v>53</v>
      </c>
    </row>
    <row r="107" spans="1:19" x14ac:dyDescent="0.15">
      <c r="A107" s="4" t="s">
        <v>19</v>
      </c>
      <c r="B107" t="s">
        <v>20</v>
      </c>
      <c r="C107" s="6">
        <v>31142564</v>
      </c>
      <c r="D107">
        <v>12</v>
      </c>
      <c r="E107" t="s">
        <v>74</v>
      </c>
      <c r="G107">
        <v>54.63</v>
      </c>
      <c r="H107">
        <v>54.4</v>
      </c>
      <c r="I107" t="s">
        <v>209</v>
      </c>
      <c r="K107">
        <f t="shared" si="2"/>
        <v>54.4</v>
      </c>
      <c r="L107">
        <f t="shared" si="3"/>
        <v>54.63</v>
      </c>
      <c r="M107" t="s">
        <v>25</v>
      </c>
      <c r="O107" s="7">
        <v>44475</v>
      </c>
      <c r="Q107">
        <v>83407</v>
      </c>
      <c r="R107" t="s">
        <v>53</v>
      </c>
    </row>
    <row r="108" spans="1:19" x14ac:dyDescent="0.15">
      <c r="A108" s="4" t="s">
        <v>19</v>
      </c>
      <c r="B108" t="s">
        <v>20</v>
      </c>
      <c r="C108" s="6">
        <v>31142564</v>
      </c>
      <c r="D108">
        <v>12</v>
      </c>
      <c r="E108" t="s">
        <v>74</v>
      </c>
      <c r="G108">
        <v>54.63</v>
      </c>
      <c r="H108">
        <v>54.37</v>
      </c>
      <c r="I108" t="s">
        <v>209</v>
      </c>
      <c r="K108">
        <f t="shared" si="2"/>
        <v>54.37</v>
      </c>
      <c r="L108">
        <f t="shared" si="3"/>
        <v>54.63</v>
      </c>
      <c r="M108" t="s">
        <v>25</v>
      </c>
      <c r="O108" s="7">
        <v>44475</v>
      </c>
      <c r="Q108">
        <v>83407</v>
      </c>
      <c r="R108" t="s">
        <v>53</v>
      </c>
    </row>
    <row r="109" spans="1:19" x14ac:dyDescent="0.15">
      <c r="A109" s="4" t="s">
        <v>19</v>
      </c>
      <c r="B109" t="s">
        <v>20</v>
      </c>
      <c r="C109" s="6">
        <v>31142564</v>
      </c>
      <c r="D109">
        <v>12</v>
      </c>
      <c r="E109" t="s">
        <v>74</v>
      </c>
      <c r="G109">
        <v>54.63</v>
      </c>
      <c r="H109">
        <v>54.37</v>
      </c>
      <c r="I109" t="s">
        <v>209</v>
      </c>
      <c r="K109">
        <f t="shared" si="2"/>
        <v>54.37</v>
      </c>
      <c r="L109">
        <f t="shared" si="3"/>
        <v>54.63</v>
      </c>
      <c r="M109" t="s">
        <v>25</v>
      </c>
      <c r="O109" s="7">
        <v>44475</v>
      </c>
      <c r="Q109">
        <v>83407</v>
      </c>
      <c r="R109" t="s">
        <v>53</v>
      </c>
    </row>
    <row r="110" spans="1:19" x14ac:dyDescent="0.15">
      <c r="A110" s="4" t="s">
        <v>19</v>
      </c>
      <c r="B110" t="s">
        <v>20</v>
      </c>
      <c r="C110" s="6">
        <v>31142564</v>
      </c>
      <c r="D110">
        <v>12</v>
      </c>
      <c r="E110" t="s">
        <v>76</v>
      </c>
      <c r="F110" t="s">
        <v>80</v>
      </c>
      <c r="G110">
        <v>51.62</v>
      </c>
      <c r="H110">
        <v>51.2</v>
      </c>
      <c r="J110" t="s">
        <v>23</v>
      </c>
      <c r="K110">
        <f t="shared" si="2"/>
        <v>51.2</v>
      </c>
      <c r="L110">
        <f t="shared" si="3"/>
        <v>51.62</v>
      </c>
      <c r="M110" t="s">
        <v>28</v>
      </c>
      <c r="N110" t="s">
        <v>38</v>
      </c>
      <c r="O110" s="7">
        <v>44475</v>
      </c>
      <c r="Q110">
        <v>88407</v>
      </c>
      <c r="R110" t="s">
        <v>54</v>
      </c>
      <c r="S110">
        <v>270</v>
      </c>
    </row>
    <row r="111" spans="1:19" x14ac:dyDescent="0.15">
      <c r="A111" s="4" t="s">
        <v>19</v>
      </c>
      <c r="B111" t="s">
        <v>20</v>
      </c>
      <c r="C111" s="6">
        <v>31142564</v>
      </c>
      <c r="D111">
        <v>2</v>
      </c>
      <c r="E111" t="s">
        <v>75</v>
      </c>
      <c r="G111">
        <v>79.739999999999995</v>
      </c>
      <c r="H111">
        <v>80.3</v>
      </c>
      <c r="I111" t="s">
        <v>186</v>
      </c>
      <c r="K111">
        <f t="shared" si="2"/>
        <v>79.739999999999995</v>
      </c>
      <c r="L111">
        <f t="shared" si="3"/>
        <v>80.3</v>
      </c>
      <c r="M111" t="s">
        <v>27</v>
      </c>
      <c r="O111" s="7">
        <v>44534</v>
      </c>
      <c r="Q111" t="s">
        <v>48</v>
      </c>
      <c r="R111" t="s">
        <v>54</v>
      </c>
      <c r="S111" t="s">
        <v>66</v>
      </c>
    </row>
    <row r="112" spans="1:19" x14ac:dyDescent="0.15">
      <c r="A112" s="4" t="s">
        <v>19</v>
      </c>
      <c r="B112" t="s">
        <v>20</v>
      </c>
      <c r="C112" s="6">
        <v>31142564</v>
      </c>
      <c r="D112">
        <v>2</v>
      </c>
      <c r="E112" t="s">
        <v>75</v>
      </c>
      <c r="G112">
        <v>79.739999999999995</v>
      </c>
      <c r="H112">
        <v>80.3</v>
      </c>
      <c r="I112" t="s">
        <v>187</v>
      </c>
      <c r="K112">
        <f t="shared" si="2"/>
        <v>79.739999999999995</v>
      </c>
      <c r="L112">
        <f t="shared" si="3"/>
        <v>80.3</v>
      </c>
      <c r="M112" t="s">
        <v>27</v>
      </c>
      <c r="O112" s="7">
        <v>44534</v>
      </c>
      <c r="Q112" t="s">
        <v>48</v>
      </c>
      <c r="R112" t="s">
        <v>54</v>
      </c>
    </row>
    <row r="113" spans="1:18" x14ac:dyDescent="0.15">
      <c r="A113" s="4" t="s">
        <v>19</v>
      </c>
      <c r="B113" t="s">
        <v>20</v>
      </c>
      <c r="C113" s="6">
        <v>31142564</v>
      </c>
      <c r="D113">
        <v>2</v>
      </c>
      <c r="E113" t="s">
        <v>75</v>
      </c>
      <c r="G113">
        <v>80.3</v>
      </c>
      <c r="H113">
        <v>80.459999999999994</v>
      </c>
      <c r="I113" t="s">
        <v>186</v>
      </c>
      <c r="K113">
        <f t="shared" si="2"/>
        <v>80.3</v>
      </c>
      <c r="L113">
        <f t="shared" si="3"/>
        <v>80.459999999999994</v>
      </c>
      <c r="M113" t="s">
        <v>24</v>
      </c>
      <c r="O113" s="7">
        <v>44534</v>
      </c>
      <c r="Q113">
        <v>82807</v>
      </c>
      <c r="R113" t="s">
        <v>54</v>
      </c>
    </row>
    <row r="114" spans="1:18" x14ac:dyDescent="0.15">
      <c r="A114" s="4" t="s">
        <v>19</v>
      </c>
      <c r="B114" t="s">
        <v>20</v>
      </c>
      <c r="C114" s="6">
        <v>31142564</v>
      </c>
      <c r="D114">
        <v>2</v>
      </c>
      <c r="E114" t="s">
        <v>75</v>
      </c>
      <c r="G114">
        <v>80.459999999999994</v>
      </c>
      <c r="H114">
        <v>80.474999999999994</v>
      </c>
      <c r="I114" t="s">
        <v>186</v>
      </c>
      <c r="K114">
        <f t="shared" si="2"/>
        <v>80.459999999999994</v>
      </c>
      <c r="L114">
        <f t="shared" si="3"/>
        <v>80.474999999999994</v>
      </c>
      <c r="M114" t="s">
        <v>24</v>
      </c>
      <c r="O114" s="7">
        <v>44534</v>
      </c>
      <c r="Q114">
        <v>82807</v>
      </c>
      <c r="R114" t="s">
        <v>54</v>
      </c>
    </row>
    <row r="115" spans="1:18" x14ac:dyDescent="0.15">
      <c r="A115" s="4" t="s">
        <v>19</v>
      </c>
      <c r="B115" t="s">
        <v>20</v>
      </c>
      <c r="C115" s="6">
        <v>31142564</v>
      </c>
      <c r="D115">
        <v>2</v>
      </c>
      <c r="E115" t="s">
        <v>75</v>
      </c>
      <c r="G115">
        <v>80.474999999999994</v>
      </c>
      <c r="H115">
        <v>81.099999999999994</v>
      </c>
      <c r="I115" t="s">
        <v>186</v>
      </c>
      <c r="K115">
        <f t="shared" si="2"/>
        <v>80.474999999999994</v>
      </c>
      <c r="L115">
        <f t="shared" si="3"/>
        <v>81.099999999999994</v>
      </c>
      <c r="M115" t="s">
        <v>24</v>
      </c>
      <c r="O115" s="7">
        <v>44534</v>
      </c>
      <c r="Q115">
        <v>82807</v>
      </c>
      <c r="R115" t="s">
        <v>54</v>
      </c>
    </row>
    <row r="116" spans="1:18" x14ac:dyDescent="0.15">
      <c r="A116" s="4" t="s">
        <v>19</v>
      </c>
      <c r="B116" t="s">
        <v>20</v>
      </c>
      <c r="C116" s="6">
        <v>31142564</v>
      </c>
      <c r="D116">
        <v>2</v>
      </c>
      <c r="E116" t="s">
        <v>75</v>
      </c>
      <c r="G116">
        <v>81.099999999999994</v>
      </c>
      <c r="H116">
        <v>81.400000000000006</v>
      </c>
      <c r="I116" t="s">
        <v>181</v>
      </c>
      <c r="K116">
        <f t="shared" si="2"/>
        <v>81.099999999999994</v>
      </c>
      <c r="L116">
        <f t="shared" si="3"/>
        <v>81.400000000000006</v>
      </c>
      <c r="M116" t="s">
        <v>27</v>
      </c>
      <c r="O116" s="7">
        <v>44534</v>
      </c>
      <c r="Q116" t="s">
        <v>48</v>
      </c>
      <c r="R116" t="s">
        <v>54</v>
      </c>
    </row>
    <row r="117" spans="1:18" x14ac:dyDescent="0.15">
      <c r="A117" s="4" t="s">
        <v>19</v>
      </c>
      <c r="B117" t="s">
        <v>20</v>
      </c>
      <c r="C117" s="6">
        <v>31142564</v>
      </c>
      <c r="D117">
        <v>2</v>
      </c>
      <c r="E117" t="s">
        <v>75</v>
      </c>
      <c r="G117">
        <v>81.099999999999994</v>
      </c>
      <c r="H117">
        <v>81.599999999999994</v>
      </c>
      <c r="I117" t="s">
        <v>186</v>
      </c>
      <c r="K117">
        <f t="shared" si="2"/>
        <v>81.099999999999994</v>
      </c>
      <c r="L117">
        <f t="shared" si="3"/>
        <v>81.599999999999994</v>
      </c>
      <c r="M117" t="s">
        <v>27</v>
      </c>
      <c r="O117" s="7">
        <v>44534</v>
      </c>
      <c r="Q117" t="s">
        <v>48</v>
      </c>
      <c r="R117" t="s">
        <v>54</v>
      </c>
    </row>
    <row r="118" spans="1:18" x14ac:dyDescent="0.15">
      <c r="A118" s="4" t="s">
        <v>19</v>
      </c>
      <c r="B118" t="s">
        <v>20</v>
      </c>
      <c r="C118" s="6">
        <v>31142564</v>
      </c>
      <c r="D118">
        <v>2</v>
      </c>
      <c r="E118" t="s">
        <v>75</v>
      </c>
      <c r="G118">
        <v>81.34</v>
      </c>
      <c r="H118">
        <v>81.400000000000006</v>
      </c>
      <c r="I118" t="s">
        <v>187</v>
      </c>
      <c r="K118">
        <f t="shared" si="2"/>
        <v>81.34</v>
      </c>
      <c r="L118">
        <f t="shared" si="3"/>
        <v>81.400000000000006</v>
      </c>
      <c r="M118" t="s">
        <v>27</v>
      </c>
      <c r="O118" s="7">
        <v>44534</v>
      </c>
      <c r="Q118" t="s">
        <v>48</v>
      </c>
      <c r="R118" t="s">
        <v>54</v>
      </c>
    </row>
    <row r="119" spans="1:18" x14ac:dyDescent="0.15">
      <c r="A119" s="4" t="s">
        <v>19</v>
      </c>
      <c r="B119" t="s">
        <v>20</v>
      </c>
      <c r="C119" s="6">
        <v>31142564</v>
      </c>
      <c r="D119">
        <v>2</v>
      </c>
      <c r="E119" t="s">
        <v>75</v>
      </c>
      <c r="G119">
        <v>81.400000000000006</v>
      </c>
      <c r="H119">
        <v>81.599999999999994</v>
      </c>
      <c r="I119" t="s">
        <v>187</v>
      </c>
      <c r="K119">
        <f t="shared" si="2"/>
        <v>81.400000000000006</v>
      </c>
      <c r="L119">
        <f t="shared" si="3"/>
        <v>81.599999999999994</v>
      </c>
      <c r="M119" t="s">
        <v>27</v>
      </c>
      <c r="N119" t="s">
        <v>39</v>
      </c>
      <c r="O119" s="7">
        <v>44534</v>
      </c>
      <c r="Q119" t="s">
        <v>48</v>
      </c>
      <c r="R119" t="s">
        <v>54</v>
      </c>
    </row>
    <row r="120" spans="1:18" x14ac:dyDescent="0.15">
      <c r="A120" s="4" t="s">
        <v>19</v>
      </c>
      <c r="B120" t="s">
        <v>20</v>
      </c>
      <c r="C120" s="6">
        <v>31142564</v>
      </c>
      <c r="D120">
        <v>2</v>
      </c>
      <c r="E120" t="s">
        <v>74</v>
      </c>
      <c r="G120">
        <v>89.1</v>
      </c>
      <c r="H120">
        <v>88.1</v>
      </c>
      <c r="I120" t="s">
        <v>209</v>
      </c>
      <c r="K120">
        <f t="shared" si="2"/>
        <v>88.1</v>
      </c>
      <c r="L120">
        <f t="shared" si="3"/>
        <v>89.1</v>
      </c>
      <c r="M120" t="s">
        <v>24</v>
      </c>
      <c r="O120" s="7">
        <v>44529</v>
      </c>
      <c r="Q120">
        <v>82807</v>
      </c>
      <c r="R120" t="s">
        <v>54</v>
      </c>
    </row>
    <row r="121" spans="1:18" x14ac:dyDescent="0.15">
      <c r="A121" s="4" t="s">
        <v>19</v>
      </c>
      <c r="B121" t="s">
        <v>20</v>
      </c>
      <c r="C121" s="6">
        <v>31142564</v>
      </c>
      <c r="D121">
        <v>2</v>
      </c>
      <c r="E121" t="s">
        <v>74</v>
      </c>
      <c r="G121">
        <v>87.79</v>
      </c>
      <c r="H121">
        <v>87.69</v>
      </c>
      <c r="I121" t="s">
        <v>95</v>
      </c>
      <c r="K121">
        <f t="shared" si="2"/>
        <v>87.69</v>
      </c>
      <c r="L121">
        <f t="shared" si="3"/>
        <v>87.79</v>
      </c>
      <c r="M121" t="s">
        <v>27</v>
      </c>
      <c r="O121" s="7">
        <v>44529</v>
      </c>
      <c r="Q121" t="s">
        <v>48</v>
      </c>
      <c r="R121" t="s">
        <v>54</v>
      </c>
    </row>
    <row r="122" spans="1:18" x14ac:dyDescent="0.15">
      <c r="A122" s="4" t="s">
        <v>19</v>
      </c>
      <c r="B122" t="s">
        <v>20</v>
      </c>
      <c r="C122" s="6">
        <v>31142564</v>
      </c>
      <c r="D122">
        <v>2</v>
      </c>
      <c r="E122" t="s">
        <v>74</v>
      </c>
      <c r="G122">
        <v>87.3</v>
      </c>
      <c r="H122">
        <v>87.2</v>
      </c>
      <c r="I122" t="s">
        <v>209</v>
      </c>
      <c r="K122">
        <f t="shared" si="2"/>
        <v>87.2</v>
      </c>
      <c r="L122">
        <f t="shared" si="3"/>
        <v>87.3</v>
      </c>
      <c r="M122" t="s">
        <v>24</v>
      </c>
      <c r="O122" s="7">
        <v>44529</v>
      </c>
      <c r="Q122">
        <v>82807</v>
      </c>
      <c r="R122" t="s">
        <v>54</v>
      </c>
    </row>
    <row r="123" spans="1:18" x14ac:dyDescent="0.15">
      <c r="A123" s="4" t="s">
        <v>19</v>
      </c>
      <c r="B123" t="s">
        <v>20</v>
      </c>
      <c r="C123" s="6">
        <v>31142564</v>
      </c>
      <c r="D123">
        <v>2</v>
      </c>
      <c r="E123" t="s">
        <v>74</v>
      </c>
      <c r="G123">
        <v>85.9</v>
      </c>
      <c r="H123">
        <v>85.8</v>
      </c>
      <c r="I123" t="s">
        <v>209</v>
      </c>
      <c r="K123">
        <f t="shared" si="2"/>
        <v>85.8</v>
      </c>
      <c r="L123">
        <f t="shared" si="3"/>
        <v>85.9</v>
      </c>
      <c r="M123" t="s">
        <v>24</v>
      </c>
      <c r="O123" s="7">
        <v>44529</v>
      </c>
      <c r="Q123">
        <v>82807</v>
      </c>
      <c r="R123" t="s">
        <v>54</v>
      </c>
    </row>
    <row r="124" spans="1:18" x14ac:dyDescent="0.15">
      <c r="A124" s="4" t="s">
        <v>19</v>
      </c>
      <c r="B124" t="s">
        <v>20</v>
      </c>
      <c r="C124" s="6">
        <v>31142564</v>
      </c>
      <c r="D124">
        <v>2</v>
      </c>
      <c r="E124" t="s">
        <v>74</v>
      </c>
      <c r="G124">
        <v>85.57</v>
      </c>
      <c r="H124">
        <v>85.54</v>
      </c>
      <c r="J124" t="s">
        <v>23</v>
      </c>
      <c r="K124">
        <f t="shared" si="2"/>
        <v>85.54</v>
      </c>
      <c r="L124">
        <f t="shared" si="3"/>
        <v>85.57</v>
      </c>
      <c r="M124" t="s">
        <v>27</v>
      </c>
      <c r="O124" s="7">
        <v>44529</v>
      </c>
      <c r="Q124" t="s">
        <v>48</v>
      </c>
      <c r="R124" t="s">
        <v>54</v>
      </c>
    </row>
    <row r="125" spans="1:18" x14ac:dyDescent="0.15">
      <c r="A125" s="4" t="s">
        <v>19</v>
      </c>
      <c r="B125" t="s">
        <v>20</v>
      </c>
      <c r="C125" s="6">
        <v>31142564</v>
      </c>
      <c r="D125">
        <v>2</v>
      </c>
      <c r="E125" t="s">
        <v>74</v>
      </c>
      <c r="G125">
        <v>85.3</v>
      </c>
      <c r="H125">
        <v>85.135000000000005</v>
      </c>
      <c r="I125" t="s">
        <v>209</v>
      </c>
      <c r="K125">
        <f t="shared" si="2"/>
        <v>85.135000000000005</v>
      </c>
      <c r="L125">
        <f t="shared" si="3"/>
        <v>85.3</v>
      </c>
      <c r="M125" t="s">
        <v>24</v>
      </c>
      <c r="O125" s="7">
        <v>44529</v>
      </c>
      <c r="Q125">
        <v>82807</v>
      </c>
      <c r="R125" t="s">
        <v>54</v>
      </c>
    </row>
    <row r="126" spans="1:18" x14ac:dyDescent="0.15">
      <c r="A126" s="4" t="s">
        <v>19</v>
      </c>
      <c r="B126" t="s">
        <v>20</v>
      </c>
      <c r="C126" s="6">
        <v>31142564</v>
      </c>
      <c r="D126">
        <v>2</v>
      </c>
      <c r="E126" t="s">
        <v>74</v>
      </c>
      <c r="G126">
        <v>85.135000000000005</v>
      </c>
      <c r="H126">
        <v>85.1</v>
      </c>
      <c r="I126" t="s">
        <v>209</v>
      </c>
      <c r="K126">
        <f t="shared" si="2"/>
        <v>85.1</v>
      </c>
      <c r="L126">
        <f t="shared" si="3"/>
        <v>85.135000000000005</v>
      </c>
      <c r="M126" t="s">
        <v>24</v>
      </c>
      <c r="O126" s="7">
        <v>44529</v>
      </c>
      <c r="Q126">
        <v>82807</v>
      </c>
      <c r="R126" t="s">
        <v>54</v>
      </c>
    </row>
    <row r="127" spans="1:18" x14ac:dyDescent="0.15">
      <c r="A127" s="4" t="s">
        <v>19</v>
      </c>
      <c r="B127" t="s">
        <v>20</v>
      </c>
      <c r="C127" s="6">
        <v>31142564</v>
      </c>
      <c r="D127">
        <v>2</v>
      </c>
      <c r="E127" t="s">
        <v>74</v>
      </c>
      <c r="G127">
        <v>85.1</v>
      </c>
      <c r="H127">
        <v>85.064999999999998</v>
      </c>
      <c r="I127" t="s">
        <v>209</v>
      </c>
      <c r="K127">
        <f t="shared" si="2"/>
        <v>85.064999999999998</v>
      </c>
      <c r="L127">
        <f t="shared" si="3"/>
        <v>85.1</v>
      </c>
      <c r="M127" t="s">
        <v>24</v>
      </c>
      <c r="O127" s="7">
        <v>44529</v>
      </c>
      <c r="Q127">
        <v>82807</v>
      </c>
      <c r="R127" t="s">
        <v>54</v>
      </c>
    </row>
    <row r="128" spans="1:18" x14ac:dyDescent="0.15">
      <c r="A128" s="4" t="s">
        <v>19</v>
      </c>
      <c r="B128" t="s">
        <v>20</v>
      </c>
      <c r="C128" s="6">
        <v>31142564</v>
      </c>
      <c r="D128">
        <v>2</v>
      </c>
      <c r="E128" t="s">
        <v>74</v>
      </c>
      <c r="G128">
        <v>85.064999999999998</v>
      </c>
      <c r="H128">
        <v>85.02</v>
      </c>
      <c r="I128" t="s">
        <v>91</v>
      </c>
      <c r="K128">
        <f t="shared" si="2"/>
        <v>85.02</v>
      </c>
      <c r="L128">
        <f t="shared" si="3"/>
        <v>85.064999999999998</v>
      </c>
      <c r="M128" t="s">
        <v>24</v>
      </c>
      <c r="O128" s="7">
        <v>44529</v>
      </c>
      <c r="Q128">
        <v>82807</v>
      </c>
      <c r="R128" t="s">
        <v>54</v>
      </c>
    </row>
    <row r="129" spans="1:19" x14ac:dyDescent="0.15">
      <c r="A129" s="4" t="s">
        <v>19</v>
      </c>
      <c r="B129" t="s">
        <v>20</v>
      </c>
      <c r="C129" s="6">
        <v>31142564</v>
      </c>
      <c r="D129">
        <v>2</v>
      </c>
      <c r="E129" t="s">
        <v>74</v>
      </c>
      <c r="G129">
        <v>85.064999999999998</v>
      </c>
      <c r="H129">
        <v>85.02</v>
      </c>
      <c r="I129" t="s">
        <v>92</v>
      </c>
      <c r="K129">
        <f t="shared" ref="K129:K192" si="4">MIN(G129:H129)</f>
        <v>85.02</v>
      </c>
      <c r="L129">
        <f t="shared" ref="L129:L192" si="5">MAX(G129:H129)</f>
        <v>85.064999999999998</v>
      </c>
      <c r="M129" t="s">
        <v>24</v>
      </c>
      <c r="O129" s="7">
        <v>44529</v>
      </c>
      <c r="Q129">
        <v>82807</v>
      </c>
      <c r="R129" t="s">
        <v>54</v>
      </c>
    </row>
    <row r="130" spans="1:19" x14ac:dyDescent="0.15">
      <c r="A130" s="4" t="s">
        <v>19</v>
      </c>
      <c r="B130" t="s">
        <v>20</v>
      </c>
      <c r="C130" s="6">
        <v>31142564</v>
      </c>
      <c r="D130">
        <v>2</v>
      </c>
      <c r="E130" t="s">
        <v>74</v>
      </c>
      <c r="G130">
        <v>85.064999999999998</v>
      </c>
      <c r="H130">
        <v>85.02</v>
      </c>
      <c r="I130" t="s">
        <v>182</v>
      </c>
      <c r="K130">
        <f t="shared" si="4"/>
        <v>85.02</v>
      </c>
      <c r="L130">
        <f t="shared" si="5"/>
        <v>85.064999999999998</v>
      </c>
      <c r="M130" t="s">
        <v>24</v>
      </c>
      <c r="O130" s="7">
        <v>44529</v>
      </c>
      <c r="Q130">
        <v>82807</v>
      </c>
      <c r="R130" t="s">
        <v>54</v>
      </c>
    </row>
    <row r="131" spans="1:19" x14ac:dyDescent="0.15">
      <c r="A131" s="4" t="s">
        <v>19</v>
      </c>
      <c r="B131" t="s">
        <v>20</v>
      </c>
      <c r="C131" s="6">
        <v>31142564</v>
      </c>
      <c r="D131">
        <v>2</v>
      </c>
      <c r="E131" t="s">
        <v>74</v>
      </c>
      <c r="G131">
        <v>85.064999999999998</v>
      </c>
      <c r="H131">
        <v>85.02</v>
      </c>
      <c r="I131" t="s">
        <v>209</v>
      </c>
      <c r="K131">
        <f t="shared" si="4"/>
        <v>85.02</v>
      </c>
      <c r="L131">
        <f t="shared" si="5"/>
        <v>85.064999999999998</v>
      </c>
      <c r="M131" t="s">
        <v>27</v>
      </c>
      <c r="O131" s="7">
        <v>44529</v>
      </c>
      <c r="Q131" t="s">
        <v>48</v>
      </c>
      <c r="R131" t="s">
        <v>54</v>
      </c>
    </row>
    <row r="132" spans="1:19" x14ac:dyDescent="0.15">
      <c r="A132" s="4" t="s">
        <v>19</v>
      </c>
      <c r="B132" t="s">
        <v>20</v>
      </c>
      <c r="C132" s="6">
        <v>31142564</v>
      </c>
      <c r="D132">
        <v>2</v>
      </c>
      <c r="E132" t="s">
        <v>74</v>
      </c>
      <c r="G132">
        <v>85.064999999999998</v>
      </c>
      <c r="H132">
        <v>85.02</v>
      </c>
      <c r="I132" t="s">
        <v>90</v>
      </c>
      <c r="K132">
        <f t="shared" si="4"/>
        <v>85.02</v>
      </c>
      <c r="L132">
        <f t="shared" si="5"/>
        <v>85.064999999999998</v>
      </c>
      <c r="M132" t="s">
        <v>24</v>
      </c>
      <c r="O132" s="7">
        <v>44529</v>
      </c>
      <c r="Q132">
        <v>82807</v>
      </c>
      <c r="R132" t="s">
        <v>54</v>
      </c>
    </row>
    <row r="133" spans="1:19" x14ac:dyDescent="0.15">
      <c r="A133" s="4" t="s">
        <v>19</v>
      </c>
      <c r="B133" t="s">
        <v>20</v>
      </c>
      <c r="C133" s="6">
        <v>31142564</v>
      </c>
      <c r="D133">
        <v>2</v>
      </c>
      <c r="E133" t="s">
        <v>74</v>
      </c>
      <c r="G133">
        <v>85.02</v>
      </c>
      <c r="H133">
        <v>84.984999999999999</v>
      </c>
      <c r="J133" t="s">
        <v>23</v>
      </c>
      <c r="K133">
        <f t="shared" si="4"/>
        <v>84.984999999999999</v>
      </c>
      <c r="L133">
        <f t="shared" si="5"/>
        <v>85.02</v>
      </c>
      <c r="M133" t="s">
        <v>27</v>
      </c>
      <c r="O133" s="7">
        <v>44529</v>
      </c>
      <c r="Q133" t="s">
        <v>48</v>
      </c>
      <c r="R133" t="s">
        <v>54</v>
      </c>
    </row>
    <row r="134" spans="1:19" x14ac:dyDescent="0.15">
      <c r="A134" s="4" t="s">
        <v>19</v>
      </c>
      <c r="B134" t="s">
        <v>20</v>
      </c>
      <c r="C134" s="6">
        <v>31142564</v>
      </c>
      <c r="D134">
        <v>2</v>
      </c>
      <c r="E134" t="s">
        <v>74</v>
      </c>
      <c r="G134">
        <v>84.984999999999999</v>
      </c>
      <c r="H134">
        <v>84.7</v>
      </c>
      <c r="I134" t="s">
        <v>209</v>
      </c>
      <c r="K134">
        <f t="shared" si="4"/>
        <v>84.7</v>
      </c>
      <c r="L134">
        <f t="shared" si="5"/>
        <v>84.984999999999999</v>
      </c>
      <c r="M134" t="s">
        <v>24</v>
      </c>
      <c r="O134" s="7">
        <v>44529</v>
      </c>
      <c r="Q134">
        <v>82807</v>
      </c>
      <c r="R134" t="s">
        <v>54</v>
      </c>
    </row>
    <row r="135" spans="1:19" x14ac:dyDescent="0.15">
      <c r="A135" s="4" t="s">
        <v>19</v>
      </c>
      <c r="B135" t="s">
        <v>20</v>
      </c>
      <c r="C135" s="6">
        <v>31142564</v>
      </c>
      <c r="D135">
        <v>2</v>
      </c>
      <c r="E135" t="s">
        <v>76</v>
      </c>
      <c r="F135" t="s">
        <v>77</v>
      </c>
      <c r="G135">
        <v>85.165000000000006</v>
      </c>
      <c r="H135">
        <v>84.66</v>
      </c>
      <c r="J135" t="s">
        <v>23</v>
      </c>
      <c r="K135">
        <f t="shared" si="4"/>
        <v>84.66</v>
      </c>
      <c r="L135">
        <f t="shared" si="5"/>
        <v>85.165000000000006</v>
      </c>
      <c r="M135" t="s">
        <v>28</v>
      </c>
      <c r="O135" s="7">
        <v>44529</v>
      </c>
      <c r="Q135">
        <v>44004</v>
      </c>
      <c r="R135" t="s">
        <v>54</v>
      </c>
    </row>
    <row r="136" spans="1:19" x14ac:dyDescent="0.15">
      <c r="A136" s="4" t="s">
        <v>19</v>
      </c>
      <c r="B136" t="s">
        <v>20</v>
      </c>
      <c r="C136" s="6">
        <v>31142564</v>
      </c>
      <c r="D136">
        <v>2</v>
      </c>
      <c r="E136" t="s">
        <v>74</v>
      </c>
      <c r="G136">
        <v>84.65</v>
      </c>
      <c r="H136">
        <v>84.5</v>
      </c>
      <c r="I136" t="s">
        <v>95</v>
      </c>
      <c r="K136">
        <f t="shared" si="4"/>
        <v>84.5</v>
      </c>
      <c r="L136">
        <f t="shared" si="5"/>
        <v>84.65</v>
      </c>
      <c r="M136" t="s">
        <v>27</v>
      </c>
      <c r="O136" s="7">
        <v>44529</v>
      </c>
      <c r="Q136" t="s">
        <v>48</v>
      </c>
      <c r="R136" t="s">
        <v>54</v>
      </c>
    </row>
    <row r="137" spans="1:19" x14ac:dyDescent="0.15">
      <c r="A137" s="4" t="s">
        <v>19</v>
      </c>
      <c r="B137" t="s">
        <v>20</v>
      </c>
      <c r="C137" s="6">
        <v>31142564</v>
      </c>
      <c r="D137">
        <v>2</v>
      </c>
      <c r="E137" t="s">
        <v>74</v>
      </c>
      <c r="G137">
        <v>84.7</v>
      </c>
      <c r="H137">
        <v>84.3</v>
      </c>
      <c r="I137" t="s">
        <v>209</v>
      </c>
      <c r="K137">
        <f t="shared" si="4"/>
        <v>84.3</v>
      </c>
      <c r="L137">
        <f t="shared" si="5"/>
        <v>84.7</v>
      </c>
      <c r="M137" t="s">
        <v>24</v>
      </c>
      <c r="O137" s="7">
        <v>44530</v>
      </c>
      <c r="Q137">
        <v>82807</v>
      </c>
      <c r="R137" t="s">
        <v>54</v>
      </c>
      <c r="S137" t="s">
        <v>67</v>
      </c>
    </row>
    <row r="138" spans="1:19" x14ac:dyDescent="0.15">
      <c r="A138" s="4" t="s">
        <v>19</v>
      </c>
      <c r="B138" t="s">
        <v>20</v>
      </c>
      <c r="C138" s="6">
        <v>31142564</v>
      </c>
      <c r="D138">
        <v>2</v>
      </c>
      <c r="E138" t="s">
        <v>74</v>
      </c>
      <c r="G138">
        <v>83.8</v>
      </c>
      <c r="H138">
        <v>83.314999999999998</v>
      </c>
      <c r="I138" t="s">
        <v>209</v>
      </c>
      <c r="K138">
        <f t="shared" si="4"/>
        <v>83.314999999999998</v>
      </c>
      <c r="L138">
        <f t="shared" si="5"/>
        <v>83.8</v>
      </c>
      <c r="M138" t="s">
        <v>24</v>
      </c>
      <c r="O138" s="7">
        <v>44530</v>
      </c>
      <c r="Q138">
        <v>82807</v>
      </c>
      <c r="R138" t="s">
        <v>54</v>
      </c>
    </row>
    <row r="139" spans="1:19" x14ac:dyDescent="0.15">
      <c r="A139" s="4" t="s">
        <v>19</v>
      </c>
      <c r="B139" t="s">
        <v>20</v>
      </c>
      <c r="C139" s="6">
        <v>31142564</v>
      </c>
      <c r="D139">
        <v>2</v>
      </c>
      <c r="E139" t="s">
        <v>74</v>
      </c>
      <c r="G139">
        <v>83.265000000000001</v>
      </c>
      <c r="H139">
        <v>83.1</v>
      </c>
      <c r="I139" t="s">
        <v>209</v>
      </c>
      <c r="K139">
        <f t="shared" si="4"/>
        <v>83.1</v>
      </c>
      <c r="L139">
        <f t="shared" si="5"/>
        <v>83.265000000000001</v>
      </c>
      <c r="M139" t="s">
        <v>24</v>
      </c>
      <c r="O139" s="7">
        <v>44530</v>
      </c>
      <c r="Q139">
        <v>82807</v>
      </c>
      <c r="R139" t="s">
        <v>54</v>
      </c>
    </row>
    <row r="140" spans="1:19" x14ac:dyDescent="0.15">
      <c r="A140" s="4" t="s">
        <v>19</v>
      </c>
      <c r="B140" t="s">
        <v>20</v>
      </c>
      <c r="C140" s="6">
        <v>31142564</v>
      </c>
      <c r="D140">
        <v>2</v>
      </c>
      <c r="E140" t="s">
        <v>74</v>
      </c>
      <c r="G140">
        <v>83.1</v>
      </c>
      <c r="H140">
        <v>82.8</v>
      </c>
      <c r="I140" t="s">
        <v>209</v>
      </c>
      <c r="K140">
        <f t="shared" si="4"/>
        <v>82.8</v>
      </c>
      <c r="L140">
        <f t="shared" si="5"/>
        <v>83.1</v>
      </c>
      <c r="M140" t="s">
        <v>24</v>
      </c>
      <c r="O140" s="7">
        <v>44530</v>
      </c>
      <c r="Q140">
        <v>82807</v>
      </c>
      <c r="R140" t="s">
        <v>54</v>
      </c>
    </row>
    <row r="141" spans="1:19" x14ac:dyDescent="0.15">
      <c r="A141" s="4" t="s">
        <v>19</v>
      </c>
      <c r="B141" t="s">
        <v>20</v>
      </c>
      <c r="C141" s="6">
        <v>31142564</v>
      </c>
      <c r="D141">
        <v>2</v>
      </c>
      <c r="E141" t="s">
        <v>74</v>
      </c>
      <c r="G141">
        <v>82.8</v>
      </c>
      <c r="H141">
        <v>82.7</v>
      </c>
      <c r="I141" t="s">
        <v>209</v>
      </c>
      <c r="K141">
        <f t="shared" si="4"/>
        <v>82.7</v>
      </c>
      <c r="L141">
        <f t="shared" si="5"/>
        <v>82.8</v>
      </c>
      <c r="M141" t="s">
        <v>27</v>
      </c>
      <c r="O141" s="7">
        <v>44530</v>
      </c>
      <c r="Q141" t="s">
        <v>48</v>
      </c>
      <c r="R141" t="s">
        <v>54</v>
      </c>
      <c r="S141" t="s">
        <v>68</v>
      </c>
    </row>
    <row r="142" spans="1:19" x14ac:dyDescent="0.15">
      <c r="A142" s="4" t="s">
        <v>19</v>
      </c>
      <c r="B142" t="s">
        <v>20</v>
      </c>
      <c r="C142" s="6">
        <v>31142564</v>
      </c>
      <c r="D142">
        <v>2</v>
      </c>
      <c r="E142" t="s">
        <v>74</v>
      </c>
      <c r="G142">
        <v>82.7</v>
      </c>
      <c r="H142">
        <v>82.6</v>
      </c>
      <c r="I142" t="s">
        <v>209</v>
      </c>
      <c r="K142">
        <f t="shared" si="4"/>
        <v>82.6</v>
      </c>
      <c r="L142">
        <f t="shared" si="5"/>
        <v>82.7</v>
      </c>
      <c r="M142" t="s">
        <v>27</v>
      </c>
      <c r="O142" s="7">
        <v>44530</v>
      </c>
      <c r="Q142" t="s">
        <v>48</v>
      </c>
      <c r="R142" t="s">
        <v>54</v>
      </c>
    </row>
    <row r="143" spans="1:19" x14ac:dyDescent="0.15">
      <c r="A143" s="4" t="s">
        <v>19</v>
      </c>
      <c r="B143" t="s">
        <v>20</v>
      </c>
      <c r="C143" s="6">
        <v>31142564</v>
      </c>
      <c r="D143">
        <v>2</v>
      </c>
      <c r="E143" t="s">
        <v>74</v>
      </c>
      <c r="G143">
        <v>82.8</v>
      </c>
      <c r="H143">
        <v>82.6</v>
      </c>
      <c r="I143" t="s">
        <v>182</v>
      </c>
      <c r="K143">
        <f t="shared" si="4"/>
        <v>82.6</v>
      </c>
      <c r="L143">
        <f t="shared" si="5"/>
        <v>82.8</v>
      </c>
      <c r="M143" t="s">
        <v>27</v>
      </c>
      <c r="O143" s="7">
        <v>44530</v>
      </c>
      <c r="Q143" t="s">
        <v>48</v>
      </c>
      <c r="R143" t="s">
        <v>54</v>
      </c>
    </row>
    <row r="144" spans="1:19" x14ac:dyDescent="0.15">
      <c r="A144" s="4" t="s">
        <v>19</v>
      </c>
      <c r="B144" t="s">
        <v>20</v>
      </c>
      <c r="C144" s="6">
        <v>31142564</v>
      </c>
      <c r="D144">
        <v>2</v>
      </c>
      <c r="E144" t="s">
        <v>74</v>
      </c>
      <c r="G144">
        <v>82.6</v>
      </c>
      <c r="H144">
        <v>81.7</v>
      </c>
      <c r="I144" t="s">
        <v>209</v>
      </c>
      <c r="K144">
        <f t="shared" si="4"/>
        <v>81.7</v>
      </c>
      <c r="L144">
        <f t="shared" si="5"/>
        <v>82.6</v>
      </c>
      <c r="M144" t="s">
        <v>24</v>
      </c>
      <c r="O144" s="7">
        <v>44530</v>
      </c>
      <c r="Q144">
        <v>82807</v>
      </c>
      <c r="R144" t="s">
        <v>54</v>
      </c>
      <c r="S144" t="s">
        <v>69</v>
      </c>
    </row>
    <row r="145" spans="1:20" x14ac:dyDescent="0.15">
      <c r="A145" s="4" t="s">
        <v>19</v>
      </c>
      <c r="B145" t="s">
        <v>20</v>
      </c>
      <c r="C145" s="6">
        <v>31142564</v>
      </c>
      <c r="D145">
        <v>2</v>
      </c>
      <c r="E145" t="s">
        <v>74</v>
      </c>
      <c r="G145">
        <v>81.7</v>
      </c>
      <c r="H145">
        <v>81.495000000000005</v>
      </c>
      <c r="I145" t="s">
        <v>209</v>
      </c>
      <c r="K145">
        <f t="shared" si="4"/>
        <v>81.495000000000005</v>
      </c>
      <c r="L145">
        <f t="shared" si="5"/>
        <v>81.7</v>
      </c>
      <c r="M145" t="s">
        <v>24</v>
      </c>
      <c r="O145" s="7">
        <v>44530</v>
      </c>
      <c r="Q145">
        <v>82807</v>
      </c>
      <c r="R145" t="s">
        <v>54</v>
      </c>
    </row>
    <row r="146" spans="1:20" x14ac:dyDescent="0.15">
      <c r="A146" s="4" t="s">
        <v>19</v>
      </c>
      <c r="B146" t="s">
        <v>20</v>
      </c>
      <c r="C146" s="6">
        <v>31142564</v>
      </c>
      <c r="D146">
        <v>2</v>
      </c>
      <c r="E146" t="s">
        <v>74</v>
      </c>
      <c r="G146">
        <v>81.495000000000005</v>
      </c>
      <c r="H146">
        <v>81.474999999999994</v>
      </c>
      <c r="I146" t="s">
        <v>209</v>
      </c>
      <c r="K146">
        <f t="shared" si="4"/>
        <v>81.474999999999994</v>
      </c>
      <c r="L146">
        <f t="shared" si="5"/>
        <v>81.495000000000005</v>
      </c>
      <c r="M146" t="s">
        <v>24</v>
      </c>
      <c r="O146" s="7">
        <v>44530</v>
      </c>
      <c r="Q146">
        <v>82807</v>
      </c>
      <c r="R146" t="s">
        <v>54</v>
      </c>
    </row>
    <row r="147" spans="1:20" x14ac:dyDescent="0.15">
      <c r="A147" s="4" t="s">
        <v>19</v>
      </c>
      <c r="B147" t="s">
        <v>20</v>
      </c>
      <c r="C147" s="6">
        <v>31142564</v>
      </c>
      <c r="D147">
        <v>2</v>
      </c>
      <c r="E147" t="s">
        <v>74</v>
      </c>
      <c r="G147">
        <v>81.495000000000005</v>
      </c>
      <c r="H147">
        <v>81.099999999999994</v>
      </c>
      <c r="I147" t="s">
        <v>209</v>
      </c>
      <c r="K147">
        <f t="shared" si="4"/>
        <v>81.099999999999994</v>
      </c>
      <c r="L147">
        <f t="shared" si="5"/>
        <v>81.495000000000005</v>
      </c>
      <c r="M147" t="s">
        <v>24</v>
      </c>
      <c r="O147" s="7">
        <v>44530</v>
      </c>
      <c r="Q147">
        <v>82807</v>
      </c>
      <c r="R147" t="s">
        <v>54</v>
      </c>
    </row>
    <row r="148" spans="1:20" x14ac:dyDescent="0.15">
      <c r="A148" s="4" t="s">
        <v>19</v>
      </c>
      <c r="B148" t="s">
        <v>20</v>
      </c>
      <c r="C148" s="6">
        <v>31142564</v>
      </c>
      <c r="D148">
        <v>2</v>
      </c>
      <c r="E148" t="s">
        <v>74</v>
      </c>
      <c r="G148">
        <v>81.099999999999994</v>
      </c>
      <c r="H148">
        <v>80.900000000000006</v>
      </c>
      <c r="I148" t="s">
        <v>182</v>
      </c>
      <c r="K148">
        <f t="shared" si="4"/>
        <v>80.900000000000006</v>
      </c>
      <c r="L148">
        <f t="shared" si="5"/>
        <v>81.099999999999994</v>
      </c>
      <c r="M148" t="s">
        <v>24</v>
      </c>
      <c r="O148" s="7">
        <v>44530</v>
      </c>
      <c r="P148" t="s">
        <v>44</v>
      </c>
      <c r="Q148">
        <v>82807</v>
      </c>
      <c r="R148" t="s">
        <v>54</v>
      </c>
      <c r="S148" t="s">
        <v>70</v>
      </c>
    </row>
    <row r="149" spans="1:20" x14ac:dyDescent="0.15">
      <c r="A149" s="4" t="s">
        <v>19</v>
      </c>
      <c r="B149" t="s">
        <v>20</v>
      </c>
      <c r="C149" s="6">
        <v>31142564</v>
      </c>
      <c r="D149">
        <v>2</v>
      </c>
      <c r="E149" t="s">
        <v>74</v>
      </c>
      <c r="G149">
        <v>81.099999999999994</v>
      </c>
      <c r="H149">
        <v>80.900000000000006</v>
      </c>
      <c r="I149" t="s">
        <v>209</v>
      </c>
      <c r="K149">
        <f t="shared" si="4"/>
        <v>80.900000000000006</v>
      </c>
      <c r="L149">
        <f t="shared" si="5"/>
        <v>81.099999999999994</v>
      </c>
      <c r="M149" t="s">
        <v>27</v>
      </c>
      <c r="O149" s="7">
        <v>44530</v>
      </c>
      <c r="Q149" t="s">
        <v>49</v>
      </c>
      <c r="R149" t="s">
        <v>54</v>
      </c>
      <c r="S149" t="s">
        <v>71</v>
      </c>
    </row>
    <row r="150" spans="1:20" x14ac:dyDescent="0.15">
      <c r="A150" s="4" t="s">
        <v>19</v>
      </c>
      <c r="B150" t="s">
        <v>20</v>
      </c>
      <c r="C150" s="6">
        <v>31142564</v>
      </c>
      <c r="D150">
        <v>2</v>
      </c>
      <c r="E150" t="s">
        <v>74</v>
      </c>
      <c r="G150">
        <v>81.099999999999994</v>
      </c>
      <c r="H150">
        <v>80.900000000000006</v>
      </c>
      <c r="I150" t="s">
        <v>291</v>
      </c>
      <c r="K150">
        <f t="shared" si="4"/>
        <v>80.900000000000006</v>
      </c>
      <c r="L150">
        <f t="shared" si="5"/>
        <v>81.099999999999994</v>
      </c>
      <c r="M150" t="s">
        <v>27</v>
      </c>
      <c r="O150" s="7">
        <v>44530</v>
      </c>
      <c r="Q150" t="s">
        <v>49</v>
      </c>
      <c r="R150" t="s">
        <v>54</v>
      </c>
    </row>
    <row r="151" spans="1:20" x14ac:dyDescent="0.15">
      <c r="A151" s="4" t="s">
        <v>19</v>
      </c>
      <c r="B151" t="s">
        <v>20</v>
      </c>
      <c r="C151" s="6">
        <v>31142564</v>
      </c>
      <c r="D151">
        <v>2</v>
      </c>
      <c r="E151" t="s">
        <v>74</v>
      </c>
      <c r="G151">
        <v>80.900000000000006</v>
      </c>
      <c r="H151">
        <v>80.474999999999994</v>
      </c>
      <c r="I151" t="s">
        <v>209</v>
      </c>
      <c r="K151">
        <f t="shared" si="4"/>
        <v>80.474999999999994</v>
      </c>
      <c r="L151">
        <f t="shared" si="5"/>
        <v>80.900000000000006</v>
      </c>
      <c r="M151" t="s">
        <v>27</v>
      </c>
      <c r="O151" s="7">
        <v>44530</v>
      </c>
      <c r="Q151" t="s">
        <v>49</v>
      </c>
      <c r="R151" t="s">
        <v>54</v>
      </c>
    </row>
    <row r="152" spans="1:20" x14ac:dyDescent="0.15">
      <c r="A152" s="4" t="s">
        <v>19</v>
      </c>
      <c r="B152" t="s">
        <v>20</v>
      </c>
      <c r="C152" s="6">
        <v>31142564</v>
      </c>
      <c r="D152">
        <v>2</v>
      </c>
      <c r="E152" t="s">
        <v>74</v>
      </c>
      <c r="G152">
        <v>80.474999999999994</v>
      </c>
      <c r="H152">
        <v>80.459999999999994</v>
      </c>
      <c r="I152" t="s">
        <v>209</v>
      </c>
      <c r="K152">
        <f t="shared" si="4"/>
        <v>80.459999999999994</v>
      </c>
      <c r="L152">
        <f t="shared" si="5"/>
        <v>80.474999999999994</v>
      </c>
      <c r="M152" t="s">
        <v>27</v>
      </c>
      <c r="O152" s="7">
        <v>44530</v>
      </c>
      <c r="Q152" t="s">
        <v>49</v>
      </c>
      <c r="R152" t="s">
        <v>54</v>
      </c>
    </row>
    <row r="153" spans="1:20" x14ac:dyDescent="0.15">
      <c r="A153" s="4" t="s">
        <v>19</v>
      </c>
      <c r="B153" t="s">
        <v>20</v>
      </c>
      <c r="C153" s="6">
        <v>31142564</v>
      </c>
      <c r="D153">
        <v>2</v>
      </c>
      <c r="E153" t="s">
        <v>74</v>
      </c>
      <c r="G153">
        <v>80.459999999999994</v>
      </c>
      <c r="H153">
        <v>80.155000000000001</v>
      </c>
      <c r="I153" t="s">
        <v>209</v>
      </c>
      <c r="K153">
        <f t="shared" si="4"/>
        <v>80.155000000000001</v>
      </c>
      <c r="L153">
        <f t="shared" si="5"/>
        <v>80.459999999999994</v>
      </c>
      <c r="M153" t="s">
        <v>27</v>
      </c>
      <c r="O153" s="7">
        <v>44530</v>
      </c>
      <c r="Q153" t="s">
        <v>49</v>
      </c>
      <c r="R153" t="s">
        <v>54</v>
      </c>
    </row>
    <row r="154" spans="1:20" x14ac:dyDescent="0.15">
      <c r="A154" s="4" t="s">
        <v>19</v>
      </c>
      <c r="B154" t="s">
        <v>20</v>
      </c>
      <c r="C154" s="6">
        <v>31142564</v>
      </c>
      <c r="D154">
        <v>2</v>
      </c>
      <c r="E154" t="s">
        <v>74</v>
      </c>
      <c r="G154">
        <v>80.155000000000001</v>
      </c>
      <c r="H154">
        <v>80.144999999999996</v>
      </c>
      <c r="J154" t="s">
        <v>23</v>
      </c>
      <c r="K154">
        <f t="shared" si="4"/>
        <v>80.144999999999996</v>
      </c>
      <c r="L154">
        <f t="shared" si="5"/>
        <v>80.155000000000001</v>
      </c>
      <c r="M154" t="s">
        <v>30</v>
      </c>
      <c r="O154" s="7">
        <v>44530</v>
      </c>
      <c r="Q154">
        <v>88407</v>
      </c>
      <c r="R154" t="s">
        <v>54</v>
      </c>
    </row>
    <row r="155" spans="1:20" x14ac:dyDescent="0.15">
      <c r="A155" s="4" t="s">
        <v>19</v>
      </c>
      <c r="B155" t="s">
        <v>20</v>
      </c>
      <c r="C155" s="6">
        <v>31142564</v>
      </c>
      <c r="D155">
        <v>2</v>
      </c>
      <c r="E155" t="s">
        <v>74</v>
      </c>
      <c r="G155">
        <v>80.144999999999996</v>
      </c>
      <c r="H155">
        <v>80.12</v>
      </c>
      <c r="I155" t="s">
        <v>209</v>
      </c>
      <c r="K155">
        <f t="shared" si="4"/>
        <v>80.12</v>
      </c>
      <c r="L155">
        <f t="shared" si="5"/>
        <v>80.144999999999996</v>
      </c>
      <c r="M155" t="s">
        <v>27</v>
      </c>
      <c r="O155" s="7">
        <v>44530</v>
      </c>
      <c r="Q155" t="s">
        <v>49</v>
      </c>
      <c r="R155" t="s">
        <v>54</v>
      </c>
    </row>
    <row r="156" spans="1:20" x14ac:dyDescent="0.15">
      <c r="A156" s="4" t="s">
        <v>19</v>
      </c>
      <c r="B156" t="s">
        <v>20</v>
      </c>
      <c r="C156" s="6">
        <v>31142564</v>
      </c>
      <c r="D156">
        <v>2</v>
      </c>
      <c r="E156" t="s">
        <v>74</v>
      </c>
      <c r="G156">
        <v>80.12</v>
      </c>
      <c r="H156">
        <v>80.099999999999994</v>
      </c>
      <c r="I156" t="s">
        <v>209</v>
      </c>
      <c r="K156">
        <f t="shared" si="4"/>
        <v>80.099999999999994</v>
      </c>
      <c r="L156">
        <f t="shared" si="5"/>
        <v>80.12</v>
      </c>
      <c r="M156" t="s">
        <v>24</v>
      </c>
      <c r="O156" s="7">
        <v>44530</v>
      </c>
      <c r="Q156">
        <v>82807</v>
      </c>
      <c r="R156" t="s">
        <v>54</v>
      </c>
    </row>
    <row r="157" spans="1:20" x14ac:dyDescent="0.15">
      <c r="A157" s="4" t="s">
        <v>19</v>
      </c>
      <c r="B157" t="s">
        <v>20</v>
      </c>
      <c r="C157" s="6">
        <v>31142564</v>
      </c>
      <c r="D157">
        <v>2</v>
      </c>
      <c r="E157" t="s">
        <v>74</v>
      </c>
      <c r="G157">
        <v>80.099999999999994</v>
      </c>
      <c r="H157">
        <v>80</v>
      </c>
      <c r="I157" t="s">
        <v>209</v>
      </c>
      <c r="K157">
        <f t="shared" si="4"/>
        <v>80</v>
      </c>
      <c r="L157">
        <f t="shared" si="5"/>
        <v>80.099999999999994</v>
      </c>
      <c r="M157" t="s">
        <v>24</v>
      </c>
      <c r="O157" s="7">
        <v>44530</v>
      </c>
      <c r="Q157">
        <v>82807</v>
      </c>
      <c r="R157" t="s">
        <v>54</v>
      </c>
    </row>
    <row r="158" spans="1:20" x14ac:dyDescent="0.15">
      <c r="A158" t="s">
        <v>72</v>
      </c>
      <c r="B158" t="s">
        <v>73</v>
      </c>
      <c r="C158">
        <v>31142566</v>
      </c>
      <c r="D158">
        <v>6</v>
      </c>
      <c r="E158" t="s">
        <v>74</v>
      </c>
      <c r="G158">
        <v>294.85000000000002</v>
      </c>
      <c r="H158">
        <v>294.3</v>
      </c>
      <c r="I158" t="s">
        <v>90</v>
      </c>
      <c r="K158">
        <f t="shared" si="4"/>
        <v>294.3</v>
      </c>
      <c r="L158">
        <f t="shared" si="5"/>
        <v>294.85000000000002</v>
      </c>
      <c r="M158" t="s">
        <v>25</v>
      </c>
      <c r="N158" t="s">
        <v>101</v>
      </c>
      <c r="O158" s="7">
        <v>44348</v>
      </c>
      <c r="P158" t="s">
        <v>103</v>
      </c>
      <c r="Q158">
        <v>76300602</v>
      </c>
      <c r="R158" t="s">
        <v>104</v>
      </c>
      <c r="S158" t="s">
        <v>109</v>
      </c>
      <c r="T158">
        <v>146.19999999999999</v>
      </c>
    </row>
    <row r="159" spans="1:20" x14ac:dyDescent="0.15">
      <c r="A159" t="s">
        <v>72</v>
      </c>
      <c r="B159" t="s">
        <v>73</v>
      </c>
      <c r="C159">
        <v>31142566</v>
      </c>
      <c r="D159">
        <v>6</v>
      </c>
      <c r="E159" t="s">
        <v>74</v>
      </c>
      <c r="G159">
        <v>293.75</v>
      </c>
      <c r="H159">
        <v>293.60000000000002</v>
      </c>
      <c r="I159" t="s">
        <v>91</v>
      </c>
      <c r="K159">
        <f t="shared" si="4"/>
        <v>293.60000000000002</v>
      </c>
      <c r="L159">
        <f t="shared" si="5"/>
        <v>293.75</v>
      </c>
      <c r="M159" t="s">
        <v>25</v>
      </c>
      <c r="O159" s="7">
        <v>44348</v>
      </c>
      <c r="P159" t="s">
        <v>105</v>
      </c>
      <c r="Q159">
        <v>74304200</v>
      </c>
      <c r="R159" t="s">
        <v>104</v>
      </c>
      <c r="T159">
        <v>141.30000000000001</v>
      </c>
    </row>
    <row r="160" spans="1:20" x14ac:dyDescent="0.15">
      <c r="A160" t="s">
        <v>72</v>
      </c>
      <c r="B160" t="s">
        <v>73</v>
      </c>
      <c r="C160">
        <v>31142566</v>
      </c>
      <c r="D160">
        <v>6</v>
      </c>
      <c r="E160" t="s">
        <v>74</v>
      </c>
      <c r="G160">
        <v>293.8</v>
      </c>
      <c r="H160">
        <v>293.3</v>
      </c>
      <c r="I160" t="s">
        <v>92</v>
      </c>
      <c r="K160">
        <f t="shared" si="4"/>
        <v>293.3</v>
      </c>
      <c r="L160">
        <f t="shared" si="5"/>
        <v>293.8</v>
      </c>
      <c r="M160" t="s">
        <v>25</v>
      </c>
      <c r="O160" s="7">
        <v>44349</v>
      </c>
      <c r="P160" t="s">
        <v>105</v>
      </c>
      <c r="Q160">
        <v>74304200</v>
      </c>
      <c r="R160" t="s">
        <v>104</v>
      </c>
      <c r="T160">
        <v>146.6</v>
      </c>
    </row>
    <row r="161" spans="1:20" x14ac:dyDescent="0.15">
      <c r="A161" t="s">
        <v>72</v>
      </c>
      <c r="B161" t="s">
        <v>73</v>
      </c>
      <c r="C161">
        <v>31142566</v>
      </c>
      <c r="D161">
        <v>6</v>
      </c>
      <c r="E161" t="s">
        <v>74</v>
      </c>
      <c r="G161">
        <v>293.75</v>
      </c>
      <c r="H161">
        <v>293.41000000000003</v>
      </c>
      <c r="I161" t="s">
        <v>93</v>
      </c>
      <c r="K161">
        <f t="shared" si="4"/>
        <v>293.41000000000003</v>
      </c>
      <c r="L161">
        <f t="shared" si="5"/>
        <v>293.75</v>
      </c>
      <c r="M161" t="s">
        <v>25</v>
      </c>
      <c r="O161" s="7">
        <v>44349</v>
      </c>
      <c r="P161" t="s">
        <v>103</v>
      </c>
      <c r="Q161">
        <v>76300602</v>
      </c>
      <c r="R161" t="s">
        <v>104</v>
      </c>
      <c r="S161">
        <v>161</v>
      </c>
      <c r="T161">
        <v>145.69999999999999</v>
      </c>
    </row>
    <row r="162" spans="1:20" x14ac:dyDescent="0.15">
      <c r="A162" t="s">
        <v>72</v>
      </c>
      <c r="B162" t="s">
        <v>73</v>
      </c>
      <c r="C162">
        <v>31142566</v>
      </c>
      <c r="D162">
        <v>6</v>
      </c>
      <c r="E162" t="s">
        <v>74</v>
      </c>
      <c r="G162">
        <v>292</v>
      </c>
      <c r="H162">
        <v>291.89999999999998</v>
      </c>
      <c r="I162" t="s">
        <v>92</v>
      </c>
      <c r="K162">
        <f t="shared" si="4"/>
        <v>291.89999999999998</v>
      </c>
      <c r="L162">
        <f t="shared" si="5"/>
        <v>292</v>
      </c>
      <c r="M162" t="s">
        <v>25</v>
      </c>
      <c r="O162" s="7">
        <v>44350</v>
      </c>
      <c r="P162" t="s">
        <v>105</v>
      </c>
      <c r="Q162">
        <v>74304200</v>
      </c>
      <c r="R162" t="s">
        <v>104</v>
      </c>
      <c r="T162">
        <v>145.30000000000001</v>
      </c>
    </row>
    <row r="163" spans="1:20" x14ac:dyDescent="0.15">
      <c r="A163" t="s">
        <v>72</v>
      </c>
      <c r="B163" t="s">
        <v>73</v>
      </c>
      <c r="C163">
        <v>31142566</v>
      </c>
      <c r="D163">
        <v>6</v>
      </c>
      <c r="E163" t="s">
        <v>74</v>
      </c>
      <c r="G163">
        <v>288.7</v>
      </c>
      <c r="H163">
        <v>288.60000000000002</v>
      </c>
      <c r="I163" t="s">
        <v>92</v>
      </c>
      <c r="K163">
        <f t="shared" si="4"/>
        <v>288.60000000000002</v>
      </c>
      <c r="L163">
        <f t="shared" si="5"/>
        <v>288.7</v>
      </c>
      <c r="M163" t="s">
        <v>25</v>
      </c>
      <c r="N163" t="s">
        <v>102</v>
      </c>
      <c r="O163" s="7">
        <v>44349</v>
      </c>
      <c r="P163" t="s">
        <v>103</v>
      </c>
      <c r="Q163">
        <v>76300602</v>
      </c>
      <c r="R163" t="s">
        <v>104</v>
      </c>
      <c r="S163">
        <v>47</v>
      </c>
      <c r="T163">
        <v>148</v>
      </c>
    </row>
    <row r="164" spans="1:20" x14ac:dyDescent="0.15">
      <c r="A164" t="s">
        <v>72</v>
      </c>
      <c r="B164" t="s">
        <v>73</v>
      </c>
      <c r="C164">
        <v>31142566</v>
      </c>
      <c r="D164">
        <v>6</v>
      </c>
      <c r="E164" t="s">
        <v>74</v>
      </c>
      <c r="G164">
        <v>288.60000000000002</v>
      </c>
      <c r="H164">
        <v>288.5</v>
      </c>
      <c r="I164" t="s">
        <v>91</v>
      </c>
      <c r="K164">
        <f t="shared" si="4"/>
        <v>288.5</v>
      </c>
      <c r="L164">
        <f t="shared" si="5"/>
        <v>288.60000000000002</v>
      </c>
      <c r="M164" t="s">
        <v>25</v>
      </c>
      <c r="O164" s="7">
        <v>44350</v>
      </c>
      <c r="P164" t="s">
        <v>105</v>
      </c>
      <c r="Q164">
        <v>74304200</v>
      </c>
      <c r="R164" t="s">
        <v>104</v>
      </c>
      <c r="S164">
        <v>50</v>
      </c>
      <c r="T164">
        <v>166.7</v>
      </c>
    </row>
    <row r="165" spans="1:20" x14ac:dyDescent="0.15">
      <c r="A165" t="s">
        <v>72</v>
      </c>
      <c r="B165" t="s">
        <v>73</v>
      </c>
      <c r="C165">
        <v>31142566</v>
      </c>
      <c r="D165">
        <v>6</v>
      </c>
      <c r="E165" t="s">
        <v>74</v>
      </c>
      <c r="G165">
        <v>288.39999999999998</v>
      </c>
      <c r="H165">
        <v>288.2</v>
      </c>
      <c r="I165" t="s">
        <v>91</v>
      </c>
      <c r="K165">
        <f t="shared" si="4"/>
        <v>288.2</v>
      </c>
      <c r="L165">
        <f t="shared" si="5"/>
        <v>288.39999999999998</v>
      </c>
      <c r="M165" t="s">
        <v>25</v>
      </c>
      <c r="O165" s="7">
        <v>44350</v>
      </c>
      <c r="P165" t="s">
        <v>105</v>
      </c>
      <c r="Q165">
        <v>74304200</v>
      </c>
      <c r="R165" t="s">
        <v>104</v>
      </c>
      <c r="T165">
        <v>145.69999999999999</v>
      </c>
    </row>
    <row r="166" spans="1:20" x14ac:dyDescent="0.15">
      <c r="A166" t="s">
        <v>72</v>
      </c>
      <c r="B166" t="s">
        <v>73</v>
      </c>
      <c r="C166">
        <v>31142566</v>
      </c>
      <c r="D166">
        <v>6</v>
      </c>
      <c r="E166" t="s">
        <v>74</v>
      </c>
      <c r="G166">
        <v>284.3</v>
      </c>
      <c r="H166">
        <v>284.2</v>
      </c>
      <c r="I166" t="s">
        <v>94</v>
      </c>
      <c r="K166">
        <f t="shared" si="4"/>
        <v>284.2</v>
      </c>
      <c r="L166">
        <f t="shared" si="5"/>
        <v>284.3</v>
      </c>
      <c r="M166" t="s">
        <v>25</v>
      </c>
      <c r="O166" s="7">
        <v>44355</v>
      </c>
      <c r="P166" t="s">
        <v>105</v>
      </c>
      <c r="Q166">
        <v>74304200</v>
      </c>
      <c r="R166" t="s">
        <v>104</v>
      </c>
      <c r="S166">
        <v>24</v>
      </c>
      <c r="T166">
        <v>141.30000000000001</v>
      </c>
    </row>
    <row r="167" spans="1:20" x14ac:dyDescent="0.15">
      <c r="A167" t="s">
        <v>72</v>
      </c>
      <c r="B167" t="s">
        <v>73</v>
      </c>
      <c r="C167">
        <v>31142566</v>
      </c>
      <c r="D167">
        <v>6</v>
      </c>
      <c r="E167" t="s">
        <v>74</v>
      </c>
      <c r="G167">
        <v>283.11</v>
      </c>
      <c r="H167">
        <v>283.08999999999997</v>
      </c>
      <c r="I167" t="s">
        <v>90</v>
      </c>
      <c r="K167">
        <f t="shared" si="4"/>
        <v>283.08999999999997</v>
      </c>
      <c r="L167">
        <f t="shared" si="5"/>
        <v>283.11</v>
      </c>
      <c r="M167" t="s">
        <v>25</v>
      </c>
      <c r="O167" s="7">
        <v>44356</v>
      </c>
      <c r="P167" t="s">
        <v>103</v>
      </c>
      <c r="Q167">
        <v>76300602</v>
      </c>
      <c r="R167" t="s">
        <v>104</v>
      </c>
      <c r="S167">
        <v>9</v>
      </c>
      <c r="T167">
        <v>146.5</v>
      </c>
    </row>
    <row r="168" spans="1:20" x14ac:dyDescent="0.15">
      <c r="A168" t="s">
        <v>72</v>
      </c>
      <c r="B168" t="s">
        <v>73</v>
      </c>
      <c r="C168">
        <v>31142566</v>
      </c>
      <c r="D168">
        <v>6</v>
      </c>
      <c r="E168" t="s">
        <v>74</v>
      </c>
      <c r="G168">
        <v>282.7</v>
      </c>
      <c r="H168">
        <v>282.5</v>
      </c>
      <c r="I168" t="s">
        <v>91</v>
      </c>
      <c r="K168">
        <f t="shared" si="4"/>
        <v>282.5</v>
      </c>
      <c r="L168">
        <f t="shared" si="5"/>
        <v>282.7</v>
      </c>
      <c r="M168" t="s">
        <v>25</v>
      </c>
      <c r="O168" s="7">
        <v>44355</v>
      </c>
      <c r="P168" t="s">
        <v>105</v>
      </c>
      <c r="Q168">
        <v>74304200</v>
      </c>
      <c r="R168" t="s">
        <v>104</v>
      </c>
      <c r="S168">
        <v>48</v>
      </c>
      <c r="T168">
        <v>145.69999999999999</v>
      </c>
    </row>
    <row r="169" spans="1:20" x14ac:dyDescent="0.15">
      <c r="A169" t="s">
        <v>72</v>
      </c>
      <c r="B169" t="s">
        <v>73</v>
      </c>
      <c r="C169">
        <v>31142566</v>
      </c>
      <c r="D169">
        <v>6</v>
      </c>
      <c r="E169" t="s">
        <v>74</v>
      </c>
      <c r="G169">
        <v>280.39999999999998</v>
      </c>
      <c r="H169">
        <v>280.32</v>
      </c>
      <c r="I169" t="s">
        <v>91</v>
      </c>
      <c r="K169">
        <f t="shared" si="4"/>
        <v>280.32</v>
      </c>
      <c r="L169">
        <f t="shared" si="5"/>
        <v>280.39999999999998</v>
      </c>
      <c r="M169" t="s">
        <v>25</v>
      </c>
      <c r="N169" t="s">
        <v>102</v>
      </c>
      <c r="O169" s="7">
        <v>44356</v>
      </c>
      <c r="P169" t="s">
        <v>103</v>
      </c>
      <c r="Q169">
        <v>76300602</v>
      </c>
      <c r="R169" t="s">
        <v>104</v>
      </c>
      <c r="S169" t="s">
        <v>110</v>
      </c>
      <c r="T169">
        <v>146.19999999999999</v>
      </c>
    </row>
    <row r="170" spans="1:20" x14ac:dyDescent="0.15">
      <c r="A170" t="s">
        <v>72</v>
      </c>
      <c r="B170" t="s">
        <v>73</v>
      </c>
      <c r="C170">
        <v>31142566</v>
      </c>
      <c r="D170">
        <v>6</v>
      </c>
      <c r="E170" t="s">
        <v>74</v>
      </c>
      <c r="G170">
        <v>280.3</v>
      </c>
      <c r="H170">
        <v>279.5</v>
      </c>
      <c r="K170">
        <f t="shared" si="4"/>
        <v>279.5</v>
      </c>
      <c r="L170">
        <f t="shared" si="5"/>
        <v>280.3</v>
      </c>
      <c r="O170" s="7"/>
      <c r="R170" t="s">
        <v>104</v>
      </c>
    </row>
    <row r="171" spans="1:20" x14ac:dyDescent="0.15">
      <c r="A171" t="s">
        <v>72</v>
      </c>
      <c r="B171" t="s">
        <v>73</v>
      </c>
      <c r="C171">
        <v>31142566</v>
      </c>
      <c r="D171">
        <v>6</v>
      </c>
      <c r="E171" t="s">
        <v>74</v>
      </c>
      <c r="G171">
        <v>110.15</v>
      </c>
      <c r="H171">
        <v>110.1</v>
      </c>
      <c r="J171" t="s">
        <v>23</v>
      </c>
      <c r="K171">
        <f t="shared" si="4"/>
        <v>110.1</v>
      </c>
      <c r="L171">
        <f t="shared" si="5"/>
        <v>110.15</v>
      </c>
      <c r="M171" t="s">
        <v>25</v>
      </c>
      <c r="N171" t="s">
        <v>101</v>
      </c>
      <c r="O171" s="7">
        <v>44369</v>
      </c>
      <c r="P171" t="s">
        <v>103</v>
      </c>
      <c r="Q171">
        <v>76300602</v>
      </c>
      <c r="R171" t="s">
        <v>104</v>
      </c>
      <c r="S171" t="s">
        <v>111</v>
      </c>
      <c r="T171">
        <v>146</v>
      </c>
    </row>
    <row r="172" spans="1:20" x14ac:dyDescent="0.15">
      <c r="A172" t="s">
        <v>72</v>
      </c>
      <c r="B172" t="s">
        <v>73</v>
      </c>
      <c r="C172">
        <v>31142566</v>
      </c>
      <c r="D172">
        <v>6</v>
      </c>
      <c r="E172" t="s">
        <v>74</v>
      </c>
      <c r="G172">
        <v>110.1</v>
      </c>
      <c r="H172">
        <v>109.7</v>
      </c>
      <c r="I172" t="s">
        <v>92</v>
      </c>
      <c r="K172">
        <f t="shared" si="4"/>
        <v>109.7</v>
      </c>
      <c r="L172">
        <f t="shared" si="5"/>
        <v>110.1</v>
      </c>
      <c r="M172" t="s">
        <v>25</v>
      </c>
      <c r="N172" t="s">
        <v>101</v>
      </c>
      <c r="O172" s="7">
        <v>44370</v>
      </c>
      <c r="P172" t="s">
        <v>103</v>
      </c>
      <c r="Q172">
        <v>76300602</v>
      </c>
      <c r="R172" t="s">
        <v>104</v>
      </c>
      <c r="S172" t="s">
        <v>112</v>
      </c>
      <c r="T172">
        <v>146</v>
      </c>
    </row>
    <row r="173" spans="1:20" x14ac:dyDescent="0.15">
      <c r="A173" t="s">
        <v>72</v>
      </c>
      <c r="B173" t="s">
        <v>73</v>
      </c>
      <c r="C173">
        <v>31142566</v>
      </c>
      <c r="D173">
        <v>6</v>
      </c>
      <c r="E173" t="s">
        <v>74</v>
      </c>
      <c r="G173">
        <v>109.6</v>
      </c>
      <c r="H173">
        <v>109.5</v>
      </c>
      <c r="I173" t="s">
        <v>93</v>
      </c>
      <c r="K173">
        <f t="shared" si="4"/>
        <v>109.5</v>
      </c>
      <c r="L173">
        <f t="shared" si="5"/>
        <v>109.6</v>
      </c>
      <c r="M173" t="s">
        <v>25</v>
      </c>
      <c r="O173" s="7">
        <v>44370</v>
      </c>
      <c r="P173" t="s">
        <v>103</v>
      </c>
      <c r="Q173">
        <v>76300602</v>
      </c>
      <c r="R173" t="s">
        <v>104</v>
      </c>
      <c r="S173">
        <v>47</v>
      </c>
      <c r="T173">
        <v>158.80000000000001</v>
      </c>
    </row>
    <row r="174" spans="1:20" x14ac:dyDescent="0.15">
      <c r="A174" t="s">
        <v>72</v>
      </c>
      <c r="B174" t="s">
        <v>73</v>
      </c>
      <c r="C174">
        <v>31142566</v>
      </c>
      <c r="D174">
        <v>6</v>
      </c>
      <c r="E174" t="s">
        <v>74</v>
      </c>
      <c r="G174">
        <v>109.3</v>
      </c>
      <c r="H174">
        <v>108.7</v>
      </c>
      <c r="I174" t="s">
        <v>92</v>
      </c>
      <c r="K174">
        <f t="shared" si="4"/>
        <v>108.7</v>
      </c>
      <c r="L174">
        <f t="shared" si="5"/>
        <v>109.3</v>
      </c>
      <c r="M174" t="s">
        <v>25</v>
      </c>
      <c r="O174" s="7">
        <v>44370</v>
      </c>
      <c r="P174" t="s">
        <v>105</v>
      </c>
      <c r="Q174">
        <v>74304200</v>
      </c>
      <c r="R174" t="s">
        <v>104</v>
      </c>
      <c r="T174">
        <v>147.5</v>
      </c>
    </row>
    <row r="175" spans="1:20" x14ac:dyDescent="0.15">
      <c r="A175" t="s">
        <v>72</v>
      </c>
      <c r="B175" t="s">
        <v>73</v>
      </c>
      <c r="C175">
        <v>31142566</v>
      </c>
      <c r="D175">
        <v>6</v>
      </c>
      <c r="E175" t="s">
        <v>74</v>
      </c>
      <c r="G175">
        <v>108.7</v>
      </c>
      <c r="H175">
        <v>108.6</v>
      </c>
      <c r="I175" t="s">
        <v>92</v>
      </c>
      <c r="K175">
        <f t="shared" si="4"/>
        <v>108.6</v>
      </c>
      <c r="L175">
        <f t="shared" si="5"/>
        <v>108.7</v>
      </c>
      <c r="M175" t="s">
        <v>25</v>
      </c>
      <c r="N175" t="s">
        <v>102</v>
      </c>
      <c r="O175" s="7">
        <v>44370</v>
      </c>
      <c r="P175" t="s">
        <v>103</v>
      </c>
      <c r="Q175">
        <v>76300602</v>
      </c>
      <c r="R175" t="s">
        <v>104</v>
      </c>
      <c r="S175" t="s">
        <v>113</v>
      </c>
      <c r="T175">
        <v>158.80000000000001</v>
      </c>
    </row>
    <row r="176" spans="1:20" x14ac:dyDescent="0.15">
      <c r="A176" t="s">
        <v>72</v>
      </c>
      <c r="B176" t="s">
        <v>73</v>
      </c>
      <c r="C176">
        <v>31142566</v>
      </c>
      <c r="D176">
        <v>6</v>
      </c>
      <c r="E176" t="s">
        <v>74</v>
      </c>
      <c r="G176">
        <v>108.7</v>
      </c>
      <c r="H176">
        <v>108.4</v>
      </c>
      <c r="I176" t="s">
        <v>95</v>
      </c>
      <c r="K176">
        <f t="shared" si="4"/>
        <v>108.4</v>
      </c>
      <c r="L176">
        <f t="shared" si="5"/>
        <v>108.7</v>
      </c>
      <c r="M176" t="s">
        <v>25</v>
      </c>
      <c r="O176" s="7">
        <v>44376</v>
      </c>
      <c r="P176" t="s">
        <v>103</v>
      </c>
      <c r="Q176">
        <v>76300602</v>
      </c>
      <c r="R176" t="s">
        <v>104</v>
      </c>
      <c r="S176">
        <v>142</v>
      </c>
      <c r="T176">
        <v>147.5</v>
      </c>
    </row>
    <row r="177" spans="1:20" x14ac:dyDescent="0.15">
      <c r="A177" t="s">
        <v>72</v>
      </c>
      <c r="B177" t="s">
        <v>73</v>
      </c>
      <c r="C177">
        <v>31142566</v>
      </c>
      <c r="D177">
        <v>6</v>
      </c>
      <c r="E177" t="s">
        <v>74</v>
      </c>
      <c r="G177">
        <v>106.1</v>
      </c>
      <c r="H177">
        <v>105.9</v>
      </c>
      <c r="I177" t="s">
        <v>92</v>
      </c>
      <c r="K177">
        <f t="shared" si="4"/>
        <v>105.9</v>
      </c>
      <c r="L177">
        <f t="shared" si="5"/>
        <v>106.1</v>
      </c>
      <c r="M177" t="s">
        <v>25</v>
      </c>
      <c r="O177" s="7">
        <v>44376</v>
      </c>
      <c r="P177" t="s">
        <v>105</v>
      </c>
      <c r="Q177">
        <v>74304200</v>
      </c>
      <c r="R177" t="s">
        <v>104</v>
      </c>
      <c r="S177">
        <v>48</v>
      </c>
      <c r="T177">
        <v>158.80000000000001</v>
      </c>
    </row>
    <row r="178" spans="1:20" x14ac:dyDescent="0.15">
      <c r="A178" t="s">
        <v>72</v>
      </c>
      <c r="B178" t="s">
        <v>73</v>
      </c>
      <c r="C178">
        <v>31142566</v>
      </c>
      <c r="D178">
        <v>6</v>
      </c>
      <c r="E178" t="s">
        <v>74</v>
      </c>
      <c r="G178">
        <v>105.61</v>
      </c>
      <c r="H178">
        <v>105.54</v>
      </c>
      <c r="J178" t="s">
        <v>23</v>
      </c>
      <c r="K178">
        <f t="shared" si="4"/>
        <v>105.54</v>
      </c>
      <c r="L178">
        <f t="shared" si="5"/>
        <v>105.61</v>
      </c>
      <c r="M178" t="s">
        <v>25</v>
      </c>
      <c r="N178" t="s">
        <v>102</v>
      </c>
      <c r="O178" s="7">
        <v>44372</v>
      </c>
      <c r="P178" t="s">
        <v>103</v>
      </c>
      <c r="Q178">
        <v>76300602</v>
      </c>
      <c r="R178" t="s">
        <v>104</v>
      </c>
      <c r="S178" t="s">
        <v>114</v>
      </c>
      <c r="T178">
        <v>147.5</v>
      </c>
    </row>
    <row r="179" spans="1:20" x14ac:dyDescent="0.15">
      <c r="A179" t="s">
        <v>72</v>
      </c>
      <c r="B179" t="s">
        <v>73</v>
      </c>
      <c r="C179">
        <v>31142566</v>
      </c>
      <c r="D179">
        <v>6</v>
      </c>
      <c r="E179" t="s">
        <v>74</v>
      </c>
      <c r="G179">
        <v>105.5</v>
      </c>
      <c r="H179">
        <v>105.3</v>
      </c>
      <c r="I179" t="s">
        <v>92</v>
      </c>
      <c r="K179">
        <f t="shared" si="4"/>
        <v>105.3</v>
      </c>
      <c r="L179">
        <f t="shared" si="5"/>
        <v>105.5</v>
      </c>
      <c r="M179" t="s">
        <v>25</v>
      </c>
      <c r="O179" s="7">
        <v>44377</v>
      </c>
      <c r="P179" t="s">
        <v>105</v>
      </c>
      <c r="Q179">
        <v>74304200</v>
      </c>
      <c r="R179" t="s">
        <v>104</v>
      </c>
      <c r="T179">
        <v>139.9</v>
      </c>
    </row>
    <row r="180" spans="1:20" x14ac:dyDescent="0.15">
      <c r="A180" t="s">
        <v>72</v>
      </c>
      <c r="B180" t="s">
        <v>73</v>
      </c>
      <c r="C180">
        <v>31142566</v>
      </c>
      <c r="D180">
        <v>6</v>
      </c>
      <c r="E180" t="s">
        <v>74</v>
      </c>
      <c r="G180">
        <v>102.85</v>
      </c>
      <c r="H180">
        <v>102.7</v>
      </c>
      <c r="I180" t="s">
        <v>91</v>
      </c>
      <c r="K180">
        <f t="shared" si="4"/>
        <v>102.7</v>
      </c>
      <c r="L180">
        <f t="shared" si="5"/>
        <v>102.85</v>
      </c>
      <c r="M180" t="s">
        <v>25</v>
      </c>
      <c r="O180" s="7">
        <v>44377</v>
      </c>
      <c r="P180" t="s">
        <v>105</v>
      </c>
      <c r="Q180">
        <v>74304200</v>
      </c>
      <c r="R180" t="s">
        <v>104</v>
      </c>
      <c r="S180">
        <v>36</v>
      </c>
      <c r="T180">
        <v>147.5</v>
      </c>
    </row>
    <row r="181" spans="1:20" x14ac:dyDescent="0.15">
      <c r="A181" t="s">
        <v>72</v>
      </c>
      <c r="B181" t="s">
        <v>73</v>
      </c>
      <c r="C181">
        <v>31142566</v>
      </c>
      <c r="D181">
        <v>6</v>
      </c>
      <c r="E181" t="s">
        <v>74</v>
      </c>
      <c r="G181">
        <v>100.2</v>
      </c>
      <c r="H181">
        <v>100</v>
      </c>
      <c r="I181" t="s">
        <v>91</v>
      </c>
      <c r="K181">
        <f t="shared" si="4"/>
        <v>100</v>
      </c>
      <c r="L181">
        <f t="shared" si="5"/>
        <v>100.2</v>
      </c>
      <c r="M181" t="s">
        <v>25</v>
      </c>
      <c r="O181" s="7">
        <v>44384</v>
      </c>
      <c r="P181" t="s">
        <v>105</v>
      </c>
      <c r="Q181">
        <v>74304200</v>
      </c>
      <c r="R181" t="s">
        <v>104</v>
      </c>
      <c r="S181">
        <v>48</v>
      </c>
      <c r="T181">
        <v>142.6</v>
      </c>
    </row>
    <row r="182" spans="1:20" x14ac:dyDescent="0.15">
      <c r="A182" t="s">
        <v>72</v>
      </c>
      <c r="B182" t="s">
        <v>73</v>
      </c>
      <c r="C182">
        <v>31142566</v>
      </c>
      <c r="D182">
        <v>6</v>
      </c>
      <c r="E182" t="s">
        <v>74</v>
      </c>
      <c r="G182">
        <v>99.8</v>
      </c>
      <c r="H182">
        <v>99.5</v>
      </c>
      <c r="I182" t="s">
        <v>91</v>
      </c>
      <c r="K182">
        <f t="shared" si="4"/>
        <v>99.5</v>
      </c>
      <c r="L182">
        <f t="shared" si="5"/>
        <v>99.8</v>
      </c>
      <c r="M182" t="s">
        <v>25</v>
      </c>
      <c r="O182" s="7">
        <v>44384</v>
      </c>
      <c r="P182" t="s">
        <v>105</v>
      </c>
      <c r="Q182">
        <v>74304200</v>
      </c>
      <c r="R182" t="s">
        <v>104</v>
      </c>
      <c r="S182">
        <v>73</v>
      </c>
      <c r="T182">
        <v>142.6</v>
      </c>
    </row>
    <row r="183" spans="1:20" x14ac:dyDescent="0.15">
      <c r="A183" t="s">
        <v>72</v>
      </c>
      <c r="B183" t="s">
        <v>73</v>
      </c>
      <c r="C183">
        <v>31142566</v>
      </c>
      <c r="D183">
        <v>6</v>
      </c>
      <c r="E183" t="s">
        <v>74</v>
      </c>
      <c r="G183">
        <v>85.3</v>
      </c>
      <c r="H183">
        <v>84.9</v>
      </c>
      <c r="J183" t="s">
        <v>23</v>
      </c>
      <c r="K183">
        <f t="shared" si="4"/>
        <v>84.9</v>
      </c>
      <c r="L183">
        <f t="shared" si="5"/>
        <v>85.3</v>
      </c>
      <c r="M183" t="s">
        <v>25</v>
      </c>
      <c r="O183" s="7">
        <v>44385</v>
      </c>
      <c r="P183" t="s">
        <v>103</v>
      </c>
      <c r="Q183">
        <v>76300602</v>
      </c>
      <c r="R183" t="s">
        <v>104</v>
      </c>
      <c r="S183">
        <v>12</v>
      </c>
      <c r="T183">
        <v>154.69999999999999</v>
      </c>
    </row>
    <row r="184" spans="1:20" x14ac:dyDescent="0.15">
      <c r="A184" t="s">
        <v>72</v>
      </c>
      <c r="B184" t="s">
        <v>73</v>
      </c>
      <c r="C184">
        <v>31142566</v>
      </c>
      <c r="D184">
        <v>6</v>
      </c>
      <c r="E184" t="s">
        <v>74</v>
      </c>
      <c r="G184">
        <v>83.3</v>
      </c>
      <c r="H184">
        <v>83.2</v>
      </c>
      <c r="I184" t="s">
        <v>92</v>
      </c>
      <c r="K184">
        <f t="shared" si="4"/>
        <v>83.2</v>
      </c>
      <c r="L184">
        <f t="shared" si="5"/>
        <v>83.3</v>
      </c>
      <c r="M184" t="s">
        <v>25</v>
      </c>
      <c r="O184" s="7">
        <v>44384</v>
      </c>
      <c r="P184" t="s">
        <v>103</v>
      </c>
      <c r="Q184">
        <v>76300602</v>
      </c>
      <c r="R184" t="s">
        <v>104</v>
      </c>
      <c r="S184">
        <v>47</v>
      </c>
      <c r="T184">
        <v>141.4</v>
      </c>
    </row>
    <row r="185" spans="1:20" x14ac:dyDescent="0.15">
      <c r="A185" t="s">
        <v>72</v>
      </c>
      <c r="B185" t="s">
        <v>73</v>
      </c>
      <c r="C185">
        <v>31142566</v>
      </c>
      <c r="D185">
        <v>6</v>
      </c>
      <c r="E185" t="s">
        <v>74</v>
      </c>
      <c r="G185">
        <v>80</v>
      </c>
      <c r="H185">
        <v>80</v>
      </c>
      <c r="I185" t="s">
        <v>91</v>
      </c>
      <c r="K185">
        <f t="shared" si="4"/>
        <v>80</v>
      </c>
      <c r="L185">
        <f t="shared" si="5"/>
        <v>80</v>
      </c>
      <c r="M185" t="s">
        <v>25</v>
      </c>
      <c r="O185" s="7">
        <v>44385</v>
      </c>
      <c r="P185" t="s">
        <v>103</v>
      </c>
      <c r="Q185">
        <v>76300602</v>
      </c>
      <c r="R185" t="s">
        <v>104</v>
      </c>
      <c r="S185">
        <v>4</v>
      </c>
      <c r="T185">
        <v>154.69999999999999</v>
      </c>
    </row>
    <row r="186" spans="1:20" x14ac:dyDescent="0.15">
      <c r="A186" t="s">
        <v>72</v>
      </c>
      <c r="B186" t="s">
        <v>73</v>
      </c>
      <c r="C186">
        <v>31142566</v>
      </c>
      <c r="D186">
        <v>6</v>
      </c>
      <c r="E186" t="s">
        <v>74</v>
      </c>
      <c r="G186">
        <v>75.400000000000006</v>
      </c>
      <c r="H186">
        <v>75.22</v>
      </c>
      <c r="I186" t="s">
        <v>93</v>
      </c>
      <c r="K186">
        <f t="shared" si="4"/>
        <v>75.22</v>
      </c>
      <c r="L186">
        <f t="shared" si="5"/>
        <v>75.400000000000006</v>
      </c>
      <c r="M186" t="s">
        <v>25</v>
      </c>
      <c r="O186" s="7">
        <v>44384</v>
      </c>
      <c r="P186" t="s">
        <v>103</v>
      </c>
      <c r="Q186">
        <v>76300602</v>
      </c>
      <c r="R186" t="s">
        <v>104</v>
      </c>
      <c r="S186">
        <v>85</v>
      </c>
      <c r="T186">
        <v>141</v>
      </c>
    </row>
    <row r="187" spans="1:20" x14ac:dyDescent="0.15">
      <c r="A187" t="s">
        <v>72</v>
      </c>
      <c r="B187" t="s">
        <v>73</v>
      </c>
      <c r="C187">
        <v>31142566</v>
      </c>
      <c r="D187">
        <v>6</v>
      </c>
      <c r="E187" t="s">
        <v>76</v>
      </c>
      <c r="F187" t="s">
        <v>77</v>
      </c>
      <c r="G187">
        <v>75.099999999999994</v>
      </c>
      <c r="H187">
        <v>75</v>
      </c>
      <c r="I187" t="s">
        <v>92</v>
      </c>
      <c r="K187">
        <f t="shared" si="4"/>
        <v>75</v>
      </c>
      <c r="L187">
        <f t="shared" si="5"/>
        <v>75.099999999999994</v>
      </c>
      <c r="M187" t="s">
        <v>25</v>
      </c>
      <c r="O187" s="7">
        <v>44384</v>
      </c>
      <c r="P187" t="s">
        <v>103</v>
      </c>
      <c r="Q187">
        <v>76300602</v>
      </c>
      <c r="R187" t="s">
        <v>104</v>
      </c>
      <c r="S187">
        <v>47</v>
      </c>
      <c r="T187">
        <v>138.4</v>
      </c>
    </row>
    <row r="188" spans="1:20" x14ac:dyDescent="0.15">
      <c r="A188" t="s">
        <v>72</v>
      </c>
      <c r="B188" t="s">
        <v>73</v>
      </c>
      <c r="C188">
        <v>31142566</v>
      </c>
      <c r="D188">
        <v>6</v>
      </c>
      <c r="E188" t="s">
        <v>74</v>
      </c>
      <c r="G188">
        <v>65.900000000000006</v>
      </c>
      <c r="H188">
        <v>65.8</v>
      </c>
      <c r="I188" t="s">
        <v>92</v>
      </c>
      <c r="K188">
        <f t="shared" si="4"/>
        <v>65.8</v>
      </c>
      <c r="L188">
        <f t="shared" si="5"/>
        <v>65.900000000000006</v>
      </c>
      <c r="M188" t="s">
        <v>99</v>
      </c>
      <c r="O188" s="7">
        <v>44391</v>
      </c>
    </row>
    <row r="189" spans="1:20" x14ac:dyDescent="0.15">
      <c r="A189" t="s">
        <v>72</v>
      </c>
      <c r="B189" t="s">
        <v>73</v>
      </c>
      <c r="C189">
        <v>31142566</v>
      </c>
      <c r="D189">
        <v>6</v>
      </c>
      <c r="E189" t="s">
        <v>74</v>
      </c>
      <c r="G189">
        <v>65.599999999999994</v>
      </c>
      <c r="H189">
        <v>65.400000000000006</v>
      </c>
      <c r="I189" t="s">
        <v>92</v>
      </c>
      <c r="K189">
        <f t="shared" si="4"/>
        <v>65.400000000000006</v>
      </c>
      <c r="L189">
        <f t="shared" si="5"/>
        <v>65.599999999999994</v>
      </c>
      <c r="M189" t="s">
        <v>99</v>
      </c>
      <c r="O189" s="7">
        <v>44392</v>
      </c>
    </row>
    <row r="190" spans="1:20" x14ac:dyDescent="0.15">
      <c r="A190" t="s">
        <v>72</v>
      </c>
      <c r="B190" t="s">
        <v>73</v>
      </c>
      <c r="C190">
        <v>31142566</v>
      </c>
      <c r="D190">
        <v>6</v>
      </c>
      <c r="E190" t="s">
        <v>74</v>
      </c>
      <c r="G190">
        <v>65.599999999999994</v>
      </c>
      <c r="H190">
        <v>65.5</v>
      </c>
      <c r="I190" t="s">
        <v>92</v>
      </c>
      <c r="K190">
        <f t="shared" si="4"/>
        <v>65.5</v>
      </c>
      <c r="L190">
        <f t="shared" si="5"/>
        <v>65.599999999999994</v>
      </c>
      <c r="M190" t="s">
        <v>99</v>
      </c>
      <c r="O190" s="7">
        <v>44393</v>
      </c>
    </row>
    <row r="191" spans="1:20" x14ac:dyDescent="0.15">
      <c r="A191" t="s">
        <v>72</v>
      </c>
      <c r="B191" t="s">
        <v>73</v>
      </c>
      <c r="C191">
        <v>31142566</v>
      </c>
      <c r="D191">
        <v>6</v>
      </c>
      <c r="E191" t="s">
        <v>74</v>
      </c>
      <c r="G191">
        <v>65</v>
      </c>
      <c r="H191">
        <v>64.8</v>
      </c>
      <c r="I191" t="s">
        <v>90</v>
      </c>
      <c r="K191">
        <f t="shared" si="4"/>
        <v>64.8</v>
      </c>
      <c r="L191">
        <f t="shared" si="5"/>
        <v>65</v>
      </c>
      <c r="M191" t="s">
        <v>99</v>
      </c>
      <c r="O191" s="7">
        <v>44394</v>
      </c>
    </row>
    <row r="192" spans="1:20" x14ac:dyDescent="0.15">
      <c r="A192" t="s">
        <v>72</v>
      </c>
      <c r="B192" t="s">
        <v>73</v>
      </c>
      <c r="C192">
        <v>31142566</v>
      </c>
      <c r="D192">
        <v>6</v>
      </c>
      <c r="E192" t="s">
        <v>75</v>
      </c>
      <c r="G192">
        <v>63.05</v>
      </c>
      <c r="H192">
        <v>63.5</v>
      </c>
      <c r="I192" t="s">
        <v>94</v>
      </c>
      <c r="K192">
        <f t="shared" si="4"/>
        <v>63.05</v>
      </c>
      <c r="L192">
        <f t="shared" si="5"/>
        <v>63.5</v>
      </c>
      <c r="M192" t="s">
        <v>99</v>
      </c>
      <c r="O192" s="7">
        <v>44397</v>
      </c>
    </row>
    <row r="193" spans="1:20" x14ac:dyDescent="0.15">
      <c r="A193" t="s">
        <v>72</v>
      </c>
      <c r="B193" t="s">
        <v>73</v>
      </c>
      <c r="C193">
        <v>31142566</v>
      </c>
      <c r="D193">
        <v>6</v>
      </c>
      <c r="E193" t="s">
        <v>75</v>
      </c>
      <c r="G193">
        <v>65.400000000000006</v>
      </c>
      <c r="H193">
        <v>65.5</v>
      </c>
      <c r="I193" t="s">
        <v>96</v>
      </c>
      <c r="K193">
        <f t="shared" ref="K193:K256" si="6">MIN(G193:H193)</f>
        <v>65.400000000000006</v>
      </c>
      <c r="L193">
        <f t="shared" ref="L193:L256" si="7">MAX(G193:H193)</f>
        <v>65.5</v>
      </c>
      <c r="M193" t="s">
        <v>99</v>
      </c>
      <c r="O193" s="7">
        <v>44398</v>
      </c>
    </row>
    <row r="194" spans="1:20" x14ac:dyDescent="0.15">
      <c r="A194" t="s">
        <v>72</v>
      </c>
      <c r="B194" t="s">
        <v>73</v>
      </c>
      <c r="C194">
        <v>31142566</v>
      </c>
      <c r="D194">
        <v>6</v>
      </c>
      <c r="E194" t="s">
        <v>75</v>
      </c>
      <c r="G194">
        <v>67.2</v>
      </c>
      <c r="H194">
        <v>67.3</v>
      </c>
      <c r="I194" t="s">
        <v>94</v>
      </c>
      <c r="K194">
        <f t="shared" si="6"/>
        <v>67.2</v>
      </c>
      <c r="L194">
        <f t="shared" si="7"/>
        <v>67.3</v>
      </c>
      <c r="M194" t="s">
        <v>99</v>
      </c>
      <c r="O194" s="7">
        <v>44398</v>
      </c>
    </row>
    <row r="195" spans="1:20" x14ac:dyDescent="0.15">
      <c r="A195" t="s">
        <v>72</v>
      </c>
      <c r="B195" t="s">
        <v>73</v>
      </c>
      <c r="C195">
        <v>31142566</v>
      </c>
      <c r="D195">
        <v>6</v>
      </c>
      <c r="E195" t="s">
        <v>76</v>
      </c>
      <c r="F195" t="s">
        <v>78</v>
      </c>
      <c r="G195">
        <v>67.84</v>
      </c>
      <c r="H195">
        <v>67.864999999999995</v>
      </c>
      <c r="I195" t="s">
        <v>94</v>
      </c>
      <c r="K195">
        <f t="shared" si="6"/>
        <v>67.84</v>
      </c>
      <c r="L195">
        <f t="shared" si="7"/>
        <v>67.864999999999995</v>
      </c>
      <c r="M195" t="s">
        <v>100</v>
      </c>
      <c r="N195" t="s">
        <v>101</v>
      </c>
      <c r="O195" s="7">
        <v>44392</v>
      </c>
      <c r="P195" t="s">
        <v>106</v>
      </c>
      <c r="Q195">
        <v>36330401</v>
      </c>
      <c r="R195" t="s">
        <v>104</v>
      </c>
      <c r="S195" t="s">
        <v>115</v>
      </c>
      <c r="T195">
        <v>149</v>
      </c>
    </row>
    <row r="196" spans="1:20" x14ac:dyDescent="0.15">
      <c r="A196" t="s">
        <v>72</v>
      </c>
      <c r="B196" t="s">
        <v>73</v>
      </c>
      <c r="C196">
        <v>31142566</v>
      </c>
      <c r="D196">
        <v>6</v>
      </c>
      <c r="E196" t="s">
        <v>76</v>
      </c>
      <c r="F196" t="s">
        <v>79</v>
      </c>
      <c r="G196">
        <v>67.87</v>
      </c>
      <c r="H196">
        <v>67.887</v>
      </c>
      <c r="I196" t="s">
        <v>94</v>
      </c>
      <c r="K196">
        <f t="shared" si="6"/>
        <v>67.87</v>
      </c>
      <c r="L196">
        <f t="shared" si="7"/>
        <v>67.887</v>
      </c>
      <c r="M196" t="s">
        <v>100</v>
      </c>
      <c r="N196" t="s">
        <v>101</v>
      </c>
      <c r="O196" s="7">
        <v>44392</v>
      </c>
      <c r="P196" t="s">
        <v>106</v>
      </c>
      <c r="Q196">
        <v>36330401</v>
      </c>
      <c r="R196" t="s">
        <v>104</v>
      </c>
      <c r="S196" t="s">
        <v>116</v>
      </c>
      <c r="T196">
        <v>149</v>
      </c>
    </row>
    <row r="197" spans="1:20" x14ac:dyDescent="0.15">
      <c r="A197" t="s">
        <v>72</v>
      </c>
      <c r="B197" t="s">
        <v>73</v>
      </c>
      <c r="C197">
        <v>31142566</v>
      </c>
      <c r="D197">
        <v>6</v>
      </c>
      <c r="E197" t="s">
        <v>75</v>
      </c>
      <c r="G197">
        <v>68.349999999999994</v>
      </c>
      <c r="H197">
        <v>68.5</v>
      </c>
      <c r="I197" t="s">
        <v>22</v>
      </c>
      <c r="K197">
        <f t="shared" si="6"/>
        <v>68.349999999999994</v>
      </c>
      <c r="L197">
        <f t="shared" si="7"/>
        <v>68.5</v>
      </c>
      <c r="M197" t="s">
        <v>25</v>
      </c>
      <c r="O197" s="7">
        <v>44392</v>
      </c>
      <c r="P197" t="s">
        <v>103</v>
      </c>
      <c r="Q197">
        <v>76300602</v>
      </c>
      <c r="R197" t="s">
        <v>104</v>
      </c>
      <c r="S197" t="s">
        <v>117</v>
      </c>
      <c r="T197">
        <v>135</v>
      </c>
    </row>
    <row r="198" spans="1:20" x14ac:dyDescent="0.15">
      <c r="A198" t="s">
        <v>72</v>
      </c>
      <c r="B198" t="s">
        <v>73</v>
      </c>
      <c r="C198">
        <v>31142566</v>
      </c>
      <c r="D198">
        <v>6</v>
      </c>
      <c r="E198" t="s">
        <v>75</v>
      </c>
      <c r="G198">
        <v>69.099999999999994</v>
      </c>
      <c r="H198">
        <v>69.2</v>
      </c>
      <c r="I198" t="s">
        <v>94</v>
      </c>
      <c r="K198">
        <f t="shared" si="6"/>
        <v>69.099999999999994</v>
      </c>
      <c r="L198">
        <f t="shared" si="7"/>
        <v>69.2</v>
      </c>
      <c r="M198" t="s">
        <v>25</v>
      </c>
      <c r="N198" t="s">
        <v>102</v>
      </c>
      <c r="O198" s="7">
        <v>44356</v>
      </c>
      <c r="P198" t="s">
        <v>103</v>
      </c>
      <c r="Q198">
        <v>76300602</v>
      </c>
      <c r="R198" t="s">
        <v>104</v>
      </c>
      <c r="S198" t="s">
        <v>118</v>
      </c>
      <c r="T198">
        <v>152</v>
      </c>
    </row>
    <row r="199" spans="1:20" x14ac:dyDescent="0.15">
      <c r="A199" t="s">
        <v>72</v>
      </c>
      <c r="B199" t="s">
        <v>73</v>
      </c>
      <c r="C199">
        <v>31142566</v>
      </c>
      <c r="D199">
        <v>6</v>
      </c>
      <c r="E199" t="s">
        <v>75</v>
      </c>
      <c r="G199">
        <v>74.55</v>
      </c>
      <c r="H199">
        <v>75.05</v>
      </c>
      <c r="I199" t="s">
        <v>97</v>
      </c>
      <c r="K199">
        <f t="shared" si="6"/>
        <v>74.55</v>
      </c>
      <c r="L199">
        <f t="shared" si="7"/>
        <v>75.05</v>
      </c>
      <c r="M199" t="s">
        <v>99</v>
      </c>
      <c r="O199" s="7">
        <v>44398</v>
      </c>
      <c r="R199" t="s">
        <v>104</v>
      </c>
    </row>
    <row r="200" spans="1:20" x14ac:dyDescent="0.15">
      <c r="A200" t="s">
        <v>72</v>
      </c>
      <c r="B200" t="s">
        <v>73</v>
      </c>
      <c r="C200">
        <v>31142566</v>
      </c>
      <c r="D200">
        <v>6</v>
      </c>
      <c r="E200" t="s">
        <v>75</v>
      </c>
      <c r="G200">
        <v>82.9</v>
      </c>
      <c r="H200">
        <v>83</v>
      </c>
      <c r="I200" t="s">
        <v>96</v>
      </c>
      <c r="K200">
        <f t="shared" si="6"/>
        <v>82.9</v>
      </c>
      <c r="L200">
        <f t="shared" si="7"/>
        <v>83</v>
      </c>
      <c r="M200" t="s">
        <v>25</v>
      </c>
      <c r="O200" s="7">
        <v>44399</v>
      </c>
      <c r="P200" t="s">
        <v>105</v>
      </c>
      <c r="Q200">
        <v>74304200</v>
      </c>
      <c r="R200" t="s">
        <v>104</v>
      </c>
      <c r="S200" t="s">
        <v>119</v>
      </c>
    </row>
    <row r="201" spans="1:20" x14ac:dyDescent="0.15">
      <c r="A201" t="s">
        <v>72</v>
      </c>
      <c r="B201" t="s">
        <v>73</v>
      </c>
      <c r="C201">
        <v>31142566</v>
      </c>
      <c r="D201">
        <v>6</v>
      </c>
      <c r="E201" t="s">
        <v>75</v>
      </c>
      <c r="G201">
        <v>84.8</v>
      </c>
      <c r="H201">
        <v>84.9</v>
      </c>
      <c r="I201" t="s">
        <v>96</v>
      </c>
      <c r="K201">
        <f t="shared" si="6"/>
        <v>84.8</v>
      </c>
      <c r="L201">
        <f t="shared" si="7"/>
        <v>84.9</v>
      </c>
      <c r="M201" t="s">
        <v>25</v>
      </c>
      <c r="O201" s="7">
        <v>44399</v>
      </c>
      <c r="P201" t="s">
        <v>105</v>
      </c>
      <c r="Q201">
        <v>74304200</v>
      </c>
      <c r="R201" t="s">
        <v>104</v>
      </c>
      <c r="S201" t="s">
        <v>119</v>
      </c>
    </row>
    <row r="202" spans="1:20" x14ac:dyDescent="0.15">
      <c r="A202" t="s">
        <v>72</v>
      </c>
      <c r="B202" t="s">
        <v>73</v>
      </c>
      <c r="C202">
        <v>31142566</v>
      </c>
      <c r="D202">
        <v>6</v>
      </c>
      <c r="E202" t="s">
        <v>75</v>
      </c>
      <c r="G202">
        <v>85.1</v>
      </c>
      <c r="H202">
        <v>85.7</v>
      </c>
      <c r="I202" t="s">
        <v>94</v>
      </c>
      <c r="K202">
        <f t="shared" si="6"/>
        <v>85.1</v>
      </c>
      <c r="L202">
        <f t="shared" si="7"/>
        <v>85.7</v>
      </c>
      <c r="M202" t="s">
        <v>25</v>
      </c>
      <c r="O202" s="7">
        <v>44399</v>
      </c>
      <c r="P202" t="s">
        <v>105</v>
      </c>
      <c r="Q202">
        <v>74304200</v>
      </c>
      <c r="R202" t="s">
        <v>104</v>
      </c>
      <c r="S202" t="s">
        <v>120</v>
      </c>
    </row>
    <row r="203" spans="1:20" x14ac:dyDescent="0.15">
      <c r="A203" t="s">
        <v>72</v>
      </c>
      <c r="B203" t="s">
        <v>73</v>
      </c>
      <c r="C203">
        <v>31142566</v>
      </c>
      <c r="D203">
        <v>6</v>
      </c>
      <c r="E203" t="s">
        <v>75</v>
      </c>
      <c r="G203">
        <v>100.83</v>
      </c>
      <c r="H203">
        <v>100.9</v>
      </c>
      <c r="I203" t="s">
        <v>22</v>
      </c>
      <c r="K203">
        <f t="shared" si="6"/>
        <v>100.83</v>
      </c>
      <c r="L203">
        <f t="shared" si="7"/>
        <v>100.9</v>
      </c>
      <c r="M203" t="s">
        <v>25</v>
      </c>
      <c r="O203" s="7">
        <v>44422</v>
      </c>
      <c r="P203" t="s">
        <v>103</v>
      </c>
      <c r="Q203">
        <v>76300602</v>
      </c>
      <c r="R203" t="s">
        <v>104</v>
      </c>
      <c r="S203" t="s">
        <v>121</v>
      </c>
    </row>
    <row r="204" spans="1:20" x14ac:dyDescent="0.15">
      <c r="A204" t="s">
        <v>72</v>
      </c>
      <c r="B204" t="s">
        <v>73</v>
      </c>
      <c r="C204">
        <v>31142566</v>
      </c>
      <c r="D204">
        <v>6</v>
      </c>
      <c r="E204" t="s">
        <v>75</v>
      </c>
      <c r="G204">
        <v>102.68</v>
      </c>
      <c r="H204">
        <v>102.8</v>
      </c>
      <c r="I204" t="s">
        <v>22</v>
      </c>
      <c r="K204">
        <f t="shared" si="6"/>
        <v>102.68</v>
      </c>
      <c r="L204">
        <f t="shared" si="7"/>
        <v>102.8</v>
      </c>
      <c r="M204" t="s">
        <v>25</v>
      </c>
      <c r="O204" s="7">
        <v>44428</v>
      </c>
      <c r="P204" t="s">
        <v>103</v>
      </c>
      <c r="Q204">
        <v>76300602</v>
      </c>
      <c r="S204" t="s">
        <v>122</v>
      </c>
      <c r="T204">
        <v>146.30000000000001</v>
      </c>
    </row>
    <row r="205" spans="1:20" x14ac:dyDescent="0.15">
      <c r="A205" t="s">
        <v>72</v>
      </c>
      <c r="B205" t="s">
        <v>73</v>
      </c>
      <c r="C205">
        <v>31142566</v>
      </c>
      <c r="D205">
        <v>6</v>
      </c>
      <c r="E205" t="s">
        <v>75</v>
      </c>
      <c r="G205">
        <v>108.95</v>
      </c>
      <c r="H205">
        <v>109</v>
      </c>
      <c r="I205" t="s">
        <v>94</v>
      </c>
      <c r="K205">
        <f t="shared" si="6"/>
        <v>108.95</v>
      </c>
      <c r="L205">
        <f t="shared" si="7"/>
        <v>109</v>
      </c>
      <c r="M205" t="s">
        <v>25</v>
      </c>
      <c r="N205" t="s">
        <v>102</v>
      </c>
      <c r="O205" s="7">
        <v>44427</v>
      </c>
      <c r="P205" t="s">
        <v>103</v>
      </c>
      <c r="Q205">
        <v>76300602</v>
      </c>
      <c r="S205" t="s">
        <v>123</v>
      </c>
      <c r="T205">
        <v>156.19999999999999</v>
      </c>
    </row>
    <row r="206" spans="1:20" x14ac:dyDescent="0.15">
      <c r="A206" t="s">
        <v>72</v>
      </c>
      <c r="B206" t="s">
        <v>73</v>
      </c>
      <c r="C206">
        <v>31142566</v>
      </c>
      <c r="D206">
        <v>6</v>
      </c>
      <c r="E206" t="s">
        <v>75</v>
      </c>
      <c r="G206">
        <v>109.6</v>
      </c>
      <c r="H206">
        <v>109.9</v>
      </c>
      <c r="I206" t="s">
        <v>22</v>
      </c>
      <c r="K206">
        <f t="shared" si="6"/>
        <v>109.6</v>
      </c>
      <c r="L206">
        <f t="shared" si="7"/>
        <v>109.9</v>
      </c>
      <c r="M206" t="s">
        <v>25</v>
      </c>
      <c r="O206" s="7">
        <v>44427</v>
      </c>
      <c r="P206" t="s">
        <v>103</v>
      </c>
      <c r="Q206">
        <v>76300602</v>
      </c>
      <c r="S206" t="s">
        <v>124</v>
      </c>
      <c r="T206">
        <v>141.30000000000001</v>
      </c>
    </row>
    <row r="207" spans="1:20" x14ac:dyDescent="0.15">
      <c r="A207" t="s">
        <v>72</v>
      </c>
      <c r="B207" t="s">
        <v>73</v>
      </c>
      <c r="C207">
        <v>31142566</v>
      </c>
      <c r="D207">
        <v>6</v>
      </c>
      <c r="E207" t="s">
        <v>75</v>
      </c>
      <c r="G207">
        <v>110.8</v>
      </c>
      <c r="H207">
        <v>110.8</v>
      </c>
      <c r="J207" t="s">
        <v>23</v>
      </c>
      <c r="K207">
        <f t="shared" si="6"/>
        <v>110.8</v>
      </c>
      <c r="L207">
        <f t="shared" si="7"/>
        <v>110.8</v>
      </c>
      <c r="M207" t="s">
        <v>25</v>
      </c>
      <c r="N207" t="s">
        <v>102</v>
      </c>
      <c r="O207" s="7">
        <v>44427</v>
      </c>
      <c r="P207" t="s">
        <v>103</v>
      </c>
      <c r="Q207">
        <v>76300602</v>
      </c>
      <c r="R207" t="s">
        <v>44</v>
      </c>
      <c r="S207" t="s">
        <v>125</v>
      </c>
      <c r="T207">
        <v>146.30000000000001</v>
      </c>
    </row>
    <row r="208" spans="1:20" x14ac:dyDescent="0.15">
      <c r="A208" t="s">
        <v>72</v>
      </c>
      <c r="B208" t="s">
        <v>73</v>
      </c>
      <c r="C208">
        <v>31142566</v>
      </c>
      <c r="D208">
        <v>6</v>
      </c>
      <c r="E208" t="s">
        <v>75</v>
      </c>
      <c r="G208">
        <v>112.1</v>
      </c>
      <c r="H208">
        <v>112.4</v>
      </c>
      <c r="J208" t="s">
        <v>23</v>
      </c>
      <c r="K208">
        <f t="shared" si="6"/>
        <v>112.1</v>
      </c>
      <c r="L208">
        <f t="shared" si="7"/>
        <v>112.4</v>
      </c>
      <c r="M208" t="s">
        <v>25</v>
      </c>
      <c r="N208" t="s">
        <v>102</v>
      </c>
      <c r="O208" s="7">
        <v>44432</v>
      </c>
      <c r="P208" t="s">
        <v>103</v>
      </c>
      <c r="Q208">
        <v>76300602</v>
      </c>
      <c r="S208" t="s">
        <v>126</v>
      </c>
      <c r="T208">
        <v>144.30000000000001</v>
      </c>
    </row>
    <row r="209" spans="1:20" x14ac:dyDescent="0.15">
      <c r="A209" t="s">
        <v>72</v>
      </c>
      <c r="B209" t="s">
        <v>73</v>
      </c>
      <c r="C209">
        <v>31142566</v>
      </c>
      <c r="D209">
        <v>6</v>
      </c>
      <c r="E209" t="s">
        <v>75</v>
      </c>
      <c r="G209">
        <v>112.27500000000001</v>
      </c>
      <c r="H209">
        <v>112.375</v>
      </c>
      <c r="I209" t="s">
        <v>94</v>
      </c>
      <c r="K209">
        <f t="shared" si="6"/>
        <v>112.27500000000001</v>
      </c>
      <c r="L209">
        <f t="shared" si="7"/>
        <v>112.375</v>
      </c>
      <c r="N209" t="s">
        <v>102</v>
      </c>
      <c r="O209" s="7">
        <v>44432</v>
      </c>
      <c r="S209" t="s">
        <v>127</v>
      </c>
    </row>
    <row r="210" spans="1:20" x14ac:dyDescent="0.15">
      <c r="A210" t="s">
        <v>72</v>
      </c>
      <c r="B210" t="s">
        <v>73</v>
      </c>
      <c r="C210">
        <v>31142566</v>
      </c>
      <c r="D210">
        <v>6</v>
      </c>
      <c r="E210" t="s">
        <v>75</v>
      </c>
      <c r="G210">
        <v>279.5</v>
      </c>
      <c r="H210">
        <v>279.82499999999999</v>
      </c>
      <c r="J210" t="s">
        <v>23</v>
      </c>
      <c r="K210">
        <f t="shared" si="6"/>
        <v>279.5</v>
      </c>
      <c r="L210">
        <f t="shared" si="7"/>
        <v>279.82499999999999</v>
      </c>
      <c r="M210" t="s">
        <v>25</v>
      </c>
      <c r="N210" t="s">
        <v>102</v>
      </c>
      <c r="O210" s="7">
        <v>44478</v>
      </c>
      <c r="P210" t="s">
        <v>103</v>
      </c>
      <c r="Q210">
        <v>76300602</v>
      </c>
      <c r="S210" t="s">
        <v>128</v>
      </c>
      <c r="T210">
        <v>145.4</v>
      </c>
    </row>
    <row r="211" spans="1:20" x14ac:dyDescent="0.15">
      <c r="A211" t="s">
        <v>72</v>
      </c>
      <c r="B211" t="s">
        <v>73</v>
      </c>
      <c r="C211">
        <v>31142566</v>
      </c>
      <c r="D211">
        <v>6</v>
      </c>
      <c r="E211" t="s">
        <v>75</v>
      </c>
      <c r="G211">
        <v>279.5</v>
      </c>
      <c r="H211">
        <v>279.82499999999999</v>
      </c>
      <c r="I211" t="s">
        <v>94</v>
      </c>
      <c r="K211">
        <f t="shared" si="6"/>
        <v>279.5</v>
      </c>
      <c r="L211">
        <f t="shared" si="7"/>
        <v>279.82499999999999</v>
      </c>
      <c r="N211" t="s">
        <v>102</v>
      </c>
      <c r="O211" s="7">
        <v>44478</v>
      </c>
      <c r="S211" t="s">
        <v>129</v>
      </c>
    </row>
    <row r="212" spans="1:20" x14ac:dyDescent="0.15">
      <c r="A212" t="s">
        <v>72</v>
      </c>
      <c r="B212" t="s">
        <v>73</v>
      </c>
      <c r="C212">
        <v>31142566</v>
      </c>
      <c r="D212">
        <v>6</v>
      </c>
      <c r="E212" t="s">
        <v>75</v>
      </c>
      <c r="G212">
        <v>281.17500000000001</v>
      </c>
      <c r="H212">
        <v>283.10000000000002</v>
      </c>
      <c r="J212" t="s">
        <v>23</v>
      </c>
      <c r="K212">
        <f t="shared" si="6"/>
        <v>281.17500000000001</v>
      </c>
      <c r="L212">
        <f t="shared" si="7"/>
        <v>283.10000000000002</v>
      </c>
      <c r="M212" t="s">
        <v>25</v>
      </c>
      <c r="N212" t="s">
        <v>102</v>
      </c>
      <c r="O212" s="7">
        <v>44478</v>
      </c>
      <c r="P212" t="s">
        <v>103</v>
      </c>
      <c r="Q212">
        <v>76300602</v>
      </c>
      <c r="S212" t="s">
        <v>130</v>
      </c>
      <c r="T212">
        <v>138.4</v>
      </c>
    </row>
    <row r="213" spans="1:20" x14ac:dyDescent="0.15">
      <c r="A213" t="s">
        <v>72</v>
      </c>
      <c r="B213" t="s">
        <v>73</v>
      </c>
      <c r="C213">
        <v>31142566</v>
      </c>
      <c r="D213">
        <v>6</v>
      </c>
      <c r="E213" t="s">
        <v>75</v>
      </c>
      <c r="G213">
        <v>283.45</v>
      </c>
      <c r="H213">
        <v>283.5</v>
      </c>
      <c r="I213" t="s">
        <v>94</v>
      </c>
      <c r="K213">
        <f t="shared" si="6"/>
        <v>283.45</v>
      </c>
      <c r="L213">
        <f t="shared" si="7"/>
        <v>283.5</v>
      </c>
      <c r="M213" t="s">
        <v>25</v>
      </c>
      <c r="O213" s="7">
        <v>44479</v>
      </c>
      <c r="P213" t="s">
        <v>107</v>
      </c>
      <c r="Q213">
        <v>76354300</v>
      </c>
      <c r="S213" t="s">
        <v>119</v>
      </c>
      <c r="T213">
        <v>134.69999999999999</v>
      </c>
    </row>
    <row r="214" spans="1:20" x14ac:dyDescent="0.15">
      <c r="A214" t="s">
        <v>72</v>
      </c>
      <c r="B214" t="s">
        <v>73</v>
      </c>
      <c r="C214">
        <v>31142566</v>
      </c>
      <c r="D214">
        <v>6</v>
      </c>
      <c r="E214" t="s">
        <v>75</v>
      </c>
      <c r="G214">
        <v>284.2</v>
      </c>
      <c r="H214">
        <v>284.3</v>
      </c>
      <c r="I214" t="s">
        <v>94</v>
      </c>
      <c r="K214">
        <f t="shared" si="6"/>
        <v>284.2</v>
      </c>
      <c r="L214">
        <f t="shared" si="7"/>
        <v>284.3</v>
      </c>
      <c r="M214" t="s">
        <v>25</v>
      </c>
      <c r="O214" s="7">
        <v>44479</v>
      </c>
      <c r="P214" t="s">
        <v>107</v>
      </c>
      <c r="Q214">
        <v>76354300</v>
      </c>
      <c r="S214" t="s">
        <v>131</v>
      </c>
      <c r="T214">
        <v>139</v>
      </c>
    </row>
    <row r="215" spans="1:20" x14ac:dyDescent="0.15">
      <c r="A215" t="s">
        <v>72</v>
      </c>
      <c r="B215" t="s">
        <v>73</v>
      </c>
      <c r="C215">
        <v>31142566</v>
      </c>
      <c r="D215">
        <v>6</v>
      </c>
      <c r="E215" t="s">
        <v>75</v>
      </c>
      <c r="G215">
        <v>285.7</v>
      </c>
      <c r="H215">
        <v>285.75</v>
      </c>
      <c r="I215" t="s">
        <v>94</v>
      </c>
      <c r="K215">
        <f t="shared" si="6"/>
        <v>285.7</v>
      </c>
      <c r="L215">
        <f t="shared" si="7"/>
        <v>285.75</v>
      </c>
      <c r="M215" t="s">
        <v>25</v>
      </c>
      <c r="N215" t="s">
        <v>102</v>
      </c>
      <c r="O215" s="7">
        <v>44478</v>
      </c>
      <c r="P215" t="s">
        <v>107</v>
      </c>
      <c r="Q215">
        <v>76354300</v>
      </c>
      <c r="S215" t="s">
        <v>132</v>
      </c>
      <c r="T215">
        <v>138.80000000000001</v>
      </c>
    </row>
    <row r="216" spans="1:20" x14ac:dyDescent="0.15">
      <c r="A216" t="s">
        <v>72</v>
      </c>
      <c r="B216" t="s">
        <v>73</v>
      </c>
      <c r="C216">
        <v>31142566</v>
      </c>
      <c r="D216">
        <v>6</v>
      </c>
      <c r="E216" t="s">
        <v>75</v>
      </c>
      <c r="G216">
        <v>287.10000000000002</v>
      </c>
      <c r="H216">
        <v>287.2</v>
      </c>
      <c r="I216" t="s">
        <v>94</v>
      </c>
      <c r="K216">
        <f t="shared" si="6"/>
        <v>287.10000000000002</v>
      </c>
      <c r="L216">
        <f t="shared" si="7"/>
        <v>287.2</v>
      </c>
      <c r="M216" t="s">
        <v>25</v>
      </c>
      <c r="O216" s="7">
        <v>44439</v>
      </c>
      <c r="P216" t="s">
        <v>103</v>
      </c>
      <c r="Q216">
        <v>76300602</v>
      </c>
      <c r="S216" t="s">
        <v>131</v>
      </c>
      <c r="T216">
        <v>135.1</v>
      </c>
    </row>
    <row r="217" spans="1:20" x14ac:dyDescent="0.15">
      <c r="A217" t="s">
        <v>72</v>
      </c>
      <c r="B217" t="s">
        <v>73</v>
      </c>
      <c r="C217">
        <v>31142566</v>
      </c>
      <c r="D217">
        <v>6</v>
      </c>
      <c r="E217" t="s">
        <v>75</v>
      </c>
      <c r="G217">
        <v>287.3</v>
      </c>
      <c r="H217">
        <v>287.39999999999998</v>
      </c>
      <c r="I217" t="s">
        <v>94</v>
      </c>
      <c r="K217">
        <f t="shared" si="6"/>
        <v>287.3</v>
      </c>
      <c r="L217">
        <f t="shared" si="7"/>
        <v>287.39999999999998</v>
      </c>
      <c r="M217" t="s">
        <v>25</v>
      </c>
      <c r="O217" s="7">
        <v>44439</v>
      </c>
      <c r="P217" t="s">
        <v>103</v>
      </c>
      <c r="Q217">
        <v>76300602</v>
      </c>
      <c r="S217" t="s">
        <v>131</v>
      </c>
      <c r="T217">
        <v>137.6</v>
      </c>
    </row>
    <row r="218" spans="1:20" x14ac:dyDescent="0.15">
      <c r="A218" t="s">
        <v>72</v>
      </c>
      <c r="B218" t="s">
        <v>73</v>
      </c>
      <c r="C218">
        <v>31142566</v>
      </c>
      <c r="D218">
        <v>6</v>
      </c>
      <c r="E218" t="s">
        <v>75</v>
      </c>
      <c r="G218">
        <v>287.8</v>
      </c>
      <c r="H218">
        <v>287.89999999999998</v>
      </c>
      <c r="I218" t="s">
        <v>94</v>
      </c>
      <c r="K218">
        <f t="shared" si="6"/>
        <v>287.8</v>
      </c>
      <c r="L218">
        <f t="shared" si="7"/>
        <v>287.89999999999998</v>
      </c>
      <c r="M218" t="s">
        <v>25</v>
      </c>
      <c r="N218" t="s">
        <v>102</v>
      </c>
      <c r="O218" s="7">
        <v>44439</v>
      </c>
      <c r="P218" t="s">
        <v>103</v>
      </c>
      <c r="Q218">
        <v>76300602</v>
      </c>
      <c r="S218" t="s">
        <v>133</v>
      </c>
      <c r="T218">
        <v>143</v>
      </c>
    </row>
    <row r="219" spans="1:20" x14ac:dyDescent="0.15">
      <c r="A219" t="s">
        <v>72</v>
      </c>
      <c r="B219" t="s">
        <v>73</v>
      </c>
      <c r="C219">
        <v>31142566</v>
      </c>
      <c r="D219">
        <v>6</v>
      </c>
      <c r="E219" t="s">
        <v>75</v>
      </c>
      <c r="G219">
        <v>288.89</v>
      </c>
      <c r="H219">
        <v>289.25</v>
      </c>
      <c r="I219" t="s">
        <v>94</v>
      </c>
      <c r="K219">
        <f t="shared" si="6"/>
        <v>288.89</v>
      </c>
      <c r="L219">
        <f t="shared" si="7"/>
        <v>289.25</v>
      </c>
      <c r="M219" t="s">
        <v>25</v>
      </c>
      <c r="N219" t="s">
        <v>102</v>
      </c>
      <c r="O219" s="7">
        <v>44441</v>
      </c>
      <c r="P219" t="s">
        <v>103</v>
      </c>
      <c r="Q219">
        <v>76300602</v>
      </c>
      <c r="S219" t="s">
        <v>134</v>
      </c>
      <c r="T219">
        <v>137.30000000000001</v>
      </c>
    </row>
    <row r="220" spans="1:20" x14ac:dyDescent="0.15">
      <c r="A220" t="s">
        <v>72</v>
      </c>
      <c r="B220" t="s">
        <v>73</v>
      </c>
      <c r="C220">
        <v>31142566</v>
      </c>
      <c r="D220">
        <v>6</v>
      </c>
      <c r="E220" t="s">
        <v>75</v>
      </c>
      <c r="G220">
        <v>288.89</v>
      </c>
      <c r="H220">
        <v>289.25</v>
      </c>
      <c r="I220" t="s">
        <v>98</v>
      </c>
      <c r="K220">
        <f t="shared" si="6"/>
        <v>288.89</v>
      </c>
      <c r="L220">
        <f t="shared" si="7"/>
        <v>289.25</v>
      </c>
      <c r="M220" t="s">
        <v>25</v>
      </c>
      <c r="N220" t="s">
        <v>102</v>
      </c>
      <c r="O220" s="7">
        <v>44441</v>
      </c>
      <c r="P220" t="s">
        <v>103</v>
      </c>
      <c r="Q220">
        <v>76300602</v>
      </c>
      <c r="S220" t="s">
        <v>135</v>
      </c>
      <c r="T220">
        <v>141.30000000000001</v>
      </c>
    </row>
    <row r="221" spans="1:20" x14ac:dyDescent="0.15">
      <c r="A221" t="s">
        <v>72</v>
      </c>
      <c r="B221" t="s">
        <v>73</v>
      </c>
      <c r="C221">
        <v>31142566</v>
      </c>
      <c r="D221">
        <v>6</v>
      </c>
      <c r="E221" t="s">
        <v>75</v>
      </c>
      <c r="G221">
        <v>258.5</v>
      </c>
      <c r="H221">
        <v>258.60000000000002</v>
      </c>
      <c r="I221" t="s">
        <v>94</v>
      </c>
      <c r="K221">
        <f t="shared" si="6"/>
        <v>258.5</v>
      </c>
      <c r="L221">
        <f t="shared" si="7"/>
        <v>258.60000000000002</v>
      </c>
      <c r="M221" t="s">
        <v>25</v>
      </c>
      <c r="O221" s="7">
        <v>44485</v>
      </c>
      <c r="P221" t="s">
        <v>105</v>
      </c>
      <c r="Q221">
        <v>74304200</v>
      </c>
      <c r="S221" t="s">
        <v>119</v>
      </c>
      <c r="T221">
        <v>153.6</v>
      </c>
    </row>
    <row r="222" spans="1:20" x14ac:dyDescent="0.15">
      <c r="A222" t="s">
        <v>72</v>
      </c>
      <c r="B222" t="s">
        <v>73</v>
      </c>
      <c r="C222">
        <v>31142566</v>
      </c>
      <c r="D222">
        <v>6</v>
      </c>
      <c r="E222" t="s">
        <v>75</v>
      </c>
      <c r="G222">
        <v>260</v>
      </c>
      <c r="H222">
        <v>260.3</v>
      </c>
      <c r="I222" t="s">
        <v>94</v>
      </c>
      <c r="K222">
        <f t="shared" si="6"/>
        <v>260</v>
      </c>
      <c r="L222">
        <f t="shared" si="7"/>
        <v>260.3</v>
      </c>
      <c r="M222" t="s">
        <v>25</v>
      </c>
      <c r="O222" s="7">
        <v>44485</v>
      </c>
      <c r="P222" t="s">
        <v>105</v>
      </c>
      <c r="Q222">
        <v>74304200</v>
      </c>
      <c r="S222" t="s">
        <v>136</v>
      </c>
      <c r="T222">
        <v>143.6</v>
      </c>
    </row>
    <row r="223" spans="1:20" x14ac:dyDescent="0.15">
      <c r="A223" t="s">
        <v>72</v>
      </c>
      <c r="B223" t="s">
        <v>73</v>
      </c>
      <c r="C223">
        <v>31142566</v>
      </c>
      <c r="D223">
        <v>6</v>
      </c>
      <c r="E223" t="s">
        <v>75</v>
      </c>
      <c r="G223">
        <v>261.39999999999998</v>
      </c>
      <c r="H223">
        <v>261.5</v>
      </c>
      <c r="I223" t="s">
        <v>94</v>
      </c>
      <c r="K223">
        <f t="shared" si="6"/>
        <v>261.39999999999998</v>
      </c>
      <c r="L223">
        <f t="shared" si="7"/>
        <v>261.5</v>
      </c>
      <c r="M223" t="s">
        <v>25</v>
      </c>
      <c r="O223" s="7">
        <v>44485</v>
      </c>
      <c r="P223" t="s">
        <v>105</v>
      </c>
      <c r="Q223">
        <v>74304200</v>
      </c>
      <c r="S223" t="s">
        <v>119</v>
      </c>
      <c r="T223">
        <v>140.5</v>
      </c>
    </row>
    <row r="224" spans="1:20" x14ac:dyDescent="0.15">
      <c r="A224" t="s">
        <v>72</v>
      </c>
      <c r="B224" t="s">
        <v>73</v>
      </c>
      <c r="C224">
        <v>31142566</v>
      </c>
      <c r="D224">
        <v>6</v>
      </c>
      <c r="E224" t="s">
        <v>75</v>
      </c>
      <c r="G224">
        <v>261.45999999999998</v>
      </c>
      <c r="H224">
        <v>261.60000000000002</v>
      </c>
      <c r="I224" t="s">
        <v>94</v>
      </c>
      <c r="K224">
        <f t="shared" si="6"/>
        <v>261.45999999999998</v>
      </c>
      <c r="L224">
        <f t="shared" si="7"/>
        <v>261.60000000000002</v>
      </c>
      <c r="M224" t="s">
        <v>25</v>
      </c>
      <c r="O224" s="7">
        <v>44485</v>
      </c>
      <c r="P224" t="s">
        <v>105</v>
      </c>
      <c r="Q224">
        <v>74304200</v>
      </c>
      <c r="S224" t="s">
        <v>121</v>
      </c>
      <c r="T224">
        <v>130.5</v>
      </c>
    </row>
    <row r="225" spans="1:21" x14ac:dyDescent="0.15">
      <c r="A225" t="s">
        <v>72</v>
      </c>
      <c r="B225" t="s">
        <v>73</v>
      </c>
      <c r="C225">
        <v>31142566</v>
      </c>
      <c r="D225">
        <v>6</v>
      </c>
      <c r="E225" t="s">
        <v>75</v>
      </c>
      <c r="G225">
        <v>262.66000000000003</v>
      </c>
      <c r="H225">
        <v>262.75</v>
      </c>
      <c r="J225" t="s">
        <v>23</v>
      </c>
      <c r="K225">
        <f t="shared" si="6"/>
        <v>262.66000000000003</v>
      </c>
      <c r="L225">
        <f t="shared" si="7"/>
        <v>262.75</v>
      </c>
      <c r="M225" t="s">
        <v>27</v>
      </c>
      <c r="O225" s="7">
        <v>44485</v>
      </c>
      <c r="P225" t="s">
        <v>108</v>
      </c>
      <c r="Q225">
        <v>74303100</v>
      </c>
      <c r="S225" t="s">
        <v>137</v>
      </c>
      <c r="T225">
        <v>140</v>
      </c>
    </row>
    <row r="226" spans="1:21" x14ac:dyDescent="0.15">
      <c r="A226" t="s">
        <v>72</v>
      </c>
      <c r="B226" t="s">
        <v>73</v>
      </c>
      <c r="C226">
        <v>31142566</v>
      </c>
      <c r="D226">
        <v>6</v>
      </c>
      <c r="E226" t="s">
        <v>75</v>
      </c>
      <c r="G226">
        <v>262.7</v>
      </c>
      <c r="H226">
        <v>262.72500000000002</v>
      </c>
      <c r="I226" t="s">
        <v>94</v>
      </c>
      <c r="K226">
        <f t="shared" si="6"/>
        <v>262.7</v>
      </c>
      <c r="L226">
        <f t="shared" si="7"/>
        <v>262.72500000000002</v>
      </c>
      <c r="N226" t="s">
        <v>102</v>
      </c>
      <c r="O226" s="7">
        <v>44485</v>
      </c>
      <c r="S226" t="s">
        <v>138</v>
      </c>
    </row>
    <row r="227" spans="1:21" x14ac:dyDescent="0.15">
      <c r="A227" t="s">
        <v>72</v>
      </c>
      <c r="B227" t="s">
        <v>73</v>
      </c>
      <c r="C227">
        <v>31142566</v>
      </c>
      <c r="D227">
        <v>6</v>
      </c>
      <c r="E227" t="s">
        <v>74</v>
      </c>
      <c r="G227">
        <v>262.72500000000002</v>
      </c>
      <c r="H227">
        <v>262.64999999999998</v>
      </c>
      <c r="J227" t="s">
        <v>23</v>
      </c>
      <c r="K227">
        <f t="shared" si="6"/>
        <v>262.64999999999998</v>
      </c>
      <c r="L227">
        <f t="shared" si="7"/>
        <v>262.72500000000002</v>
      </c>
      <c r="M227" t="s">
        <v>27</v>
      </c>
      <c r="O227" s="7">
        <v>44491</v>
      </c>
      <c r="P227" t="s">
        <v>108</v>
      </c>
      <c r="Q227">
        <v>74303100</v>
      </c>
      <c r="S227" t="s">
        <v>139</v>
      </c>
      <c r="T227">
        <v>142</v>
      </c>
    </row>
    <row r="228" spans="1:21" x14ac:dyDescent="0.15">
      <c r="A228" t="s">
        <v>72</v>
      </c>
      <c r="B228" t="s">
        <v>73</v>
      </c>
      <c r="C228">
        <v>31142566</v>
      </c>
      <c r="D228">
        <v>6</v>
      </c>
      <c r="E228" t="s">
        <v>74</v>
      </c>
      <c r="G228">
        <v>261.5</v>
      </c>
      <c r="H228">
        <v>261.10000000000002</v>
      </c>
      <c r="I228" t="s">
        <v>92</v>
      </c>
      <c r="K228">
        <f t="shared" si="6"/>
        <v>261.10000000000002</v>
      </c>
      <c r="L228">
        <f t="shared" si="7"/>
        <v>261.5</v>
      </c>
      <c r="M228" t="s">
        <v>25</v>
      </c>
      <c r="O228" s="7">
        <v>44485</v>
      </c>
      <c r="P228" t="s">
        <v>105</v>
      </c>
      <c r="Q228">
        <v>74304200</v>
      </c>
      <c r="S228" t="s">
        <v>140</v>
      </c>
      <c r="T228">
        <v>147.5</v>
      </c>
    </row>
    <row r="229" spans="1:21" x14ac:dyDescent="0.15">
      <c r="A229" t="s">
        <v>72</v>
      </c>
      <c r="B229" t="s">
        <v>73</v>
      </c>
      <c r="C229">
        <v>31142566</v>
      </c>
      <c r="D229">
        <v>6</v>
      </c>
      <c r="E229" t="s">
        <v>74</v>
      </c>
      <c r="G229">
        <v>261.60000000000002</v>
      </c>
      <c r="H229">
        <v>261.3</v>
      </c>
      <c r="I229" t="s">
        <v>95</v>
      </c>
      <c r="K229">
        <f t="shared" si="6"/>
        <v>261.3</v>
      </c>
      <c r="L229">
        <f t="shared" si="7"/>
        <v>261.60000000000002</v>
      </c>
      <c r="M229" t="s">
        <v>25</v>
      </c>
      <c r="O229" s="7">
        <v>44485</v>
      </c>
      <c r="P229" t="s">
        <v>105</v>
      </c>
      <c r="Q229">
        <v>74304200</v>
      </c>
      <c r="S229" t="s">
        <v>136</v>
      </c>
      <c r="T229">
        <v>149</v>
      </c>
    </row>
    <row r="230" spans="1:21" x14ac:dyDescent="0.15">
      <c r="A230" s="12" t="s">
        <v>19</v>
      </c>
      <c r="B230" t="s">
        <v>73</v>
      </c>
      <c r="C230">
        <v>31126912</v>
      </c>
      <c r="D230">
        <v>6</v>
      </c>
      <c r="E230" t="s">
        <v>74</v>
      </c>
      <c r="G230">
        <v>87.25</v>
      </c>
      <c r="H230">
        <v>98.13</v>
      </c>
      <c r="J230" t="s">
        <v>23</v>
      </c>
      <c r="K230">
        <f t="shared" si="6"/>
        <v>87.25</v>
      </c>
      <c r="L230">
        <f t="shared" si="7"/>
        <v>98.13</v>
      </c>
      <c r="M230" s="10" t="s">
        <v>143</v>
      </c>
      <c r="N230" s="10" t="s">
        <v>144</v>
      </c>
      <c r="O230" s="11">
        <v>44347</v>
      </c>
      <c r="P230" s="10" t="s">
        <v>145</v>
      </c>
      <c r="Q230" s="10" t="s">
        <v>146</v>
      </c>
      <c r="R230" s="10"/>
      <c r="S230" s="10"/>
      <c r="T230" s="10"/>
      <c r="U230" s="10"/>
    </row>
    <row r="231" spans="1:21" x14ac:dyDescent="0.15">
      <c r="A231" s="12" t="s">
        <v>19</v>
      </c>
      <c r="B231" t="s">
        <v>73</v>
      </c>
      <c r="C231">
        <v>31126912</v>
      </c>
      <c r="D231">
        <v>6</v>
      </c>
      <c r="E231" t="s">
        <v>75</v>
      </c>
      <c r="G231">
        <v>87.23</v>
      </c>
      <c r="H231">
        <v>97.3</v>
      </c>
      <c r="J231" t="s">
        <v>23</v>
      </c>
      <c r="K231">
        <f t="shared" si="6"/>
        <v>87.23</v>
      </c>
      <c r="L231">
        <f t="shared" si="7"/>
        <v>97.3</v>
      </c>
      <c r="M231" s="10" t="s">
        <v>143</v>
      </c>
      <c r="N231" s="10" t="s">
        <v>144</v>
      </c>
      <c r="O231" s="11">
        <v>44347</v>
      </c>
      <c r="P231" s="10" t="s">
        <v>145</v>
      </c>
      <c r="Q231" s="10" t="s">
        <v>146</v>
      </c>
      <c r="R231" s="10"/>
      <c r="S231" s="10"/>
      <c r="T231" s="10"/>
      <c r="U231" s="10"/>
    </row>
    <row r="232" spans="1:21" x14ac:dyDescent="0.15">
      <c r="A232" s="12" t="s">
        <v>19</v>
      </c>
      <c r="B232" t="s">
        <v>73</v>
      </c>
      <c r="C232">
        <v>31126912</v>
      </c>
      <c r="D232">
        <v>6</v>
      </c>
      <c r="E232" t="s">
        <v>75</v>
      </c>
      <c r="G232">
        <v>97.3</v>
      </c>
      <c r="H232">
        <v>98.13</v>
      </c>
      <c r="J232" t="s">
        <v>23</v>
      </c>
      <c r="K232">
        <f t="shared" si="6"/>
        <v>97.3</v>
      </c>
      <c r="L232">
        <f t="shared" si="7"/>
        <v>98.13</v>
      </c>
      <c r="M232" s="10" t="s">
        <v>141</v>
      </c>
      <c r="N232" s="10">
        <v>65</v>
      </c>
      <c r="O232" s="11">
        <v>44347</v>
      </c>
      <c r="P232" t="s">
        <v>159</v>
      </c>
      <c r="Q232" s="10" t="s">
        <v>147</v>
      </c>
      <c r="R232" s="10"/>
      <c r="S232" s="10"/>
      <c r="T232" s="10"/>
      <c r="U232" s="10"/>
    </row>
    <row r="233" spans="1:21" x14ac:dyDescent="0.15">
      <c r="A233" s="12" t="s">
        <v>19</v>
      </c>
      <c r="B233" t="s">
        <v>73</v>
      </c>
      <c r="C233">
        <v>31126912</v>
      </c>
      <c r="D233">
        <v>6</v>
      </c>
      <c r="E233" t="s">
        <v>76</v>
      </c>
      <c r="F233" t="s">
        <v>89</v>
      </c>
      <c r="G233">
        <v>90.9</v>
      </c>
      <c r="H233">
        <v>90.3</v>
      </c>
      <c r="J233" t="s">
        <v>23</v>
      </c>
      <c r="K233">
        <f t="shared" si="6"/>
        <v>90.3</v>
      </c>
      <c r="L233">
        <f t="shared" si="7"/>
        <v>90.9</v>
      </c>
      <c r="M233" s="10" t="s">
        <v>142</v>
      </c>
      <c r="N233" s="10"/>
      <c r="O233" s="11">
        <v>44445</v>
      </c>
      <c r="P233" t="s">
        <v>43</v>
      </c>
      <c r="Q233" s="10">
        <v>88407</v>
      </c>
      <c r="R233" s="10"/>
      <c r="S233" s="10"/>
      <c r="T233" s="10"/>
      <c r="U233" s="10" t="s">
        <v>148</v>
      </c>
    </row>
    <row r="234" spans="1:21" x14ac:dyDescent="0.15">
      <c r="A234" s="12" t="s">
        <v>19</v>
      </c>
      <c r="B234" t="s">
        <v>73</v>
      </c>
      <c r="C234">
        <v>31126912</v>
      </c>
      <c r="D234">
        <v>6</v>
      </c>
      <c r="E234" t="s">
        <v>76</v>
      </c>
      <c r="F234" t="s">
        <v>79</v>
      </c>
      <c r="G234">
        <v>90.6</v>
      </c>
      <c r="H234">
        <v>91</v>
      </c>
      <c r="J234" t="s">
        <v>23</v>
      </c>
      <c r="K234">
        <f t="shared" si="6"/>
        <v>90.6</v>
      </c>
      <c r="L234">
        <f t="shared" si="7"/>
        <v>91</v>
      </c>
      <c r="M234" s="10" t="s">
        <v>142</v>
      </c>
      <c r="N234" s="10"/>
      <c r="O234" s="11">
        <v>44445</v>
      </c>
      <c r="P234" t="s">
        <v>43</v>
      </c>
      <c r="Q234" s="10">
        <v>88407</v>
      </c>
      <c r="R234" s="10"/>
      <c r="S234" s="10"/>
      <c r="T234" s="10"/>
      <c r="U234" s="10" t="s">
        <v>149</v>
      </c>
    </row>
    <row r="235" spans="1:21" x14ac:dyDescent="0.15">
      <c r="A235" t="s">
        <v>150</v>
      </c>
      <c r="B235" t="s">
        <v>151</v>
      </c>
      <c r="C235">
        <v>31163605</v>
      </c>
      <c r="D235">
        <v>57</v>
      </c>
      <c r="E235" t="s">
        <v>75</v>
      </c>
      <c r="G235" s="13">
        <v>23.1</v>
      </c>
      <c r="H235" s="13">
        <v>23.6</v>
      </c>
      <c r="J235" t="s">
        <v>23</v>
      </c>
      <c r="K235">
        <f t="shared" si="6"/>
        <v>23.1</v>
      </c>
      <c r="L235">
        <f t="shared" si="7"/>
        <v>23.6</v>
      </c>
      <c r="M235" s="10" t="s">
        <v>143</v>
      </c>
      <c r="O235" s="7">
        <v>44483</v>
      </c>
      <c r="R235" t="s">
        <v>154</v>
      </c>
      <c r="S235" s="13">
        <v>500</v>
      </c>
    </row>
    <row r="236" spans="1:21" x14ac:dyDescent="0.15">
      <c r="A236" t="s">
        <v>150</v>
      </c>
      <c r="B236" t="s">
        <v>151</v>
      </c>
      <c r="C236">
        <v>31163605</v>
      </c>
      <c r="D236">
        <v>57</v>
      </c>
      <c r="E236" t="s">
        <v>75</v>
      </c>
      <c r="G236" s="13">
        <v>23.6</v>
      </c>
      <c r="H236" s="13">
        <v>23.9</v>
      </c>
      <c r="J236" t="s">
        <v>23</v>
      </c>
      <c r="K236">
        <f t="shared" si="6"/>
        <v>23.6</v>
      </c>
      <c r="L236">
        <f t="shared" si="7"/>
        <v>23.9</v>
      </c>
      <c r="M236" t="s">
        <v>153</v>
      </c>
      <c r="O236" s="7">
        <v>44483</v>
      </c>
      <c r="R236" t="s">
        <v>154</v>
      </c>
      <c r="S236" s="13">
        <v>300</v>
      </c>
    </row>
    <row r="237" spans="1:21" x14ac:dyDescent="0.15">
      <c r="A237" t="s">
        <v>150</v>
      </c>
      <c r="B237" t="s">
        <v>151</v>
      </c>
      <c r="C237">
        <v>31163605</v>
      </c>
      <c r="D237">
        <v>57</v>
      </c>
      <c r="E237" t="s">
        <v>76</v>
      </c>
      <c r="F237" t="s">
        <v>80</v>
      </c>
      <c r="G237" s="13">
        <v>60.4</v>
      </c>
      <c r="H237" s="13">
        <v>60.8</v>
      </c>
      <c r="J237" t="s">
        <v>23</v>
      </c>
      <c r="K237">
        <f t="shared" si="6"/>
        <v>60.4</v>
      </c>
      <c r="L237">
        <f t="shared" si="7"/>
        <v>60.8</v>
      </c>
      <c r="M237" t="s">
        <v>100</v>
      </c>
      <c r="O237" s="7">
        <v>44488</v>
      </c>
      <c r="R237" t="s">
        <v>154</v>
      </c>
      <c r="S237" s="13">
        <v>400</v>
      </c>
    </row>
    <row r="238" spans="1:21" x14ac:dyDescent="0.15">
      <c r="A238" t="s">
        <v>150</v>
      </c>
      <c r="B238" t="s">
        <v>151</v>
      </c>
      <c r="C238">
        <v>31163605</v>
      </c>
      <c r="D238">
        <v>57</v>
      </c>
      <c r="E238" t="s">
        <v>76</v>
      </c>
      <c r="F238" t="s">
        <v>82</v>
      </c>
      <c r="G238" s="13">
        <v>60.6</v>
      </c>
      <c r="H238" s="13">
        <v>61.1</v>
      </c>
      <c r="J238" t="s">
        <v>23</v>
      </c>
      <c r="K238">
        <f t="shared" si="6"/>
        <v>60.6</v>
      </c>
      <c r="L238">
        <f t="shared" si="7"/>
        <v>61.1</v>
      </c>
      <c r="M238" t="s">
        <v>100</v>
      </c>
      <c r="O238" s="7">
        <v>44488</v>
      </c>
      <c r="R238" t="s">
        <v>154</v>
      </c>
      <c r="S238" s="13">
        <v>500</v>
      </c>
    </row>
    <row r="239" spans="1:21" x14ac:dyDescent="0.15">
      <c r="A239" t="s">
        <v>150</v>
      </c>
      <c r="B239" t="s">
        <v>151</v>
      </c>
      <c r="C239">
        <v>31163605</v>
      </c>
      <c r="D239">
        <v>57</v>
      </c>
      <c r="E239" t="s">
        <v>74</v>
      </c>
      <c r="G239" s="13">
        <v>78.025000000000006</v>
      </c>
      <c r="H239" s="13">
        <v>78.135000000000005</v>
      </c>
      <c r="J239" t="s">
        <v>23</v>
      </c>
      <c r="K239">
        <f t="shared" si="6"/>
        <v>78.025000000000006</v>
      </c>
      <c r="L239">
        <f t="shared" si="7"/>
        <v>78.135000000000005</v>
      </c>
      <c r="M239" t="s">
        <v>153</v>
      </c>
      <c r="O239" s="7">
        <v>44486</v>
      </c>
      <c r="R239" t="s">
        <v>154</v>
      </c>
      <c r="S239" s="13">
        <v>110</v>
      </c>
    </row>
    <row r="240" spans="1:21" x14ac:dyDescent="0.15">
      <c r="A240" t="s">
        <v>150</v>
      </c>
      <c r="B240" t="s">
        <v>151</v>
      </c>
      <c r="C240">
        <v>31163605</v>
      </c>
      <c r="D240">
        <v>57</v>
      </c>
      <c r="E240" t="s">
        <v>74</v>
      </c>
      <c r="G240" s="13">
        <v>78.135000000000005</v>
      </c>
      <c r="H240" s="13">
        <v>79.75</v>
      </c>
      <c r="J240" t="s">
        <v>23</v>
      </c>
      <c r="K240">
        <f t="shared" si="6"/>
        <v>78.135000000000005</v>
      </c>
      <c r="L240">
        <f t="shared" si="7"/>
        <v>79.75</v>
      </c>
      <c r="M240" t="s">
        <v>27</v>
      </c>
      <c r="O240" s="7">
        <v>44486</v>
      </c>
      <c r="R240" t="s">
        <v>154</v>
      </c>
      <c r="S240" s="13">
        <v>2185.2600000000002</v>
      </c>
    </row>
    <row r="241" spans="1:19" x14ac:dyDescent="0.15">
      <c r="A241" t="s">
        <v>150</v>
      </c>
      <c r="B241" t="s">
        <v>151</v>
      </c>
      <c r="C241">
        <v>31163605</v>
      </c>
      <c r="D241">
        <v>57</v>
      </c>
      <c r="E241" t="s">
        <v>74</v>
      </c>
      <c r="G241" s="13">
        <v>79.75</v>
      </c>
      <c r="H241" s="13">
        <v>80.400000000000006</v>
      </c>
      <c r="J241" t="s">
        <v>23</v>
      </c>
      <c r="K241">
        <f t="shared" si="6"/>
        <v>79.75</v>
      </c>
      <c r="L241">
        <f t="shared" si="7"/>
        <v>80.400000000000006</v>
      </c>
      <c r="M241" s="10" t="s">
        <v>143</v>
      </c>
      <c r="O241" s="7">
        <v>44486</v>
      </c>
      <c r="R241" t="s">
        <v>154</v>
      </c>
      <c r="S241" s="13">
        <v>559</v>
      </c>
    </row>
    <row r="242" spans="1:19" x14ac:dyDescent="0.15">
      <c r="A242" t="s">
        <v>150</v>
      </c>
      <c r="B242" t="s">
        <v>151</v>
      </c>
      <c r="C242">
        <v>31163605</v>
      </c>
      <c r="D242">
        <v>57</v>
      </c>
      <c r="E242" t="s">
        <v>75</v>
      </c>
      <c r="G242" s="13">
        <v>78.025000000000006</v>
      </c>
      <c r="H242" s="13">
        <v>78.135000000000005</v>
      </c>
      <c r="J242" t="s">
        <v>23</v>
      </c>
      <c r="K242">
        <f t="shared" si="6"/>
        <v>78.025000000000006</v>
      </c>
      <c r="L242">
        <f t="shared" si="7"/>
        <v>78.135000000000005</v>
      </c>
      <c r="M242" t="s">
        <v>153</v>
      </c>
      <c r="O242" s="7">
        <v>44465</v>
      </c>
      <c r="R242" t="s">
        <v>154</v>
      </c>
      <c r="S242" s="13">
        <v>110</v>
      </c>
    </row>
    <row r="243" spans="1:19" x14ac:dyDescent="0.15">
      <c r="A243" t="s">
        <v>150</v>
      </c>
      <c r="B243" t="s">
        <v>151</v>
      </c>
      <c r="C243">
        <v>31163605</v>
      </c>
      <c r="D243">
        <v>57</v>
      </c>
      <c r="E243" t="s">
        <v>75</v>
      </c>
      <c r="G243" s="13">
        <v>78.135000000000005</v>
      </c>
      <c r="H243" s="13">
        <v>79.75</v>
      </c>
      <c r="J243" t="s">
        <v>23</v>
      </c>
      <c r="K243">
        <f t="shared" si="6"/>
        <v>78.135000000000005</v>
      </c>
      <c r="L243">
        <f t="shared" si="7"/>
        <v>79.75</v>
      </c>
      <c r="M243" t="s">
        <v>27</v>
      </c>
      <c r="O243" s="7">
        <v>44465</v>
      </c>
      <c r="R243" t="s">
        <v>154</v>
      </c>
      <c r="S243" s="13">
        <v>1944.46</v>
      </c>
    </row>
    <row r="244" spans="1:19" x14ac:dyDescent="0.15">
      <c r="A244" t="s">
        <v>150</v>
      </c>
      <c r="B244" t="s">
        <v>151</v>
      </c>
      <c r="C244">
        <v>31163605</v>
      </c>
      <c r="D244">
        <v>57</v>
      </c>
      <c r="E244" t="s">
        <v>75</v>
      </c>
      <c r="G244" s="13">
        <v>79.75</v>
      </c>
      <c r="H244" s="13">
        <v>80.400000000000006</v>
      </c>
      <c r="J244" t="s">
        <v>23</v>
      </c>
      <c r="K244">
        <f t="shared" si="6"/>
        <v>79.75</v>
      </c>
      <c r="L244">
        <f t="shared" si="7"/>
        <v>80.400000000000006</v>
      </c>
      <c r="M244" s="10" t="s">
        <v>143</v>
      </c>
      <c r="O244" s="7">
        <v>44465</v>
      </c>
      <c r="R244" t="s">
        <v>154</v>
      </c>
      <c r="S244" s="13">
        <v>559</v>
      </c>
    </row>
    <row r="245" spans="1:19" x14ac:dyDescent="0.15">
      <c r="A245" t="s">
        <v>150</v>
      </c>
      <c r="B245" t="s">
        <v>151</v>
      </c>
      <c r="C245">
        <v>31163605</v>
      </c>
      <c r="D245">
        <v>58</v>
      </c>
      <c r="E245" t="s">
        <v>76</v>
      </c>
      <c r="F245" t="s">
        <v>82</v>
      </c>
      <c r="G245" s="13">
        <v>141.5</v>
      </c>
      <c r="H245" s="13">
        <v>141.9</v>
      </c>
      <c r="J245" t="s">
        <v>23</v>
      </c>
      <c r="K245">
        <f t="shared" si="6"/>
        <v>141.5</v>
      </c>
      <c r="L245">
        <f t="shared" si="7"/>
        <v>141.9</v>
      </c>
      <c r="M245" t="s">
        <v>100</v>
      </c>
      <c r="O245" s="7">
        <v>44370</v>
      </c>
      <c r="R245" t="s">
        <v>154</v>
      </c>
      <c r="S245" s="13">
        <v>400</v>
      </c>
    </row>
    <row r="246" spans="1:19" x14ac:dyDescent="0.15">
      <c r="A246" t="s">
        <v>150</v>
      </c>
      <c r="B246" t="s">
        <v>151</v>
      </c>
      <c r="C246">
        <v>31163605</v>
      </c>
      <c r="D246">
        <v>59</v>
      </c>
      <c r="E246" t="s">
        <v>152</v>
      </c>
      <c r="G246" s="13">
        <v>17.8</v>
      </c>
      <c r="H246" s="13">
        <v>18.8</v>
      </c>
      <c r="J246" t="s">
        <v>23</v>
      </c>
      <c r="K246">
        <f t="shared" si="6"/>
        <v>17.8</v>
      </c>
      <c r="L246">
        <f t="shared" si="7"/>
        <v>18.8</v>
      </c>
      <c r="M246" t="s">
        <v>100</v>
      </c>
      <c r="O246" s="7">
        <v>44498</v>
      </c>
      <c r="R246" t="s">
        <v>154</v>
      </c>
      <c r="S246" s="13">
        <v>1000</v>
      </c>
    </row>
    <row r="247" spans="1:19" x14ac:dyDescent="0.15">
      <c r="A247" t="s">
        <v>150</v>
      </c>
      <c r="B247" t="s">
        <v>151</v>
      </c>
      <c r="C247">
        <v>31163605</v>
      </c>
      <c r="D247">
        <v>59</v>
      </c>
      <c r="E247" t="s">
        <v>152</v>
      </c>
      <c r="G247" s="13">
        <v>18.8</v>
      </c>
      <c r="H247" s="13">
        <v>19.600000000000001</v>
      </c>
      <c r="J247" t="s">
        <v>23</v>
      </c>
      <c r="K247">
        <f t="shared" si="6"/>
        <v>18.8</v>
      </c>
      <c r="L247">
        <f t="shared" si="7"/>
        <v>19.600000000000001</v>
      </c>
      <c r="M247" t="s">
        <v>100</v>
      </c>
      <c r="O247" s="7">
        <v>44503</v>
      </c>
      <c r="R247" t="s">
        <v>154</v>
      </c>
      <c r="S247" s="13">
        <v>800</v>
      </c>
    </row>
    <row r="248" spans="1:19" x14ac:dyDescent="0.15">
      <c r="A248" s="12" t="s">
        <v>19</v>
      </c>
      <c r="B248" t="s">
        <v>155</v>
      </c>
      <c r="C248">
        <v>31143638</v>
      </c>
      <c r="D248">
        <v>79</v>
      </c>
      <c r="E248" t="s">
        <v>75</v>
      </c>
      <c r="G248">
        <v>0.92900000000000005</v>
      </c>
      <c r="H248">
        <v>1.151</v>
      </c>
      <c r="J248" t="s">
        <v>23</v>
      </c>
      <c r="K248">
        <f t="shared" si="6"/>
        <v>0.92900000000000005</v>
      </c>
      <c r="L248">
        <f t="shared" si="7"/>
        <v>1.151</v>
      </c>
      <c r="M248" t="s">
        <v>143</v>
      </c>
      <c r="O248" s="7">
        <v>44256</v>
      </c>
      <c r="P248" t="s">
        <v>145</v>
      </c>
      <c r="Q248">
        <v>55312</v>
      </c>
      <c r="R248" t="s">
        <v>160</v>
      </c>
      <c r="S248" s="14">
        <v>3350.3400000000006</v>
      </c>
    </row>
    <row r="249" spans="1:19" x14ac:dyDescent="0.15">
      <c r="A249" s="12" t="s">
        <v>19</v>
      </c>
      <c r="B249" t="s">
        <v>155</v>
      </c>
      <c r="C249">
        <v>31143638</v>
      </c>
      <c r="D249">
        <v>79</v>
      </c>
      <c r="E249" t="s">
        <v>75</v>
      </c>
      <c r="G249">
        <v>3.5880000000000001</v>
      </c>
      <c r="H249">
        <v>3.633</v>
      </c>
      <c r="J249" t="s">
        <v>23</v>
      </c>
      <c r="K249">
        <f t="shared" si="6"/>
        <v>3.5880000000000001</v>
      </c>
      <c r="L249">
        <f t="shared" si="7"/>
        <v>3.633</v>
      </c>
      <c r="M249" t="s">
        <v>156</v>
      </c>
      <c r="O249" s="7">
        <v>44256</v>
      </c>
      <c r="P249" t="s">
        <v>43</v>
      </c>
      <c r="Q249">
        <v>91709</v>
      </c>
      <c r="R249" t="s">
        <v>161</v>
      </c>
      <c r="S249" s="14">
        <v>67.499999999999886</v>
      </c>
    </row>
    <row r="250" spans="1:19" x14ac:dyDescent="0.15">
      <c r="A250" s="12" t="s">
        <v>19</v>
      </c>
      <c r="B250" t="s">
        <v>155</v>
      </c>
      <c r="C250">
        <v>31143638</v>
      </c>
      <c r="D250">
        <v>79</v>
      </c>
      <c r="E250" t="s">
        <v>75</v>
      </c>
      <c r="G250">
        <v>3.633</v>
      </c>
      <c r="H250">
        <v>4.1159999999999997</v>
      </c>
      <c r="J250" t="s">
        <v>23</v>
      </c>
      <c r="K250">
        <f t="shared" si="6"/>
        <v>3.633</v>
      </c>
      <c r="L250">
        <f t="shared" si="7"/>
        <v>4.1159999999999997</v>
      </c>
      <c r="M250" t="s">
        <v>143</v>
      </c>
      <c r="O250" s="7">
        <v>44256</v>
      </c>
      <c r="P250" t="s">
        <v>145</v>
      </c>
      <c r="Q250">
        <v>55312</v>
      </c>
      <c r="R250" t="s">
        <v>160</v>
      </c>
      <c r="S250" s="14">
        <v>735.83999999999969</v>
      </c>
    </row>
    <row r="251" spans="1:19" x14ac:dyDescent="0.15">
      <c r="A251" s="12" t="s">
        <v>19</v>
      </c>
      <c r="B251" t="s">
        <v>155</v>
      </c>
      <c r="C251">
        <v>31143638</v>
      </c>
      <c r="D251">
        <v>79</v>
      </c>
      <c r="E251" t="s">
        <v>75</v>
      </c>
      <c r="G251">
        <v>4.2169999999999996</v>
      </c>
      <c r="H251">
        <v>4.3360000000000003</v>
      </c>
      <c r="J251" t="s">
        <v>23</v>
      </c>
      <c r="K251">
        <f t="shared" si="6"/>
        <v>4.2169999999999996</v>
      </c>
      <c r="L251">
        <f t="shared" si="7"/>
        <v>4.3360000000000003</v>
      </c>
      <c r="M251" t="s">
        <v>156</v>
      </c>
      <c r="O251" s="7">
        <v>44256</v>
      </c>
      <c r="P251" t="s">
        <v>43</v>
      </c>
      <c r="Q251">
        <v>91709</v>
      </c>
      <c r="R251" t="s">
        <v>161</v>
      </c>
      <c r="S251" s="14">
        <v>178.50000000000097</v>
      </c>
    </row>
    <row r="252" spans="1:19" x14ac:dyDescent="0.15">
      <c r="A252" s="12" t="s">
        <v>19</v>
      </c>
      <c r="B252" t="s">
        <v>155</v>
      </c>
      <c r="C252">
        <v>31143638</v>
      </c>
      <c r="D252">
        <v>79</v>
      </c>
      <c r="E252" t="s">
        <v>75</v>
      </c>
      <c r="G252">
        <v>4.3360000000000003</v>
      </c>
      <c r="H252">
        <v>4.6040000000000001</v>
      </c>
      <c r="J252" t="s">
        <v>23</v>
      </c>
      <c r="K252">
        <f t="shared" si="6"/>
        <v>4.3360000000000003</v>
      </c>
      <c r="L252">
        <f t="shared" si="7"/>
        <v>4.6040000000000001</v>
      </c>
      <c r="M252" t="s">
        <v>143</v>
      </c>
      <c r="O252" s="7">
        <v>44256</v>
      </c>
      <c r="P252" t="s">
        <v>145</v>
      </c>
      <c r="Q252">
        <v>55312</v>
      </c>
      <c r="R252" t="s">
        <v>160</v>
      </c>
      <c r="S252" s="14">
        <v>6504.12</v>
      </c>
    </row>
    <row r="253" spans="1:19" x14ac:dyDescent="0.15">
      <c r="A253" s="12" t="s">
        <v>19</v>
      </c>
      <c r="B253" t="s">
        <v>155</v>
      </c>
      <c r="C253">
        <v>31143638</v>
      </c>
      <c r="D253">
        <v>79</v>
      </c>
      <c r="E253" t="s">
        <v>75</v>
      </c>
      <c r="G253">
        <v>9.4979999999999993</v>
      </c>
      <c r="H253">
        <v>9.5739999999999998</v>
      </c>
      <c r="J253" t="s">
        <v>23</v>
      </c>
      <c r="K253">
        <f t="shared" si="6"/>
        <v>9.4979999999999993</v>
      </c>
      <c r="L253">
        <f t="shared" si="7"/>
        <v>9.5739999999999998</v>
      </c>
      <c r="M253" t="s">
        <v>156</v>
      </c>
      <c r="O253" s="7">
        <v>44317</v>
      </c>
      <c r="P253" t="s">
        <v>43</v>
      </c>
      <c r="Q253">
        <v>91709</v>
      </c>
      <c r="R253" t="s">
        <v>161</v>
      </c>
      <c r="S253" s="14">
        <v>114.00000000000077</v>
      </c>
    </row>
    <row r="254" spans="1:19" x14ac:dyDescent="0.15">
      <c r="A254" s="12" t="s">
        <v>19</v>
      </c>
      <c r="B254" t="s">
        <v>155</v>
      </c>
      <c r="C254">
        <v>31143638</v>
      </c>
      <c r="D254">
        <v>79</v>
      </c>
      <c r="E254" t="s">
        <v>75</v>
      </c>
      <c r="G254">
        <v>9.5739999999999998</v>
      </c>
      <c r="H254">
        <v>9.6</v>
      </c>
      <c r="J254" t="s">
        <v>23</v>
      </c>
      <c r="K254">
        <f t="shared" si="6"/>
        <v>9.5739999999999998</v>
      </c>
      <c r="L254">
        <f t="shared" si="7"/>
        <v>9.6</v>
      </c>
      <c r="M254" t="s">
        <v>143</v>
      </c>
      <c r="O254" s="7">
        <v>44317</v>
      </c>
      <c r="P254" t="s">
        <v>145</v>
      </c>
      <c r="Q254">
        <v>55312</v>
      </c>
      <c r="R254" t="s">
        <v>160</v>
      </c>
      <c r="S254" s="14">
        <v>1455.2999999999993</v>
      </c>
    </row>
    <row r="255" spans="1:19" x14ac:dyDescent="0.15">
      <c r="A255" s="12" t="s">
        <v>19</v>
      </c>
      <c r="B255" t="s">
        <v>155</v>
      </c>
      <c r="C255">
        <v>31143638</v>
      </c>
      <c r="D255">
        <v>79</v>
      </c>
      <c r="E255" t="s">
        <v>75</v>
      </c>
      <c r="G255">
        <v>10.728999999999999</v>
      </c>
      <c r="H255">
        <v>10.795999999999999</v>
      </c>
      <c r="J255" t="s">
        <v>23</v>
      </c>
      <c r="K255">
        <f t="shared" si="6"/>
        <v>10.728999999999999</v>
      </c>
      <c r="L255">
        <f t="shared" si="7"/>
        <v>10.795999999999999</v>
      </c>
      <c r="M255" t="s">
        <v>156</v>
      </c>
      <c r="O255" s="7">
        <v>44317</v>
      </c>
      <c r="P255" t="s">
        <v>43</v>
      </c>
      <c r="Q255">
        <v>91709</v>
      </c>
      <c r="R255" t="s">
        <v>161</v>
      </c>
      <c r="S255" s="14">
        <v>100.50000000000026</v>
      </c>
    </row>
    <row r="256" spans="1:19" x14ac:dyDescent="0.15">
      <c r="A256" s="12" t="s">
        <v>19</v>
      </c>
      <c r="B256" t="s">
        <v>155</v>
      </c>
      <c r="C256">
        <v>31143638</v>
      </c>
      <c r="D256">
        <v>79</v>
      </c>
      <c r="E256" t="s">
        <v>75</v>
      </c>
      <c r="G256">
        <v>10.795999999999999</v>
      </c>
      <c r="H256">
        <v>11.202</v>
      </c>
      <c r="J256" t="s">
        <v>23</v>
      </c>
      <c r="K256">
        <f t="shared" si="6"/>
        <v>10.795999999999999</v>
      </c>
      <c r="L256">
        <f t="shared" si="7"/>
        <v>11.202</v>
      </c>
      <c r="M256" t="s">
        <v>143</v>
      </c>
      <c r="O256" s="7">
        <v>44317</v>
      </c>
      <c r="P256" t="s">
        <v>145</v>
      </c>
      <c r="Q256">
        <v>55312</v>
      </c>
      <c r="R256" t="s">
        <v>160</v>
      </c>
      <c r="S256" s="14">
        <v>1392.3000000000006</v>
      </c>
    </row>
    <row r="257" spans="1:19" x14ac:dyDescent="0.15">
      <c r="A257" s="12" t="s">
        <v>19</v>
      </c>
      <c r="B257" t="s">
        <v>155</v>
      </c>
      <c r="C257">
        <v>31143638</v>
      </c>
      <c r="D257">
        <v>79</v>
      </c>
      <c r="E257" t="s">
        <v>75</v>
      </c>
      <c r="G257">
        <v>11.901</v>
      </c>
      <c r="H257">
        <v>12.237</v>
      </c>
      <c r="J257" t="s">
        <v>23</v>
      </c>
      <c r="K257">
        <f t="shared" ref="K257:K320" si="8">MIN(G257:H257)</f>
        <v>11.901</v>
      </c>
      <c r="L257">
        <f t="shared" ref="L257:L320" si="9">MAX(G257:H257)</f>
        <v>12.237</v>
      </c>
      <c r="M257" t="s">
        <v>157</v>
      </c>
      <c r="O257" s="7">
        <v>44317</v>
      </c>
      <c r="P257" t="s">
        <v>159</v>
      </c>
      <c r="Q257">
        <v>53007</v>
      </c>
      <c r="R257" t="s">
        <v>160</v>
      </c>
      <c r="S257" s="14">
        <v>211.68000000000018</v>
      </c>
    </row>
    <row r="258" spans="1:19" x14ac:dyDescent="0.15">
      <c r="A258" s="12" t="s">
        <v>19</v>
      </c>
      <c r="B258" t="s">
        <v>155</v>
      </c>
      <c r="C258">
        <v>31143638</v>
      </c>
      <c r="D258">
        <v>79</v>
      </c>
      <c r="E258" t="s">
        <v>75</v>
      </c>
      <c r="G258">
        <v>12.237</v>
      </c>
      <c r="H258">
        <v>12.302</v>
      </c>
      <c r="J258" t="s">
        <v>23</v>
      </c>
      <c r="K258">
        <f t="shared" si="8"/>
        <v>12.237</v>
      </c>
      <c r="L258">
        <f t="shared" si="9"/>
        <v>12.302</v>
      </c>
      <c r="M258" t="s">
        <v>156</v>
      </c>
      <c r="O258" s="7">
        <v>44317</v>
      </c>
      <c r="P258" t="s">
        <v>43</v>
      </c>
      <c r="Q258">
        <v>91709</v>
      </c>
      <c r="R258" t="s">
        <v>161</v>
      </c>
      <c r="S258" s="14">
        <v>97.499999999999261</v>
      </c>
    </row>
    <row r="259" spans="1:19" x14ac:dyDescent="0.15">
      <c r="A259" s="12" t="s">
        <v>19</v>
      </c>
      <c r="B259" t="s">
        <v>155</v>
      </c>
      <c r="C259">
        <v>31143638</v>
      </c>
      <c r="D259">
        <v>79</v>
      </c>
      <c r="E259" t="s">
        <v>75</v>
      </c>
      <c r="G259">
        <v>12.302</v>
      </c>
      <c r="H259">
        <v>12.500999999999999</v>
      </c>
      <c r="J259" t="s">
        <v>23</v>
      </c>
      <c r="K259">
        <f t="shared" si="8"/>
        <v>12.302</v>
      </c>
      <c r="L259">
        <f t="shared" si="9"/>
        <v>12.500999999999999</v>
      </c>
      <c r="M259" t="s">
        <v>157</v>
      </c>
      <c r="O259" s="7">
        <v>44317</v>
      </c>
      <c r="P259" t="s">
        <v>159</v>
      </c>
      <c r="Q259">
        <v>53007</v>
      </c>
      <c r="R259" t="s">
        <v>160</v>
      </c>
      <c r="S259" s="14">
        <v>125.36999999999992</v>
      </c>
    </row>
    <row r="260" spans="1:19" x14ac:dyDescent="0.15">
      <c r="A260" s="12" t="s">
        <v>19</v>
      </c>
      <c r="B260" t="s">
        <v>155</v>
      </c>
      <c r="C260">
        <v>31143638</v>
      </c>
      <c r="D260">
        <v>79</v>
      </c>
      <c r="E260" t="s">
        <v>75</v>
      </c>
      <c r="G260">
        <v>12.500999999999999</v>
      </c>
      <c r="H260">
        <v>13.305999999999999</v>
      </c>
      <c r="J260" t="s">
        <v>23</v>
      </c>
      <c r="K260">
        <f t="shared" si="8"/>
        <v>12.500999999999999</v>
      </c>
      <c r="L260">
        <f t="shared" si="9"/>
        <v>13.305999999999999</v>
      </c>
      <c r="M260" t="s">
        <v>143</v>
      </c>
      <c r="O260" s="7">
        <v>44317</v>
      </c>
      <c r="P260" t="s">
        <v>145</v>
      </c>
      <c r="Q260">
        <v>55312</v>
      </c>
      <c r="R260" t="s">
        <v>160</v>
      </c>
      <c r="S260" s="14">
        <v>1014.3</v>
      </c>
    </row>
    <row r="261" spans="1:19" x14ac:dyDescent="0.15">
      <c r="A261" s="12" t="s">
        <v>19</v>
      </c>
      <c r="B261" t="s">
        <v>155</v>
      </c>
      <c r="C261">
        <v>31143638</v>
      </c>
      <c r="D261">
        <v>79</v>
      </c>
      <c r="E261" t="s">
        <v>75</v>
      </c>
      <c r="G261">
        <v>13.305999999999999</v>
      </c>
      <c r="H261">
        <v>13.374000000000001</v>
      </c>
      <c r="J261" t="s">
        <v>23</v>
      </c>
      <c r="K261">
        <f t="shared" si="8"/>
        <v>13.305999999999999</v>
      </c>
      <c r="L261">
        <f t="shared" si="9"/>
        <v>13.374000000000001</v>
      </c>
      <c r="M261" t="s">
        <v>156</v>
      </c>
      <c r="O261" s="7">
        <v>44317</v>
      </c>
      <c r="P261" t="s">
        <v>43</v>
      </c>
      <c r="Q261">
        <v>91709</v>
      </c>
      <c r="R261" t="s">
        <v>161</v>
      </c>
      <c r="S261" s="14">
        <v>102.00000000000209</v>
      </c>
    </row>
    <row r="262" spans="1:19" x14ac:dyDescent="0.15">
      <c r="A262" s="12" t="s">
        <v>19</v>
      </c>
      <c r="B262" t="s">
        <v>155</v>
      </c>
      <c r="C262">
        <v>31143638</v>
      </c>
      <c r="D262">
        <v>79</v>
      </c>
      <c r="E262" t="s">
        <v>75</v>
      </c>
      <c r="G262">
        <v>13.374000000000001</v>
      </c>
      <c r="H262">
        <v>15.199</v>
      </c>
      <c r="J262" t="s">
        <v>23</v>
      </c>
      <c r="K262">
        <f t="shared" si="8"/>
        <v>13.374000000000001</v>
      </c>
      <c r="L262">
        <f t="shared" si="9"/>
        <v>15.199</v>
      </c>
      <c r="M262" t="s">
        <v>143</v>
      </c>
      <c r="O262" s="7">
        <v>44317</v>
      </c>
      <c r="P262" t="s">
        <v>145</v>
      </c>
      <c r="Q262">
        <v>55312</v>
      </c>
      <c r="R262" t="s">
        <v>160</v>
      </c>
      <c r="S262" s="14">
        <v>2299.4999999999991</v>
      </c>
    </row>
    <row r="263" spans="1:19" x14ac:dyDescent="0.15">
      <c r="A263" s="12" t="s">
        <v>19</v>
      </c>
      <c r="B263" t="s">
        <v>155</v>
      </c>
      <c r="C263">
        <v>31143638</v>
      </c>
      <c r="D263">
        <v>79</v>
      </c>
      <c r="E263" t="s">
        <v>75</v>
      </c>
      <c r="G263">
        <v>15.199</v>
      </c>
      <c r="H263">
        <v>15.441000000000001</v>
      </c>
      <c r="J263" t="s">
        <v>23</v>
      </c>
      <c r="K263">
        <f t="shared" si="8"/>
        <v>15.199</v>
      </c>
      <c r="L263">
        <f t="shared" si="9"/>
        <v>15.441000000000001</v>
      </c>
      <c r="M263" t="s">
        <v>157</v>
      </c>
      <c r="O263" s="7">
        <v>44317</v>
      </c>
      <c r="P263" t="s">
        <v>159</v>
      </c>
      <c r="Q263">
        <v>53007</v>
      </c>
      <c r="R263" t="s">
        <v>160</v>
      </c>
      <c r="S263" s="14">
        <v>152.46000000000055</v>
      </c>
    </row>
    <row r="264" spans="1:19" x14ac:dyDescent="0.15">
      <c r="A264" s="12" t="s">
        <v>19</v>
      </c>
      <c r="B264" t="s">
        <v>155</v>
      </c>
      <c r="C264">
        <v>31143638</v>
      </c>
      <c r="D264">
        <v>79</v>
      </c>
      <c r="E264" t="s">
        <v>75</v>
      </c>
      <c r="G264">
        <v>15.441000000000001</v>
      </c>
      <c r="H264">
        <v>15.449</v>
      </c>
      <c r="J264" t="s">
        <v>23</v>
      </c>
      <c r="K264">
        <f t="shared" si="8"/>
        <v>15.441000000000001</v>
      </c>
      <c r="L264">
        <f t="shared" si="9"/>
        <v>15.449</v>
      </c>
      <c r="M264" t="s">
        <v>143</v>
      </c>
      <c r="O264" s="7">
        <v>44317</v>
      </c>
      <c r="P264" t="s">
        <v>145</v>
      </c>
      <c r="Q264">
        <v>55312</v>
      </c>
      <c r="R264" t="s">
        <v>160</v>
      </c>
      <c r="S264" s="14">
        <v>10.07999999999889</v>
      </c>
    </row>
    <row r="265" spans="1:19" x14ac:dyDescent="0.15">
      <c r="A265" s="12" t="s">
        <v>19</v>
      </c>
      <c r="B265" t="s">
        <v>155</v>
      </c>
      <c r="C265">
        <v>31143638</v>
      </c>
      <c r="D265">
        <v>79</v>
      </c>
      <c r="E265" t="s">
        <v>75</v>
      </c>
      <c r="G265">
        <v>15.449</v>
      </c>
      <c r="H265">
        <v>16.579999999999998</v>
      </c>
      <c r="J265" t="s">
        <v>23</v>
      </c>
      <c r="K265">
        <f t="shared" si="8"/>
        <v>15.449</v>
      </c>
      <c r="L265">
        <f t="shared" si="9"/>
        <v>16.579999999999998</v>
      </c>
      <c r="M265" t="s">
        <v>157</v>
      </c>
      <c r="O265" s="7">
        <v>44317</v>
      </c>
      <c r="P265" t="s">
        <v>159</v>
      </c>
      <c r="Q265">
        <v>53007</v>
      </c>
      <c r="R265" t="s">
        <v>160</v>
      </c>
      <c r="S265" s="14">
        <v>712.52999999999906</v>
      </c>
    </row>
    <row r="266" spans="1:19" x14ac:dyDescent="0.15">
      <c r="A266" s="12" t="s">
        <v>19</v>
      </c>
      <c r="B266" t="s">
        <v>155</v>
      </c>
      <c r="C266">
        <v>31143638</v>
      </c>
      <c r="D266">
        <v>79</v>
      </c>
      <c r="E266" t="s">
        <v>75</v>
      </c>
      <c r="G266">
        <v>16.579999999999998</v>
      </c>
      <c r="H266">
        <v>16.631</v>
      </c>
      <c r="J266" t="s">
        <v>23</v>
      </c>
      <c r="K266">
        <f t="shared" si="8"/>
        <v>16.579999999999998</v>
      </c>
      <c r="L266">
        <f t="shared" si="9"/>
        <v>16.631</v>
      </c>
      <c r="M266" t="s">
        <v>156</v>
      </c>
      <c r="O266" s="7">
        <v>44317</v>
      </c>
      <c r="P266" t="s">
        <v>43</v>
      </c>
      <c r="Q266">
        <v>91709</v>
      </c>
      <c r="R266" t="s">
        <v>161</v>
      </c>
      <c r="S266" s="14">
        <v>76.500000000002899</v>
      </c>
    </row>
    <row r="267" spans="1:19" x14ac:dyDescent="0.15">
      <c r="A267" s="12" t="s">
        <v>19</v>
      </c>
      <c r="B267" t="s">
        <v>155</v>
      </c>
      <c r="C267">
        <v>31143638</v>
      </c>
      <c r="D267">
        <v>79</v>
      </c>
      <c r="E267" t="s">
        <v>76</v>
      </c>
      <c r="F267" t="s">
        <v>88</v>
      </c>
      <c r="G267">
        <v>1.0620000000000001</v>
      </c>
      <c r="H267">
        <v>1.325</v>
      </c>
      <c r="J267" t="s">
        <v>23</v>
      </c>
      <c r="K267">
        <f t="shared" si="8"/>
        <v>1.0620000000000001</v>
      </c>
      <c r="L267">
        <f t="shared" si="9"/>
        <v>1.325</v>
      </c>
      <c r="M267" t="s">
        <v>28</v>
      </c>
      <c r="O267" s="7">
        <v>44256</v>
      </c>
      <c r="P267" t="s">
        <v>43</v>
      </c>
      <c r="Q267">
        <v>44051</v>
      </c>
      <c r="R267" t="s">
        <v>160</v>
      </c>
      <c r="S267" s="14">
        <v>246.56249999999989</v>
      </c>
    </row>
    <row r="268" spans="1:19" x14ac:dyDescent="0.15">
      <c r="A268" s="12" t="s">
        <v>19</v>
      </c>
      <c r="B268" t="s">
        <v>155</v>
      </c>
      <c r="C268">
        <v>31143638</v>
      </c>
      <c r="D268">
        <v>79</v>
      </c>
      <c r="E268" t="s">
        <v>76</v>
      </c>
      <c r="F268" t="s">
        <v>82</v>
      </c>
      <c r="G268">
        <v>3.7989999999999999</v>
      </c>
      <c r="H268">
        <v>4.1509999999999998</v>
      </c>
      <c r="J268" t="s">
        <v>23</v>
      </c>
      <c r="K268">
        <f t="shared" si="8"/>
        <v>3.7989999999999999</v>
      </c>
      <c r="L268">
        <f t="shared" si="9"/>
        <v>4.1509999999999998</v>
      </c>
      <c r="M268" t="s">
        <v>28</v>
      </c>
      <c r="O268" s="7">
        <v>44256</v>
      </c>
      <c r="P268" t="s">
        <v>43</v>
      </c>
      <c r="Q268">
        <v>44051</v>
      </c>
      <c r="R268" t="s">
        <v>160</v>
      </c>
      <c r="S268" s="14">
        <v>329.99999999999989</v>
      </c>
    </row>
    <row r="269" spans="1:19" x14ac:dyDescent="0.15">
      <c r="A269" s="12" t="s">
        <v>19</v>
      </c>
      <c r="B269" t="s">
        <v>155</v>
      </c>
      <c r="C269">
        <v>31143638</v>
      </c>
      <c r="D269">
        <v>79</v>
      </c>
      <c r="E269" t="s">
        <v>76</v>
      </c>
      <c r="F269" t="s">
        <v>88</v>
      </c>
      <c r="G269">
        <v>4.1130000000000004</v>
      </c>
      <c r="H269">
        <v>4.7859999999999996</v>
      </c>
      <c r="J269" t="s">
        <v>23</v>
      </c>
      <c r="K269">
        <f t="shared" si="8"/>
        <v>4.1130000000000004</v>
      </c>
      <c r="L269">
        <f t="shared" si="9"/>
        <v>4.7859999999999996</v>
      </c>
      <c r="M269" t="s">
        <v>28</v>
      </c>
      <c r="O269" s="7">
        <v>44256</v>
      </c>
      <c r="P269" t="s">
        <v>43</v>
      </c>
      <c r="Q269">
        <v>44051</v>
      </c>
      <c r="R269" t="s">
        <v>160</v>
      </c>
      <c r="S269" s="14">
        <v>630.93749999999932</v>
      </c>
    </row>
    <row r="270" spans="1:19" x14ac:dyDescent="0.15">
      <c r="A270" s="12" t="s">
        <v>19</v>
      </c>
      <c r="B270" t="s">
        <v>155</v>
      </c>
      <c r="C270">
        <v>31143638</v>
      </c>
      <c r="D270">
        <v>79</v>
      </c>
      <c r="E270" t="s">
        <v>76</v>
      </c>
      <c r="F270" t="s">
        <v>82</v>
      </c>
      <c r="G270">
        <v>6.07</v>
      </c>
      <c r="H270">
        <v>6.734</v>
      </c>
      <c r="J270" t="s">
        <v>23</v>
      </c>
      <c r="K270">
        <f t="shared" si="8"/>
        <v>6.07</v>
      </c>
      <c r="L270">
        <f t="shared" si="9"/>
        <v>6.734</v>
      </c>
      <c r="M270" t="s">
        <v>28</v>
      </c>
      <c r="O270" s="7">
        <v>44256</v>
      </c>
      <c r="P270" t="s">
        <v>43</v>
      </c>
      <c r="Q270">
        <v>44051</v>
      </c>
      <c r="R270" t="s">
        <v>160</v>
      </c>
      <c r="S270" s="14">
        <v>622.49999999999966</v>
      </c>
    </row>
    <row r="271" spans="1:19" x14ac:dyDescent="0.15">
      <c r="A271" s="12" t="s">
        <v>19</v>
      </c>
      <c r="B271" t="s">
        <v>155</v>
      </c>
      <c r="C271">
        <v>31143638</v>
      </c>
      <c r="D271">
        <v>79</v>
      </c>
      <c r="E271" t="s">
        <v>76</v>
      </c>
      <c r="F271" t="s">
        <v>88</v>
      </c>
      <c r="G271">
        <v>6.8559999999999999</v>
      </c>
      <c r="H271">
        <v>7.1050000000000004</v>
      </c>
      <c r="J271" t="s">
        <v>23</v>
      </c>
      <c r="K271">
        <f t="shared" si="8"/>
        <v>6.8559999999999999</v>
      </c>
      <c r="L271">
        <f t="shared" si="9"/>
        <v>7.1050000000000004</v>
      </c>
      <c r="M271" t="s">
        <v>28</v>
      </c>
      <c r="O271" s="7">
        <v>44256</v>
      </c>
      <c r="P271" t="s">
        <v>43</v>
      </c>
      <c r="Q271">
        <v>44051</v>
      </c>
      <c r="R271" t="s">
        <v>160</v>
      </c>
      <c r="S271" s="14">
        <v>85.312500000000199</v>
      </c>
    </row>
    <row r="272" spans="1:19" x14ac:dyDescent="0.15">
      <c r="A272" s="12" t="s">
        <v>19</v>
      </c>
      <c r="B272" t="s">
        <v>155</v>
      </c>
      <c r="C272">
        <v>31143638</v>
      </c>
      <c r="D272">
        <v>79</v>
      </c>
      <c r="E272" t="s">
        <v>76</v>
      </c>
      <c r="F272" t="s">
        <v>82</v>
      </c>
      <c r="G272">
        <v>9.1890000000000001</v>
      </c>
      <c r="H272">
        <v>9.5139999999999993</v>
      </c>
      <c r="J272" t="s">
        <v>23</v>
      </c>
      <c r="K272">
        <f t="shared" si="8"/>
        <v>9.1890000000000001</v>
      </c>
      <c r="L272">
        <f t="shared" si="9"/>
        <v>9.5139999999999993</v>
      </c>
      <c r="M272" t="s">
        <v>28</v>
      </c>
      <c r="O272" s="7">
        <v>44256</v>
      </c>
      <c r="P272" t="s">
        <v>43</v>
      </c>
      <c r="Q272">
        <v>44051</v>
      </c>
      <c r="R272" t="s">
        <v>160</v>
      </c>
      <c r="S272" s="14">
        <v>304.68749999999943</v>
      </c>
    </row>
    <row r="273" spans="1:19" x14ac:dyDescent="0.15">
      <c r="A273" s="12" t="s">
        <v>19</v>
      </c>
      <c r="B273" t="s">
        <v>155</v>
      </c>
      <c r="C273">
        <v>31143638</v>
      </c>
      <c r="D273">
        <v>79</v>
      </c>
      <c r="E273" t="s">
        <v>76</v>
      </c>
      <c r="F273" t="s">
        <v>88</v>
      </c>
      <c r="G273">
        <v>9.56</v>
      </c>
      <c r="H273">
        <v>9.891</v>
      </c>
      <c r="J273" t="s">
        <v>23</v>
      </c>
      <c r="K273">
        <f t="shared" si="8"/>
        <v>9.56</v>
      </c>
      <c r="L273">
        <f t="shared" si="9"/>
        <v>9.891</v>
      </c>
      <c r="M273" t="s">
        <v>28</v>
      </c>
      <c r="O273" s="7">
        <v>44317</v>
      </c>
      <c r="P273" t="s">
        <v>43</v>
      </c>
      <c r="Q273">
        <v>44051</v>
      </c>
      <c r="R273" t="s">
        <v>160</v>
      </c>
      <c r="S273" s="14">
        <v>310.3124999999996</v>
      </c>
    </row>
    <row r="274" spans="1:19" x14ac:dyDescent="0.15">
      <c r="A274" s="12" t="s">
        <v>19</v>
      </c>
      <c r="B274" t="s">
        <v>155</v>
      </c>
      <c r="C274">
        <v>31143638</v>
      </c>
      <c r="D274">
        <v>79</v>
      </c>
      <c r="E274" t="s">
        <v>76</v>
      </c>
      <c r="F274" t="s">
        <v>82</v>
      </c>
      <c r="G274">
        <v>10.487</v>
      </c>
      <c r="H274">
        <v>10.786</v>
      </c>
      <c r="J274" t="s">
        <v>23</v>
      </c>
      <c r="K274">
        <f t="shared" si="8"/>
        <v>10.487</v>
      </c>
      <c r="L274">
        <f t="shared" si="9"/>
        <v>10.786</v>
      </c>
      <c r="M274" t="s">
        <v>28</v>
      </c>
      <c r="O274" s="7">
        <v>44317</v>
      </c>
      <c r="P274" t="s">
        <v>43</v>
      </c>
      <c r="Q274">
        <v>44051</v>
      </c>
      <c r="R274" t="s">
        <v>160</v>
      </c>
      <c r="S274" s="14">
        <v>280.31249999999955</v>
      </c>
    </row>
    <row r="275" spans="1:19" x14ac:dyDescent="0.15">
      <c r="A275" s="12" t="s">
        <v>19</v>
      </c>
      <c r="B275" t="s">
        <v>155</v>
      </c>
      <c r="C275">
        <v>31143638</v>
      </c>
      <c r="D275">
        <v>79</v>
      </c>
      <c r="E275" t="s">
        <v>76</v>
      </c>
      <c r="F275" t="s">
        <v>88</v>
      </c>
      <c r="G275">
        <v>13.332000000000001</v>
      </c>
      <c r="H275">
        <v>13.475</v>
      </c>
      <c r="J275" t="s">
        <v>23</v>
      </c>
      <c r="K275">
        <f t="shared" si="8"/>
        <v>13.332000000000001</v>
      </c>
      <c r="L275">
        <f t="shared" si="9"/>
        <v>13.475</v>
      </c>
      <c r="M275" t="s">
        <v>28</v>
      </c>
      <c r="O275" s="7">
        <v>44317</v>
      </c>
      <c r="P275" t="s">
        <v>43</v>
      </c>
      <c r="Q275">
        <v>44051</v>
      </c>
      <c r="R275" t="s">
        <v>160</v>
      </c>
      <c r="S275" s="14">
        <v>25.312499999999293</v>
      </c>
    </row>
    <row r="276" spans="1:19" x14ac:dyDescent="0.15">
      <c r="A276" s="12" t="s">
        <v>19</v>
      </c>
      <c r="B276" t="s">
        <v>155</v>
      </c>
      <c r="C276">
        <v>31143638</v>
      </c>
      <c r="D276">
        <v>79</v>
      </c>
      <c r="E276" t="s">
        <v>76</v>
      </c>
      <c r="F276" t="s">
        <v>82</v>
      </c>
      <c r="G276">
        <v>14.002000000000001</v>
      </c>
      <c r="H276">
        <v>14.166</v>
      </c>
      <c r="J276" t="s">
        <v>23</v>
      </c>
      <c r="K276">
        <f t="shared" si="8"/>
        <v>14.002000000000001</v>
      </c>
      <c r="L276">
        <f t="shared" si="9"/>
        <v>14.166</v>
      </c>
      <c r="M276" t="s">
        <v>28</v>
      </c>
      <c r="O276" s="7">
        <v>44317</v>
      </c>
      <c r="P276" t="s">
        <v>43</v>
      </c>
      <c r="Q276">
        <v>44051</v>
      </c>
      <c r="R276" t="s">
        <v>160</v>
      </c>
      <c r="S276" s="14">
        <v>122.81249999999856</v>
      </c>
    </row>
    <row r="277" spans="1:19" x14ac:dyDescent="0.15">
      <c r="A277" s="12" t="s">
        <v>19</v>
      </c>
      <c r="B277" t="s">
        <v>155</v>
      </c>
      <c r="C277">
        <v>31143638</v>
      </c>
      <c r="D277">
        <v>79</v>
      </c>
      <c r="E277" t="s">
        <v>74</v>
      </c>
      <c r="G277">
        <v>0.92900000000000005</v>
      </c>
      <c r="H277">
        <v>1.151</v>
      </c>
      <c r="J277" t="s">
        <v>23</v>
      </c>
      <c r="K277">
        <f t="shared" si="8"/>
        <v>0.92900000000000005</v>
      </c>
      <c r="L277">
        <f t="shared" si="9"/>
        <v>1.151</v>
      </c>
      <c r="M277" t="s">
        <v>143</v>
      </c>
      <c r="O277" s="7">
        <v>44348</v>
      </c>
      <c r="P277" t="s">
        <v>145</v>
      </c>
      <c r="Q277">
        <v>55312</v>
      </c>
      <c r="R277" t="s">
        <v>160</v>
      </c>
      <c r="S277" s="14">
        <v>3350.3400000000006</v>
      </c>
    </row>
    <row r="278" spans="1:19" x14ac:dyDescent="0.15">
      <c r="A278" s="12" t="s">
        <v>19</v>
      </c>
      <c r="B278" t="s">
        <v>155</v>
      </c>
      <c r="C278">
        <v>31143638</v>
      </c>
      <c r="D278">
        <v>79</v>
      </c>
      <c r="E278" t="s">
        <v>74</v>
      </c>
      <c r="G278">
        <v>3.5880000000000001</v>
      </c>
      <c r="H278">
        <v>3.6339999999999999</v>
      </c>
      <c r="J278" t="s">
        <v>23</v>
      </c>
      <c r="K278">
        <f t="shared" si="8"/>
        <v>3.5880000000000001</v>
      </c>
      <c r="L278">
        <f t="shared" si="9"/>
        <v>3.6339999999999999</v>
      </c>
      <c r="M278" t="s">
        <v>156</v>
      </c>
      <c r="O278" s="7">
        <v>44348</v>
      </c>
      <c r="P278" t="s">
        <v>43</v>
      </c>
      <c r="Q278">
        <v>91709</v>
      </c>
      <c r="R278" t="s">
        <v>161</v>
      </c>
      <c r="S278" s="14">
        <v>68.999999999999716</v>
      </c>
    </row>
    <row r="279" spans="1:19" x14ac:dyDescent="0.15">
      <c r="A279" s="12" t="s">
        <v>19</v>
      </c>
      <c r="B279" t="s">
        <v>155</v>
      </c>
      <c r="C279">
        <v>31143638</v>
      </c>
      <c r="D279">
        <v>79</v>
      </c>
      <c r="E279" t="s">
        <v>74</v>
      </c>
      <c r="G279">
        <v>3.6339999999999999</v>
      </c>
      <c r="H279">
        <v>3.9129999999999998</v>
      </c>
      <c r="J279" t="s">
        <v>23</v>
      </c>
      <c r="K279">
        <f t="shared" si="8"/>
        <v>3.6339999999999999</v>
      </c>
      <c r="L279">
        <f t="shared" si="9"/>
        <v>3.9129999999999998</v>
      </c>
      <c r="M279" t="s">
        <v>143</v>
      </c>
      <c r="O279" s="7">
        <v>44348</v>
      </c>
      <c r="P279" t="s">
        <v>145</v>
      </c>
      <c r="Q279">
        <v>55312</v>
      </c>
      <c r="R279" t="s">
        <v>160</v>
      </c>
      <c r="S279" s="14">
        <v>690.48000000000059</v>
      </c>
    </row>
    <row r="280" spans="1:19" x14ac:dyDescent="0.15">
      <c r="A280" s="12" t="s">
        <v>19</v>
      </c>
      <c r="B280" t="s">
        <v>155</v>
      </c>
      <c r="C280">
        <v>31143638</v>
      </c>
      <c r="D280">
        <v>79</v>
      </c>
      <c r="E280" t="s">
        <v>74</v>
      </c>
      <c r="G280">
        <v>4.1820000000000004</v>
      </c>
      <c r="H280">
        <v>4.3010000000000002</v>
      </c>
      <c r="J280" t="s">
        <v>23</v>
      </c>
      <c r="K280">
        <f t="shared" si="8"/>
        <v>4.1820000000000004</v>
      </c>
      <c r="L280">
        <f t="shared" si="9"/>
        <v>4.3010000000000002</v>
      </c>
      <c r="M280" t="s">
        <v>156</v>
      </c>
      <c r="O280" s="7">
        <v>44348</v>
      </c>
      <c r="P280" t="s">
        <v>43</v>
      </c>
      <c r="Q280">
        <v>91709</v>
      </c>
      <c r="R280" t="s">
        <v>161</v>
      </c>
      <c r="S280" s="14">
        <v>178.49999999999966</v>
      </c>
    </row>
    <row r="281" spans="1:19" x14ac:dyDescent="0.15">
      <c r="A281" s="12" t="s">
        <v>19</v>
      </c>
      <c r="B281" t="s">
        <v>155</v>
      </c>
      <c r="C281">
        <v>31143638</v>
      </c>
      <c r="D281">
        <v>79</v>
      </c>
      <c r="E281" t="s">
        <v>74</v>
      </c>
      <c r="G281">
        <v>4.3010000000000002</v>
      </c>
      <c r="H281">
        <v>5.6520000000000001</v>
      </c>
      <c r="J281" t="s">
        <v>23</v>
      </c>
      <c r="K281">
        <f t="shared" si="8"/>
        <v>4.3010000000000002</v>
      </c>
      <c r="L281">
        <f t="shared" si="9"/>
        <v>5.6520000000000001</v>
      </c>
      <c r="M281" t="s">
        <v>143</v>
      </c>
      <c r="O281" s="7">
        <v>44348</v>
      </c>
      <c r="P281" t="s">
        <v>145</v>
      </c>
      <c r="Q281">
        <v>55312</v>
      </c>
      <c r="R281" t="s">
        <v>160</v>
      </c>
      <c r="S281" s="14">
        <v>6548.2199999999993</v>
      </c>
    </row>
    <row r="282" spans="1:19" x14ac:dyDescent="0.15">
      <c r="A282" s="12" t="s">
        <v>19</v>
      </c>
      <c r="B282" t="s">
        <v>155</v>
      </c>
      <c r="C282">
        <v>31143638</v>
      </c>
      <c r="D282">
        <v>79</v>
      </c>
      <c r="E282" t="s">
        <v>74</v>
      </c>
      <c r="G282">
        <v>9.4979999999999993</v>
      </c>
      <c r="H282">
        <v>9.5749999999999993</v>
      </c>
      <c r="J282" t="s">
        <v>23</v>
      </c>
      <c r="K282">
        <f t="shared" si="8"/>
        <v>9.4979999999999993</v>
      </c>
      <c r="L282">
        <f t="shared" si="9"/>
        <v>9.5749999999999993</v>
      </c>
      <c r="M282" t="s">
        <v>156</v>
      </c>
      <c r="O282" s="7">
        <v>44378</v>
      </c>
      <c r="P282" t="s">
        <v>43</v>
      </c>
      <c r="Q282">
        <v>91709</v>
      </c>
      <c r="R282" t="s">
        <v>161</v>
      </c>
      <c r="S282" s="14">
        <v>115.49999999999994</v>
      </c>
    </row>
    <row r="283" spans="1:19" x14ac:dyDescent="0.15">
      <c r="A283" s="12" t="s">
        <v>19</v>
      </c>
      <c r="B283" t="s">
        <v>155</v>
      </c>
      <c r="C283">
        <v>31143638</v>
      </c>
      <c r="D283">
        <v>79</v>
      </c>
      <c r="E283" t="s">
        <v>74</v>
      </c>
      <c r="G283">
        <v>9.4979999999999993</v>
      </c>
      <c r="H283">
        <v>9.5749999999999993</v>
      </c>
      <c r="J283" t="s">
        <v>23</v>
      </c>
      <c r="K283">
        <f t="shared" si="8"/>
        <v>9.4979999999999993</v>
      </c>
      <c r="L283">
        <f t="shared" si="9"/>
        <v>9.5749999999999993</v>
      </c>
      <c r="M283" t="s">
        <v>158</v>
      </c>
      <c r="O283" s="7">
        <v>44378</v>
      </c>
      <c r="P283" t="s">
        <v>43</v>
      </c>
      <c r="Q283">
        <v>92909</v>
      </c>
      <c r="R283" t="s">
        <v>161</v>
      </c>
      <c r="S283" s="14">
        <v>115.49999999999994</v>
      </c>
    </row>
    <row r="284" spans="1:19" x14ac:dyDescent="0.15">
      <c r="A284" s="12" t="s">
        <v>19</v>
      </c>
      <c r="B284" t="s">
        <v>155</v>
      </c>
      <c r="C284">
        <v>31143638</v>
      </c>
      <c r="D284">
        <v>79</v>
      </c>
      <c r="E284" t="s">
        <v>74</v>
      </c>
      <c r="G284">
        <v>9.5749999999999993</v>
      </c>
      <c r="H284">
        <v>10.717000000000001</v>
      </c>
      <c r="J284" t="s">
        <v>23</v>
      </c>
      <c r="K284">
        <f t="shared" si="8"/>
        <v>9.5749999999999993</v>
      </c>
      <c r="L284">
        <f t="shared" si="9"/>
        <v>10.717000000000001</v>
      </c>
      <c r="M284" t="s">
        <v>143</v>
      </c>
      <c r="O284" s="7">
        <v>44378</v>
      </c>
      <c r="P284" t="s">
        <v>145</v>
      </c>
      <c r="Q284">
        <v>55312</v>
      </c>
      <c r="R284" t="s">
        <v>160</v>
      </c>
      <c r="S284" s="14">
        <v>1438.9200000000014</v>
      </c>
    </row>
    <row r="285" spans="1:19" x14ac:dyDescent="0.15">
      <c r="A285" s="12" t="s">
        <v>19</v>
      </c>
      <c r="B285" t="s">
        <v>155</v>
      </c>
      <c r="C285">
        <v>31143638</v>
      </c>
      <c r="D285">
        <v>79</v>
      </c>
      <c r="E285" t="s">
        <v>74</v>
      </c>
      <c r="G285">
        <v>10.717000000000001</v>
      </c>
      <c r="H285">
        <v>10.784000000000001</v>
      </c>
      <c r="J285" t="s">
        <v>23</v>
      </c>
      <c r="K285">
        <f t="shared" si="8"/>
        <v>10.717000000000001</v>
      </c>
      <c r="L285">
        <f t="shared" si="9"/>
        <v>10.784000000000001</v>
      </c>
      <c r="M285" t="s">
        <v>156</v>
      </c>
      <c r="O285" s="7">
        <v>44378</v>
      </c>
      <c r="P285" t="s">
        <v>43</v>
      </c>
      <c r="Q285">
        <v>91709</v>
      </c>
      <c r="R285" t="s">
        <v>161</v>
      </c>
      <c r="S285" s="14">
        <v>100.50000000000026</v>
      </c>
    </row>
    <row r="286" spans="1:19" x14ac:dyDescent="0.15">
      <c r="A286" s="12" t="s">
        <v>19</v>
      </c>
      <c r="B286" t="s">
        <v>155</v>
      </c>
      <c r="C286">
        <v>31143638</v>
      </c>
      <c r="D286">
        <v>79</v>
      </c>
      <c r="E286" t="s">
        <v>74</v>
      </c>
      <c r="G286">
        <v>10.784000000000001</v>
      </c>
      <c r="H286">
        <v>11.901</v>
      </c>
      <c r="J286" t="s">
        <v>23</v>
      </c>
      <c r="K286">
        <f t="shared" si="8"/>
        <v>10.784000000000001</v>
      </c>
      <c r="L286">
        <f t="shared" si="9"/>
        <v>11.901</v>
      </c>
      <c r="M286" t="s">
        <v>143</v>
      </c>
      <c r="O286" s="7">
        <v>44378</v>
      </c>
      <c r="P286" t="s">
        <v>145</v>
      </c>
      <c r="Q286">
        <v>55312</v>
      </c>
      <c r="R286" t="s">
        <v>160</v>
      </c>
      <c r="S286" s="14">
        <v>1407.4199999999989</v>
      </c>
    </row>
    <row r="287" spans="1:19" x14ac:dyDescent="0.15">
      <c r="A287" s="12" t="s">
        <v>19</v>
      </c>
      <c r="B287" t="s">
        <v>155</v>
      </c>
      <c r="C287">
        <v>31143638</v>
      </c>
      <c r="D287">
        <v>79</v>
      </c>
      <c r="E287" t="s">
        <v>74</v>
      </c>
      <c r="G287">
        <v>11.901</v>
      </c>
      <c r="H287">
        <v>12.247</v>
      </c>
      <c r="J287" t="s">
        <v>23</v>
      </c>
      <c r="K287">
        <f t="shared" si="8"/>
        <v>11.901</v>
      </c>
      <c r="L287">
        <f t="shared" si="9"/>
        <v>12.247</v>
      </c>
      <c r="M287" t="s">
        <v>157</v>
      </c>
      <c r="O287" s="7">
        <v>44378</v>
      </c>
      <c r="P287" t="s">
        <v>159</v>
      </c>
      <c r="Q287">
        <v>53007</v>
      </c>
      <c r="R287" t="s">
        <v>160</v>
      </c>
      <c r="S287" s="14">
        <v>217.98000000000013</v>
      </c>
    </row>
    <row r="288" spans="1:19" x14ac:dyDescent="0.15">
      <c r="A288" s="12" t="s">
        <v>19</v>
      </c>
      <c r="B288" t="s">
        <v>155</v>
      </c>
      <c r="C288">
        <v>31143638</v>
      </c>
      <c r="D288">
        <v>79</v>
      </c>
      <c r="E288" t="s">
        <v>74</v>
      </c>
      <c r="G288">
        <v>12.247</v>
      </c>
      <c r="H288">
        <v>12.314</v>
      </c>
      <c r="J288" t="s">
        <v>23</v>
      </c>
      <c r="K288">
        <f t="shared" si="8"/>
        <v>12.247</v>
      </c>
      <c r="L288">
        <f t="shared" si="9"/>
        <v>12.314</v>
      </c>
      <c r="M288" t="s">
        <v>156</v>
      </c>
      <c r="O288" s="7">
        <v>44378</v>
      </c>
      <c r="P288" t="s">
        <v>43</v>
      </c>
      <c r="Q288">
        <v>91709</v>
      </c>
      <c r="R288" t="s">
        <v>161</v>
      </c>
      <c r="S288" s="14">
        <v>100.50000000000026</v>
      </c>
    </row>
    <row r="289" spans="1:19" x14ac:dyDescent="0.15">
      <c r="A289" s="12" t="s">
        <v>19</v>
      </c>
      <c r="B289" t="s">
        <v>155</v>
      </c>
      <c r="C289">
        <v>31143638</v>
      </c>
      <c r="D289">
        <v>79</v>
      </c>
      <c r="E289" t="s">
        <v>74</v>
      </c>
      <c r="G289">
        <v>12.314</v>
      </c>
      <c r="H289">
        <v>13.319000000000001</v>
      </c>
      <c r="J289" t="s">
        <v>23</v>
      </c>
      <c r="K289">
        <f t="shared" si="8"/>
        <v>12.314</v>
      </c>
      <c r="L289">
        <f t="shared" si="9"/>
        <v>13.319000000000001</v>
      </c>
      <c r="M289" t="s">
        <v>157</v>
      </c>
      <c r="O289" s="7">
        <v>44378</v>
      </c>
      <c r="P289" t="s">
        <v>159</v>
      </c>
      <c r="Q289">
        <v>53007</v>
      </c>
      <c r="R289" t="s">
        <v>160</v>
      </c>
      <c r="S289" s="14">
        <v>633.15000000000055</v>
      </c>
    </row>
    <row r="290" spans="1:19" x14ac:dyDescent="0.15">
      <c r="A290" s="12" t="s">
        <v>19</v>
      </c>
      <c r="B290" t="s">
        <v>155</v>
      </c>
      <c r="C290">
        <v>31143638</v>
      </c>
      <c r="D290">
        <v>79</v>
      </c>
      <c r="E290" t="s">
        <v>74</v>
      </c>
      <c r="G290">
        <v>13.319000000000001</v>
      </c>
      <c r="H290">
        <v>13.385</v>
      </c>
      <c r="J290" t="s">
        <v>23</v>
      </c>
      <c r="K290">
        <f t="shared" si="8"/>
        <v>13.319000000000001</v>
      </c>
      <c r="L290">
        <f t="shared" si="9"/>
        <v>13.385</v>
      </c>
      <c r="M290" t="s">
        <v>156</v>
      </c>
      <c r="O290" s="7">
        <v>44378</v>
      </c>
      <c r="P290" t="s">
        <v>43</v>
      </c>
      <c r="Q290">
        <v>91709</v>
      </c>
      <c r="R290" t="s">
        <v>161</v>
      </c>
      <c r="S290" s="14">
        <v>98.999999999998423</v>
      </c>
    </row>
    <row r="291" spans="1:19" x14ac:dyDescent="0.15">
      <c r="A291" s="12" t="s">
        <v>19</v>
      </c>
      <c r="B291" t="s">
        <v>155</v>
      </c>
      <c r="C291">
        <v>31143638</v>
      </c>
      <c r="D291">
        <v>79</v>
      </c>
      <c r="E291" t="s">
        <v>74</v>
      </c>
      <c r="G291">
        <v>13.385</v>
      </c>
      <c r="H291">
        <v>13.55</v>
      </c>
      <c r="J291" t="s">
        <v>23</v>
      </c>
      <c r="K291">
        <f t="shared" si="8"/>
        <v>13.385</v>
      </c>
      <c r="L291">
        <f t="shared" si="9"/>
        <v>13.55</v>
      </c>
      <c r="M291" t="s">
        <v>143</v>
      </c>
      <c r="O291" s="7">
        <v>44378</v>
      </c>
      <c r="P291" t="s">
        <v>145</v>
      </c>
      <c r="Q291">
        <v>55312</v>
      </c>
      <c r="R291" t="s">
        <v>160</v>
      </c>
      <c r="S291" s="14">
        <v>774.90000000000032</v>
      </c>
    </row>
    <row r="292" spans="1:19" x14ac:dyDescent="0.15">
      <c r="A292" s="12" t="s">
        <v>19</v>
      </c>
      <c r="B292" t="s">
        <v>155</v>
      </c>
      <c r="C292">
        <v>31143638</v>
      </c>
      <c r="D292">
        <v>79</v>
      </c>
      <c r="E292" t="s">
        <v>74</v>
      </c>
      <c r="G292">
        <v>14</v>
      </c>
      <c r="H292">
        <v>14.4</v>
      </c>
      <c r="J292" t="s">
        <v>23</v>
      </c>
      <c r="K292">
        <f t="shared" si="8"/>
        <v>14</v>
      </c>
      <c r="L292">
        <f t="shared" si="9"/>
        <v>14.4</v>
      </c>
      <c r="M292" t="s">
        <v>157</v>
      </c>
      <c r="O292" s="7">
        <v>44378</v>
      </c>
      <c r="P292" t="s">
        <v>159</v>
      </c>
      <c r="Q292">
        <v>53007</v>
      </c>
      <c r="R292" t="s">
        <v>160</v>
      </c>
      <c r="S292" s="14">
        <v>252.00000000000026</v>
      </c>
    </row>
    <row r="293" spans="1:19" x14ac:dyDescent="0.15">
      <c r="A293" s="12" t="s">
        <v>19</v>
      </c>
      <c r="B293" t="s">
        <v>155</v>
      </c>
      <c r="C293">
        <v>31143638</v>
      </c>
      <c r="D293">
        <v>79</v>
      </c>
      <c r="E293" t="s">
        <v>74</v>
      </c>
      <c r="G293">
        <v>14.4</v>
      </c>
      <c r="H293">
        <v>14.622999999999999</v>
      </c>
      <c r="J293" t="s">
        <v>23</v>
      </c>
      <c r="K293">
        <f t="shared" si="8"/>
        <v>14.4</v>
      </c>
      <c r="L293">
        <f t="shared" si="9"/>
        <v>14.622999999999999</v>
      </c>
      <c r="M293" t="s">
        <v>143</v>
      </c>
      <c r="O293" s="7">
        <v>44378</v>
      </c>
      <c r="P293" t="s">
        <v>145</v>
      </c>
      <c r="Q293">
        <v>55312</v>
      </c>
      <c r="R293" t="s">
        <v>160</v>
      </c>
      <c r="S293" s="14">
        <v>755.99999999999966</v>
      </c>
    </row>
    <row r="294" spans="1:19" x14ac:dyDescent="0.15">
      <c r="A294" s="12" t="s">
        <v>19</v>
      </c>
      <c r="B294" t="s">
        <v>155</v>
      </c>
      <c r="C294">
        <v>31143638</v>
      </c>
      <c r="D294">
        <v>79</v>
      </c>
      <c r="E294" t="s">
        <v>74</v>
      </c>
      <c r="G294">
        <v>15</v>
      </c>
      <c r="H294">
        <v>15.411</v>
      </c>
      <c r="J294" t="s">
        <v>23</v>
      </c>
      <c r="K294">
        <f t="shared" si="8"/>
        <v>15</v>
      </c>
      <c r="L294">
        <f t="shared" si="9"/>
        <v>15.411</v>
      </c>
      <c r="M294" t="s">
        <v>157</v>
      </c>
      <c r="O294" s="7">
        <v>44378</v>
      </c>
      <c r="P294" t="s">
        <v>159</v>
      </c>
      <c r="Q294">
        <v>53007</v>
      </c>
      <c r="R294" t="s">
        <v>160</v>
      </c>
      <c r="S294" s="14">
        <v>258.92999999999978</v>
      </c>
    </row>
    <row r="295" spans="1:19" x14ac:dyDescent="0.15">
      <c r="A295" s="12" t="s">
        <v>19</v>
      </c>
      <c r="B295" t="s">
        <v>155</v>
      </c>
      <c r="C295">
        <v>31143638</v>
      </c>
      <c r="D295">
        <v>79</v>
      </c>
      <c r="E295" t="s">
        <v>74</v>
      </c>
      <c r="G295">
        <v>15.441000000000001</v>
      </c>
      <c r="H295">
        <v>15.45</v>
      </c>
      <c r="J295" t="s">
        <v>23</v>
      </c>
      <c r="K295">
        <f t="shared" si="8"/>
        <v>15.441000000000001</v>
      </c>
      <c r="L295">
        <f t="shared" si="9"/>
        <v>15.45</v>
      </c>
      <c r="M295" t="s">
        <v>143</v>
      </c>
      <c r="O295" s="7">
        <v>44378</v>
      </c>
      <c r="P295" t="s">
        <v>145</v>
      </c>
      <c r="Q295">
        <v>55312</v>
      </c>
      <c r="R295" t="s">
        <v>160</v>
      </c>
      <c r="S295" s="14">
        <v>11.339999999998192</v>
      </c>
    </row>
    <row r="296" spans="1:19" x14ac:dyDescent="0.15">
      <c r="A296" s="12" t="s">
        <v>19</v>
      </c>
      <c r="B296" t="s">
        <v>155</v>
      </c>
      <c r="C296">
        <v>31143638</v>
      </c>
      <c r="D296">
        <v>79</v>
      </c>
      <c r="E296" t="s">
        <v>74</v>
      </c>
      <c r="G296">
        <v>15.45</v>
      </c>
      <c r="H296">
        <v>15.478</v>
      </c>
      <c r="J296" t="s">
        <v>23</v>
      </c>
      <c r="K296">
        <f t="shared" si="8"/>
        <v>15.45</v>
      </c>
      <c r="L296">
        <f t="shared" si="9"/>
        <v>15.478</v>
      </c>
      <c r="M296" t="s">
        <v>157</v>
      </c>
      <c r="O296" s="7">
        <v>44378</v>
      </c>
      <c r="P296" t="s">
        <v>159</v>
      </c>
      <c r="Q296">
        <v>53007</v>
      </c>
      <c r="R296" t="s">
        <v>160</v>
      </c>
      <c r="S296" s="14">
        <v>711.89999999999952</v>
      </c>
    </row>
    <row r="297" spans="1:19" x14ac:dyDescent="0.15">
      <c r="A297" s="12" t="s">
        <v>19</v>
      </c>
      <c r="B297" t="s">
        <v>155</v>
      </c>
      <c r="C297">
        <v>31143638</v>
      </c>
      <c r="D297">
        <v>79</v>
      </c>
      <c r="E297" t="s">
        <v>74</v>
      </c>
      <c r="G297">
        <v>16.579999999999998</v>
      </c>
      <c r="H297">
        <v>16.631</v>
      </c>
      <c r="J297" t="s">
        <v>23</v>
      </c>
      <c r="K297">
        <f t="shared" si="8"/>
        <v>16.579999999999998</v>
      </c>
      <c r="L297">
        <f t="shared" si="9"/>
        <v>16.631</v>
      </c>
      <c r="M297" t="s">
        <v>156</v>
      </c>
      <c r="O297" s="7">
        <v>44378</v>
      </c>
      <c r="P297" t="s">
        <v>43</v>
      </c>
      <c r="Q297">
        <v>91709</v>
      </c>
      <c r="R297" t="s">
        <v>161</v>
      </c>
      <c r="S297" s="14">
        <v>76.500000000002899</v>
      </c>
    </row>
    <row r="298" spans="1:19" x14ac:dyDescent="0.15">
      <c r="A298" s="12" t="s">
        <v>19</v>
      </c>
      <c r="B298" t="s">
        <v>155</v>
      </c>
      <c r="C298">
        <v>31143638</v>
      </c>
      <c r="D298">
        <v>79</v>
      </c>
      <c r="E298" t="s">
        <v>76</v>
      </c>
      <c r="F298" t="s">
        <v>80</v>
      </c>
      <c r="G298">
        <v>1.0620000000000001</v>
      </c>
      <c r="H298">
        <v>1.2769999999999999</v>
      </c>
      <c r="J298" t="s">
        <v>23</v>
      </c>
      <c r="K298">
        <f t="shared" si="8"/>
        <v>1.0620000000000001</v>
      </c>
      <c r="L298">
        <f t="shared" si="9"/>
        <v>1.2769999999999999</v>
      </c>
      <c r="M298" t="s">
        <v>28</v>
      </c>
      <c r="O298" s="7">
        <v>44348</v>
      </c>
      <c r="P298" t="s">
        <v>43</v>
      </c>
      <c r="Q298">
        <v>44051</v>
      </c>
      <c r="R298" t="s">
        <v>160</v>
      </c>
      <c r="S298" s="14">
        <v>201.56249999999986</v>
      </c>
    </row>
    <row r="299" spans="1:19" x14ac:dyDescent="0.15">
      <c r="A299" s="12" t="s">
        <v>19</v>
      </c>
      <c r="B299" t="s">
        <v>155</v>
      </c>
      <c r="C299">
        <v>31143638</v>
      </c>
      <c r="D299">
        <v>79</v>
      </c>
      <c r="E299" t="s">
        <v>76</v>
      </c>
      <c r="F299" t="s">
        <v>77</v>
      </c>
      <c r="G299">
        <v>3.7469999999999999</v>
      </c>
      <c r="H299">
        <v>3.8519999999999999</v>
      </c>
      <c r="J299" t="s">
        <v>23</v>
      </c>
      <c r="K299">
        <f t="shared" si="8"/>
        <v>3.7469999999999999</v>
      </c>
      <c r="L299">
        <f t="shared" si="9"/>
        <v>3.8519999999999999</v>
      </c>
      <c r="M299" t="s">
        <v>28</v>
      </c>
      <c r="O299" s="7">
        <v>44348</v>
      </c>
      <c r="P299" t="s">
        <v>43</v>
      </c>
      <c r="Q299">
        <v>44051</v>
      </c>
      <c r="R299" t="s">
        <v>160</v>
      </c>
      <c r="S299" s="14">
        <v>21.562499999999709</v>
      </c>
    </row>
    <row r="300" spans="1:19" x14ac:dyDescent="0.15">
      <c r="A300" s="12" t="s">
        <v>19</v>
      </c>
      <c r="B300" t="s">
        <v>155</v>
      </c>
      <c r="C300">
        <v>31143638</v>
      </c>
      <c r="D300">
        <v>79</v>
      </c>
      <c r="E300" t="s">
        <v>76</v>
      </c>
      <c r="F300" t="s">
        <v>80</v>
      </c>
      <c r="G300">
        <v>4.173</v>
      </c>
      <c r="H300">
        <v>4.71</v>
      </c>
      <c r="J300" t="s">
        <v>23</v>
      </c>
      <c r="K300">
        <f t="shared" si="8"/>
        <v>4.173</v>
      </c>
      <c r="L300">
        <f t="shared" si="9"/>
        <v>4.71</v>
      </c>
      <c r="M300" t="s">
        <v>28</v>
      </c>
      <c r="O300" s="7">
        <v>44348</v>
      </c>
      <c r="P300" t="s">
        <v>43</v>
      </c>
      <c r="Q300">
        <v>44051</v>
      </c>
      <c r="R300" t="s">
        <v>160</v>
      </c>
      <c r="S300" s="14">
        <v>503.43749999999989</v>
      </c>
    </row>
    <row r="301" spans="1:19" x14ac:dyDescent="0.15">
      <c r="A301" s="12" t="s">
        <v>19</v>
      </c>
      <c r="B301" t="s">
        <v>155</v>
      </c>
      <c r="C301">
        <v>31143638</v>
      </c>
      <c r="D301">
        <v>79</v>
      </c>
      <c r="E301" t="s">
        <v>76</v>
      </c>
      <c r="F301" t="s">
        <v>77</v>
      </c>
      <c r="G301">
        <v>6.0830000000000002</v>
      </c>
      <c r="H301">
        <v>6.7030000000000003</v>
      </c>
      <c r="J301" t="s">
        <v>23</v>
      </c>
      <c r="K301">
        <f t="shared" si="8"/>
        <v>6.0830000000000002</v>
      </c>
      <c r="L301">
        <f t="shared" si="9"/>
        <v>6.7030000000000003</v>
      </c>
      <c r="M301" t="s">
        <v>28</v>
      </c>
      <c r="O301" s="7">
        <v>44348</v>
      </c>
      <c r="P301" t="s">
        <v>43</v>
      </c>
      <c r="Q301">
        <v>44051</v>
      </c>
      <c r="R301" t="s">
        <v>160</v>
      </c>
      <c r="S301" s="14">
        <v>581.25000000000011</v>
      </c>
    </row>
    <row r="302" spans="1:19" x14ac:dyDescent="0.15">
      <c r="A302" s="12" t="s">
        <v>19</v>
      </c>
      <c r="B302" t="s">
        <v>155</v>
      </c>
      <c r="C302">
        <v>31143638</v>
      </c>
      <c r="D302">
        <v>79</v>
      </c>
      <c r="E302" t="s">
        <v>76</v>
      </c>
      <c r="F302" t="s">
        <v>80</v>
      </c>
      <c r="G302">
        <v>6.8449999999999998</v>
      </c>
      <c r="H302">
        <v>7.2629999999999999</v>
      </c>
      <c r="J302" t="s">
        <v>23</v>
      </c>
      <c r="K302">
        <f t="shared" si="8"/>
        <v>6.8449999999999998</v>
      </c>
      <c r="L302">
        <f t="shared" si="9"/>
        <v>7.2629999999999999</v>
      </c>
      <c r="M302" t="s">
        <v>28</v>
      </c>
      <c r="O302" s="7">
        <v>44348</v>
      </c>
      <c r="P302" t="s">
        <v>43</v>
      </c>
      <c r="Q302">
        <v>44051</v>
      </c>
      <c r="R302" t="s">
        <v>160</v>
      </c>
      <c r="S302" s="14">
        <v>391.87500000000017</v>
      </c>
    </row>
    <row r="303" spans="1:19" x14ac:dyDescent="0.15">
      <c r="A303" s="12" t="s">
        <v>19</v>
      </c>
      <c r="B303" t="s">
        <v>155</v>
      </c>
      <c r="C303">
        <v>31143638</v>
      </c>
      <c r="D303">
        <v>79</v>
      </c>
      <c r="E303" t="s">
        <v>76</v>
      </c>
      <c r="F303" t="s">
        <v>77</v>
      </c>
      <c r="G303">
        <v>9.1530000000000005</v>
      </c>
      <c r="H303">
        <v>9.6120000000000001</v>
      </c>
      <c r="J303" t="s">
        <v>23</v>
      </c>
      <c r="K303">
        <f t="shared" si="8"/>
        <v>9.1530000000000005</v>
      </c>
      <c r="L303">
        <f t="shared" si="9"/>
        <v>9.6120000000000001</v>
      </c>
      <c r="M303" t="s">
        <v>28</v>
      </c>
      <c r="O303" s="7">
        <v>44348</v>
      </c>
      <c r="P303" t="s">
        <v>43</v>
      </c>
      <c r="Q303">
        <v>44051</v>
      </c>
      <c r="R303" t="s">
        <v>160</v>
      </c>
      <c r="S303" s="14">
        <v>336.5625</v>
      </c>
    </row>
    <row r="304" spans="1:19" x14ac:dyDescent="0.15">
      <c r="A304" s="12" t="s">
        <v>19</v>
      </c>
      <c r="B304" t="s">
        <v>155</v>
      </c>
      <c r="C304">
        <v>31143638</v>
      </c>
      <c r="D304">
        <v>79</v>
      </c>
      <c r="E304" t="s">
        <v>76</v>
      </c>
      <c r="F304" t="s">
        <v>80</v>
      </c>
      <c r="G304">
        <v>9.1890000000000001</v>
      </c>
      <c r="H304">
        <v>9.5960000000000001</v>
      </c>
      <c r="J304" t="s">
        <v>23</v>
      </c>
      <c r="K304">
        <f t="shared" si="8"/>
        <v>9.1890000000000001</v>
      </c>
      <c r="L304">
        <f t="shared" si="9"/>
        <v>9.5960000000000001</v>
      </c>
      <c r="M304" t="s">
        <v>28</v>
      </c>
      <c r="O304" s="7">
        <v>44378</v>
      </c>
      <c r="P304" t="s">
        <v>43</v>
      </c>
      <c r="Q304">
        <v>44051</v>
      </c>
      <c r="R304" t="s">
        <v>160</v>
      </c>
      <c r="S304" s="14">
        <v>19.687500000000746</v>
      </c>
    </row>
    <row r="305" spans="1:21" x14ac:dyDescent="0.15">
      <c r="A305" s="12" t="s">
        <v>19</v>
      </c>
      <c r="B305" t="s">
        <v>155</v>
      </c>
      <c r="C305">
        <v>31143638</v>
      </c>
      <c r="D305">
        <v>79</v>
      </c>
      <c r="E305" t="s">
        <v>76</v>
      </c>
      <c r="F305" t="s">
        <v>77</v>
      </c>
      <c r="G305">
        <v>10.481</v>
      </c>
      <c r="H305">
        <v>10.69</v>
      </c>
      <c r="J305" t="s">
        <v>23</v>
      </c>
      <c r="K305">
        <f t="shared" si="8"/>
        <v>10.481</v>
      </c>
      <c r="L305">
        <f t="shared" si="9"/>
        <v>10.69</v>
      </c>
      <c r="M305" t="s">
        <v>28</v>
      </c>
      <c r="O305" s="7">
        <v>44378</v>
      </c>
      <c r="P305" t="s">
        <v>43</v>
      </c>
      <c r="Q305">
        <v>44051</v>
      </c>
      <c r="R305" t="s">
        <v>160</v>
      </c>
      <c r="S305" s="14">
        <v>47.812500000000149</v>
      </c>
    </row>
    <row r="306" spans="1:21" x14ac:dyDescent="0.15">
      <c r="A306" s="12" t="s">
        <v>19</v>
      </c>
      <c r="B306" t="s">
        <v>155</v>
      </c>
      <c r="C306">
        <v>31143638</v>
      </c>
      <c r="D306">
        <v>79</v>
      </c>
      <c r="E306" t="s">
        <v>76</v>
      </c>
      <c r="F306" t="s">
        <v>80</v>
      </c>
      <c r="G306">
        <v>13.369</v>
      </c>
      <c r="H306">
        <v>13.506</v>
      </c>
      <c r="J306" t="s">
        <v>23</v>
      </c>
      <c r="K306">
        <f t="shared" si="8"/>
        <v>13.369</v>
      </c>
      <c r="L306">
        <f t="shared" si="9"/>
        <v>13.506</v>
      </c>
      <c r="M306" t="s">
        <v>28</v>
      </c>
      <c r="O306" s="7">
        <v>44378</v>
      </c>
      <c r="P306" t="s">
        <v>43</v>
      </c>
      <c r="Q306">
        <v>44051</v>
      </c>
      <c r="R306" t="s">
        <v>160</v>
      </c>
      <c r="S306" s="14">
        <v>114.37499999999989</v>
      </c>
    </row>
    <row r="307" spans="1:21" x14ac:dyDescent="0.15">
      <c r="A307" s="12" t="s">
        <v>19</v>
      </c>
      <c r="B307" t="s">
        <v>155</v>
      </c>
      <c r="C307">
        <v>31143638</v>
      </c>
      <c r="D307">
        <v>79</v>
      </c>
      <c r="E307" t="s">
        <v>76</v>
      </c>
      <c r="F307" t="s">
        <v>77</v>
      </c>
      <c r="G307">
        <v>14.202999999999999</v>
      </c>
      <c r="H307">
        <v>14.452999999999999</v>
      </c>
      <c r="J307" t="s">
        <v>23</v>
      </c>
      <c r="K307">
        <f t="shared" si="8"/>
        <v>14.202999999999999</v>
      </c>
      <c r="L307">
        <f t="shared" si="9"/>
        <v>14.452999999999999</v>
      </c>
      <c r="M307" t="s">
        <v>28</v>
      </c>
      <c r="O307" s="7">
        <v>44378</v>
      </c>
      <c r="P307" t="s">
        <v>43</v>
      </c>
      <c r="Q307">
        <v>44051</v>
      </c>
      <c r="R307" t="s">
        <v>160</v>
      </c>
      <c r="S307" s="14">
        <v>93.749999999999673</v>
      </c>
    </row>
    <row r="308" spans="1:21" x14ac:dyDescent="0.15">
      <c r="A308" t="s">
        <v>162</v>
      </c>
      <c r="B308" t="s">
        <v>173</v>
      </c>
      <c r="C308" t="s">
        <v>163</v>
      </c>
      <c r="D308" s="9">
        <v>30</v>
      </c>
      <c r="E308" t="s">
        <v>74</v>
      </c>
      <c r="G308">
        <v>24.625</v>
      </c>
      <c r="H308">
        <v>24.49</v>
      </c>
      <c r="I308" t="s">
        <v>176</v>
      </c>
      <c r="K308">
        <f t="shared" si="8"/>
        <v>24.49</v>
      </c>
      <c r="L308">
        <f t="shared" si="9"/>
        <v>24.625</v>
      </c>
      <c r="M308" t="s">
        <v>100</v>
      </c>
      <c r="O308" s="7">
        <v>44434</v>
      </c>
      <c r="P308" t="s">
        <v>145</v>
      </c>
      <c r="Q308">
        <v>43611</v>
      </c>
      <c r="R308" t="s">
        <v>196</v>
      </c>
      <c r="S308">
        <v>34</v>
      </c>
      <c r="T308">
        <v>175</v>
      </c>
    </row>
    <row r="309" spans="1:21" x14ac:dyDescent="0.15">
      <c r="A309" t="s">
        <v>162</v>
      </c>
      <c r="B309" t="s">
        <v>173</v>
      </c>
      <c r="C309" t="s">
        <v>163</v>
      </c>
      <c r="D309">
        <v>835</v>
      </c>
      <c r="E309" t="s">
        <v>164</v>
      </c>
      <c r="G309">
        <v>16.7</v>
      </c>
      <c r="H309">
        <v>16.8</v>
      </c>
      <c r="I309" t="s">
        <v>96</v>
      </c>
      <c r="K309">
        <f t="shared" si="8"/>
        <v>16.7</v>
      </c>
      <c r="L309">
        <f t="shared" si="9"/>
        <v>16.8</v>
      </c>
      <c r="M309" t="s">
        <v>100</v>
      </c>
      <c r="O309" s="7">
        <v>44487</v>
      </c>
      <c r="P309" t="s">
        <v>145</v>
      </c>
      <c r="Q309">
        <v>43611</v>
      </c>
      <c r="R309" t="s">
        <v>196</v>
      </c>
      <c r="S309">
        <v>40</v>
      </c>
      <c r="T309">
        <v>175</v>
      </c>
    </row>
    <row r="310" spans="1:21" x14ac:dyDescent="0.15">
      <c r="A310" t="s">
        <v>162</v>
      </c>
      <c r="B310" t="s">
        <v>173</v>
      </c>
      <c r="C310" t="s">
        <v>165</v>
      </c>
      <c r="D310">
        <v>835</v>
      </c>
      <c r="E310" t="s">
        <v>164</v>
      </c>
      <c r="G310">
        <v>16.899999999999999</v>
      </c>
      <c r="H310">
        <v>17</v>
      </c>
      <c r="I310" t="s">
        <v>91</v>
      </c>
      <c r="K310">
        <f t="shared" si="8"/>
        <v>16.899999999999999</v>
      </c>
      <c r="L310">
        <f t="shared" si="9"/>
        <v>17</v>
      </c>
      <c r="M310" t="s">
        <v>100</v>
      </c>
      <c r="O310" s="7">
        <v>44487</v>
      </c>
      <c r="P310" t="s">
        <v>145</v>
      </c>
      <c r="Q310">
        <v>43611</v>
      </c>
      <c r="R310" t="s">
        <v>196</v>
      </c>
      <c r="S310">
        <v>40</v>
      </c>
      <c r="T310">
        <v>175</v>
      </c>
    </row>
    <row r="311" spans="1:21" x14ac:dyDescent="0.15">
      <c r="A311" t="s">
        <v>162</v>
      </c>
      <c r="B311" t="s">
        <v>173</v>
      </c>
      <c r="C311" t="s">
        <v>165</v>
      </c>
      <c r="D311">
        <v>835</v>
      </c>
      <c r="E311" t="s">
        <v>164</v>
      </c>
      <c r="G311">
        <v>16.899999999999999</v>
      </c>
      <c r="H311">
        <v>17</v>
      </c>
      <c r="I311" t="s">
        <v>96</v>
      </c>
      <c r="K311">
        <f t="shared" si="8"/>
        <v>16.899999999999999</v>
      </c>
      <c r="L311">
        <f t="shared" si="9"/>
        <v>17</v>
      </c>
      <c r="M311" t="s">
        <v>100</v>
      </c>
      <c r="O311" s="7">
        <v>44487</v>
      </c>
      <c r="P311" t="s">
        <v>145</v>
      </c>
      <c r="Q311">
        <v>43611</v>
      </c>
      <c r="R311" t="s">
        <v>196</v>
      </c>
      <c r="S311">
        <v>40</v>
      </c>
      <c r="T311">
        <v>175</v>
      </c>
    </row>
    <row r="312" spans="1:21" x14ac:dyDescent="0.15">
      <c r="A312" t="s">
        <v>162</v>
      </c>
      <c r="B312" t="s">
        <v>173</v>
      </c>
      <c r="C312" t="s">
        <v>165</v>
      </c>
      <c r="D312">
        <v>835</v>
      </c>
      <c r="E312" t="s">
        <v>164</v>
      </c>
      <c r="G312">
        <v>17</v>
      </c>
      <c r="H312">
        <v>17.100000000000001</v>
      </c>
      <c r="I312" t="s">
        <v>91</v>
      </c>
      <c r="K312">
        <f t="shared" si="8"/>
        <v>17</v>
      </c>
      <c r="L312">
        <f t="shared" si="9"/>
        <v>17.100000000000001</v>
      </c>
      <c r="M312" t="s">
        <v>100</v>
      </c>
      <c r="O312" s="7">
        <v>44487</v>
      </c>
      <c r="P312" t="s">
        <v>145</v>
      </c>
      <c r="Q312">
        <v>43611</v>
      </c>
      <c r="R312" t="s">
        <v>196</v>
      </c>
      <c r="S312">
        <v>40</v>
      </c>
      <c r="T312">
        <v>175</v>
      </c>
    </row>
    <row r="313" spans="1:21" x14ac:dyDescent="0.15">
      <c r="A313" t="s">
        <v>162</v>
      </c>
      <c r="B313" t="s">
        <v>173</v>
      </c>
      <c r="C313" t="s">
        <v>165</v>
      </c>
      <c r="D313">
        <v>835</v>
      </c>
      <c r="E313" t="s">
        <v>164</v>
      </c>
      <c r="G313">
        <v>17</v>
      </c>
      <c r="H313">
        <v>17.100000000000001</v>
      </c>
      <c r="I313" t="s">
        <v>96</v>
      </c>
      <c r="K313">
        <f t="shared" si="8"/>
        <v>17</v>
      </c>
      <c r="L313">
        <f t="shared" si="9"/>
        <v>17.100000000000001</v>
      </c>
      <c r="M313" t="s">
        <v>100</v>
      </c>
      <c r="O313" s="7">
        <v>44487</v>
      </c>
      <c r="P313" t="s">
        <v>145</v>
      </c>
      <c r="Q313">
        <v>43611</v>
      </c>
      <c r="R313" t="s">
        <v>196</v>
      </c>
      <c r="S313">
        <v>40</v>
      </c>
      <c r="T313">
        <v>175</v>
      </c>
    </row>
    <row r="314" spans="1:21" x14ac:dyDescent="0.15">
      <c r="A314" t="s">
        <v>162</v>
      </c>
      <c r="B314" t="s">
        <v>173</v>
      </c>
      <c r="C314" t="s">
        <v>165</v>
      </c>
      <c r="D314">
        <v>835</v>
      </c>
      <c r="E314" t="s">
        <v>164</v>
      </c>
      <c r="G314">
        <v>17.2</v>
      </c>
      <c r="H314">
        <v>17.3</v>
      </c>
      <c r="I314" t="s">
        <v>91</v>
      </c>
      <c r="K314">
        <f t="shared" si="8"/>
        <v>17.2</v>
      </c>
      <c r="L314">
        <f t="shared" si="9"/>
        <v>17.3</v>
      </c>
      <c r="M314" t="s">
        <v>100</v>
      </c>
      <c r="O314" s="7">
        <v>44487</v>
      </c>
      <c r="P314" t="s">
        <v>145</v>
      </c>
      <c r="Q314">
        <v>43611</v>
      </c>
      <c r="R314" t="s">
        <v>196</v>
      </c>
      <c r="S314">
        <v>40</v>
      </c>
      <c r="T314">
        <v>175</v>
      </c>
    </row>
    <row r="315" spans="1:21" x14ac:dyDescent="0.15">
      <c r="A315" t="s">
        <v>162</v>
      </c>
      <c r="B315" t="s">
        <v>173</v>
      </c>
      <c r="C315" t="s">
        <v>165</v>
      </c>
      <c r="D315">
        <v>835</v>
      </c>
      <c r="E315" t="s">
        <v>164</v>
      </c>
      <c r="G315">
        <v>17.3</v>
      </c>
      <c r="H315">
        <v>17.399999999999999</v>
      </c>
      <c r="I315" t="s">
        <v>91</v>
      </c>
      <c r="K315">
        <f t="shared" si="8"/>
        <v>17.3</v>
      </c>
      <c r="L315">
        <f t="shared" si="9"/>
        <v>17.399999999999999</v>
      </c>
      <c r="M315" t="s">
        <v>100</v>
      </c>
      <c r="O315" s="7">
        <v>44487</v>
      </c>
      <c r="P315" t="s">
        <v>145</v>
      </c>
      <c r="Q315">
        <v>43611</v>
      </c>
      <c r="R315" t="s">
        <v>196</v>
      </c>
      <c r="S315">
        <v>40</v>
      </c>
      <c r="T315">
        <v>175</v>
      </c>
    </row>
    <row r="316" spans="1:21" x14ac:dyDescent="0.15">
      <c r="A316" t="s">
        <v>162</v>
      </c>
      <c r="B316" t="s">
        <v>173</v>
      </c>
      <c r="C316" t="s">
        <v>163</v>
      </c>
      <c r="D316">
        <v>835</v>
      </c>
      <c r="E316" t="s">
        <v>164</v>
      </c>
      <c r="G316" t="s">
        <v>174</v>
      </c>
      <c r="I316" t="s">
        <v>177</v>
      </c>
      <c r="K316">
        <f t="shared" si="8"/>
        <v>0</v>
      </c>
      <c r="L316">
        <f t="shared" si="9"/>
        <v>0</v>
      </c>
      <c r="M316" t="s">
        <v>100</v>
      </c>
      <c r="O316" s="7">
        <v>44487</v>
      </c>
      <c r="P316" t="s">
        <v>145</v>
      </c>
      <c r="Q316">
        <v>43611</v>
      </c>
      <c r="R316" t="s">
        <v>196</v>
      </c>
      <c r="S316">
        <v>31</v>
      </c>
      <c r="T316">
        <v>175</v>
      </c>
    </row>
    <row r="317" spans="1:21" x14ac:dyDescent="0.15">
      <c r="A317" t="s">
        <v>162</v>
      </c>
      <c r="B317" t="s">
        <v>173</v>
      </c>
      <c r="C317" t="s">
        <v>163</v>
      </c>
      <c r="D317">
        <v>835</v>
      </c>
      <c r="E317" t="s">
        <v>164</v>
      </c>
      <c r="G317" t="s">
        <v>175</v>
      </c>
      <c r="I317" t="s">
        <v>177</v>
      </c>
      <c r="K317">
        <f t="shared" si="8"/>
        <v>0</v>
      </c>
      <c r="L317">
        <f t="shared" si="9"/>
        <v>0</v>
      </c>
      <c r="M317" t="s">
        <v>100</v>
      </c>
      <c r="N317" t="s">
        <v>193</v>
      </c>
      <c r="O317" s="7">
        <v>44488</v>
      </c>
      <c r="P317" t="s">
        <v>145</v>
      </c>
      <c r="Q317" t="s">
        <v>197</v>
      </c>
      <c r="R317" t="s">
        <v>196</v>
      </c>
      <c r="S317" t="s">
        <v>198</v>
      </c>
      <c r="T317">
        <v>175</v>
      </c>
      <c r="U317" t="s">
        <v>199</v>
      </c>
    </row>
    <row r="318" spans="1:21" x14ac:dyDescent="0.15">
      <c r="A318" t="s">
        <v>162</v>
      </c>
      <c r="B318" t="s">
        <v>173</v>
      </c>
      <c r="C318" t="s">
        <v>163</v>
      </c>
      <c r="D318">
        <v>835</v>
      </c>
      <c r="E318" t="s">
        <v>164</v>
      </c>
      <c r="G318">
        <v>19.285</v>
      </c>
      <c r="H318">
        <v>19.28</v>
      </c>
      <c r="I318" t="s">
        <v>178</v>
      </c>
      <c r="K318">
        <f t="shared" si="8"/>
        <v>19.28</v>
      </c>
      <c r="L318">
        <f t="shared" si="9"/>
        <v>19.285</v>
      </c>
      <c r="M318" t="s">
        <v>100</v>
      </c>
      <c r="O318" s="7">
        <v>44488</v>
      </c>
      <c r="P318" t="s">
        <v>145</v>
      </c>
      <c r="Q318">
        <v>43611</v>
      </c>
      <c r="R318" t="s">
        <v>196</v>
      </c>
      <c r="S318">
        <v>2</v>
      </c>
      <c r="T318">
        <v>175</v>
      </c>
    </row>
    <row r="319" spans="1:21" x14ac:dyDescent="0.15">
      <c r="A319" t="s">
        <v>162</v>
      </c>
      <c r="B319" t="s">
        <v>173</v>
      </c>
      <c r="C319" t="s">
        <v>163</v>
      </c>
      <c r="D319">
        <v>835</v>
      </c>
      <c r="E319" t="s">
        <v>164</v>
      </c>
      <c r="G319">
        <v>25.3</v>
      </c>
      <c r="H319">
        <v>25.4</v>
      </c>
      <c r="I319" t="s">
        <v>96</v>
      </c>
      <c r="K319">
        <f t="shared" si="8"/>
        <v>25.3</v>
      </c>
      <c r="L319">
        <f t="shared" si="9"/>
        <v>25.4</v>
      </c>
      <c r="M319" t="s">
        <v>100</v>
      </c>
      <c r="O319" s="7">
        <v>44489</v>
      </c>
      <c r="P319" t="s">
        <v>145</v>
      </c>
      <c r="Q319">
        <v>43611</v>
      </c>
      <c r="R319" t="s">
        <v>196</v>
      </c>
      <c r="S319">
        <v>40</v>
      </c>
      <c r="T319">
        <v>175</v>
      </c>
    </row>
    <row r="320" spans="1:21" x14ac:dyDescent="0.15">
      <c r="A320" t="s">
        <v>162</v>
      </c>
      <c r="B320" t="s">
        <v>173</v>
      </c>
      <c r="C320" t="s">
        <v>165</v>
      </c>
      <c r="D320">
        <v>835</v>
      </c>
      <c r="E320" t="s">
        <v>164</v>
      </c>
      <c r="G320">
        <v>25.475000000000001</v>
      </c>
      <c r="H320">
        <v>25.6</v>
      </c>
      <c r="I320" t="s">
        <v>91</v>
      </c>
      <c r="K320">
        <f t="shared" si="8"/>
        <v>25.475000000000001</v>
      </c>
      <c r="L320">
        <f t="shared" si="9"/>
        <v>25.6</v>
      </c>
      <c r="M320" t="s">
        <v>100</v>
      </c>
      <c r="O320" s="7">
        <v>44489</v>
      </c>
      <c r="P320" t="s">
        <v>145</v>
      </c>
      <c r="Q320">
        <v>43611</v>
      </c>
      <c r="R320" t="s">
        <v>196</v>
      </c>
      <c r="S320">
        <v>50</v>
      </c>
      <c r="T320">
        <v>175</v>
      </c>
    </row>
    <row r="321" spans="1:21" x14ac:dyDescent="0.15">
      <c r="A321" t="s">
        <v>162</v>
      </c>
      <c r="B321" t="s">
        <v>173</v>
      </c>
      <c r="C321" t="s">
        <v>165</v>
      </c>
      <c r="D321">
        <v>835</v>
      </c>
      <c r="E321" t="s">
        <v>164</v>
      </c>
      <c r="G321">
        <v>25.6</v>
      </c>
      <c r="H321">
        <v>25.7</v>
      </c>
      <c r="I321" t="s">
        <v>91</v>
      </c>
      <c r="K321">
        <f t="shared" ref="K321:K384" si="10">MIN(G321:H321)</f>
        <v>25.6</v>
      </c>
      <c r="L321">
        <f t="shared" ref="L321:L384" si="11">MAX(G321:H321)</f>
        <v>25.7</v>
      </c>
      <c r="M321" t="s">
        <v>100</v>
      </c>
      <c r="O321" s="7">
        <v>44489</v>
      </c>
      <c r="P321" t="s">
        <v>145</v>
      </c>
      <c r="Q321">
        <v>43611</v>
      </c>
      <c r="R321" t="s">
        <v>196</v>
      </c>
      <c r="S321">
        <v>40</v>
      </c>
      <c r="T321">
        <v>175</v>
      </c>
    </row>
    <row r="322" spans="1:21" x14ac:dyDescent="0.15">
      <c r="A322" t="s">
        <v>162</v>
      </c>
      <c r="B322" t="s">
        <v>173</v>
      </c>
      <c r="C322" t="s">
        <v>163</v>
      </c>
      <c r="D322">
        <v>835</v>
      </c>
      <c r="E322" t="s">
        <v>164</v>
      </c>
      <c r="G322" t="s">
        <v>175</v>
      </c>
      <c r="I322" t="s">
        <v>179</v>
      </c>
      <c r="K322">
        <f t="shared" si="10"/>
        <v>0</v>
      </c>
      <c r="L322">
        <f t="shared" si="11"/>
        <v>0</v>
      </c>
      <c r="M322" t="s">
        <v>28</v>
      </c>
      <c r="N322" t="s">
        <v>193</v>
      </c>
      <c r="O322" s="7">
        <v>44518</v>
      </c>
      <c r="P322" t="s">
        <v>194</v>
      </c>
      <c r="Q322" t="s">
        <v>200</v>
      </c>
      <c r="R322" t="s">
        <v>196</v>
      </c>
      <c r="S322" t="s">
        <v>201</v>
      </c>
      <c r="T322">
        <v>175</v>
      </c>
      <c r="U322" t="s">
        <v>199</v>
      </c>
    </row>
    <row r="323" spans="1:21" x14ac:dyDescent="0.15">
      <c r="A323" t="s">
        <v>162</v>
      </c>
      <c r="B323" t="s">
        <v>173</v>
      </c>
      <c r="C323" t="s">
        <v>163</v>
      </c>
      <c r="D323" s="9">
        <v>1</v>
      </c>
      <c r="E323" t="s">
        <v>74</v>
      </c>
      <c r="G323">
        <v>84.54</v>
      </c>
      <c r="H323">
        <v>84.444999999999993</v>
      </c>
      <c r="I323" t="s">
        <v>92</v>
      </c>
      <c r="K323">
        <f t="shared" si="10"/>
        <v>84.444999999999993</v>
      </c>
      <c r="L323">
        <f t="shared" si="11"/>
        <v>84.54</v>
      </c>
      <c r="M323" t="s">
        <v>100</v>
      </c>
      <c r="O323" s="7">
        <v>44490</v>
      </c>
      <c r="P323" t="s">
        <v>145</v>
      </c>
      <c r="Q323">
        <v>43611</v>
      </c>
      <c r="R323" t="s">
        <v>196</v>
      </c>
      <c r="S323">
        <v>50</v>
      </c>
      <c r="T323">
        <v>175</v>
      </c>
    </row>
    <row r="324" spans="1:21" x14ac:dyDescent="0.15">
      <c r="A324" t="s">
        <v>162</v>
      </c>
      <c r="B324" t="s">
        <v>173</v>
      </c>
      <c r="C324" t="s">
        <v>163</v>
      </c>
      <c r="D324" s="9">
        <v>1</v>
      </c>
      <c r="E324" t="s">
        <v>75</v>
      </c>
      <c r="G324">
        <v>62.984999999999999</v>
      </c>
      <c r="H324">
        <v>63.09</v>
      </c>
      <c r="I324" t="s">
        <v>96</v>
      </c>
      <c r="K324">
        <f t="shared" si="10"/>
        <v>62.984999999999999</v>
      </c>
      <c r="L324">
        <f t="shared" si="11"/>
        <v>63.09</v>
      </c>
      <c r="M324" t="s">
        <v>143</v>
      </c>
      <c r="O324" s="7">
        <v>44490</v>
      </c>
      <c r="P324" t="s">
        <v>145</v>
      </c>
      <c r="Q324">
        <v>70611</v>
      </c>
      <c r="R324" t="s">
        <v>196</v>
      </c>
      <c r="S324">
        <v>60</v>
      </c>
      <c r="T324">
        <v>175</v>
      </c>
    </row>
    <row r="325" spans="1:21" x14ac:dyDescent="0.15">
      <c r="A325" t="s">
        <v>162</v>
      </c>
      <c r="B325" t="s">
        <v>173</v>
      </c>
      <c r="C325" t="s">
        <v>163</v>
      </c>
      <c r="D325" s="9">
        <v>50</v>
      </c>
      <c r="E325" t="s">
        <v>74</v>
      </c>
      <c r="G325">
        <v>233.85</v>
      </c>
      <c r="H325">
        <v>233.8</v>
      </c>
      <c r="I325" t="s">
        <v>180</v>
      </c>
      <c r="K325">
        <f t="shared" si="10"/>
        <v>233.8</v>
      </c>
      <c r="L325">
        <f t="shared" si="11"/>
        <v>233.85</v>
      </c>
      <c r="M325" t="s">
        <v>143</v>
      </c>
      <c r="O325" s="7">
        <v>44494</v>
      </c>
      <c r="P325" t="s">
        <v>145</v>
      </c>
      <c r="Q325">
        <v>70611</v>
      </c>
      <c r="R325" t="s">
        <v>196</v>
      </c>
      <c r="S325">
        <v>24</v>
      </c>
      <c r="T325">
        <v>175</v>
      </c>
    </row>
    <row r="326" spans="1:21" x14ac:dyDescent="0.15">
      <c r="A326" t="s">
        <v>162</v>
      </c>
      <c r="B326" t="s">
        <v>173</v>
      </c>
      <c r="C326" t="s">
        <v>163</v>
      </c>
      <c r="D326" s="9">
        <v>50</v>
      </c>
      <c r="E326" t="s">
        <v>74</v>
      </c>
      <c r="G326">
        <v>233.1</v>
      </c>
      <c r="H326">
        <v>233.2</v>
      </c>
      <c r="I326" t="s">
        <v>91</v>
      </c>
      <c r="K326">
        <f t="shared" si="10"/>
        <v>233.1</v>
      </c>
      <c r="L326">
        <f t="shared" si="11"/>
        <v>233.2</v>
      </c>
      <c r="M326" t="s">
        <v>143</v>
      </c>
      <c r="O326" s="7">
        <v>44494</v>
      </c>
      <c r="P326" t="s">
        <v>145</v>
      </c>
      <c r="Q326">
        <v>70611</v>
      </c>
      <c r="R326" t="s">
        <v>196</v>
      </c>
      <c r="S326">
        <v>60</v>
      </c>
      <c r="T326">
        <v>175</v>
      </c>
    </row>
    <row r="327" spans="1:21" x14ac:dyDescent="0.15">
      <c r="A327" t="s">
        <v>162</v>
      </c>
      <c r="B327" t="s">
        <v>173</v>
      </c>
      <c r="C327" t="s">
        <v>163</v>
      </c>
      <c r="D327" s="9">
        <v>50</v>
      </c>
      <c r="E327" t="s">
        <v>74</v>
      </c>
      <c r="G327">
        <v>232.55</v>
      </c>
      <c r="H327">
        <v>232.5</v>
      </c>
      <c r="I327" t="s">
        <v>180</v>
      </c>
      <c r="K327">
        <f t="shared" si="10"/>
        <v>232.5</v>
      </c>
      <c r="L327">
        <f t="shared" si="11"/>
        <v>232.55</v>
      </c>
      <c r="M327" t="s">
        <v>143</v>
      </c>
      <c r="O327" s="7">
        <v>44494</v>
      </c>
      <c r="P327" t="s">
        <v>145</v>
      </c>
      <c r="Q327">
        <v>70611</v>
      </c>
      <c r="R327" t="s">
        <v>196</v>
      </c>
      <c r="S327">
        <v>24</v>
      </c>
      <c r="T327">
        <v>175</v>
      </c>
    </row>
    <row r="328" spans="1:21" x14ac:dyDescent="0.15">
      <c r="A328" t="s">
        <v>162</v>
      </c>
      <c r="B328" t="s">
        <v>173</v>
      </c>
      <c r="C328" t="s">
        <v>163</v>
      </c>
      <c r="D328" s="9">
        <v>50</v>
      </c>
      <c r="E328" t="s">
        <v>74</v>
      </c>
      <c r="G328">
        <v>232</v>
      </c>
      <c r="H328">
        <v>232.1</v>
      </c>
      <c r="I328" t="s">
        <v>180</v>
      </c>
      <c r="K328">
        <f t="shared" si="10"/>
        <v>232</v>
      </c>
      <c r="L328">
        <f t="shared" si="11"/>
        <v>232.1</v>
      </c>
      <c r="M328" t="s">
        <v>143</v>
      </c>
      <c r="O328" s="7">
        <v>44494</v>
      </c>
      <c r="P328" t="s">
        <v>145</v>
      </c>
      <c r="Q328">
        <v>70611</v>
      </c>
      <c r="R328" t="s">
        <v>196</v>
      </c>
      <c r="S328">
        <v>48</v>
      </c>
      <c r="T328">
        <v>175</v>
      </c>
    </row>
    <row r="329" spans="1:21" x14ac:dyDescent="0.15">
      <c r="A329" t="s">
        <v>162</v>
      </c>
      <c r="B329" t="s">
        <v>173</v>
      </c>
      <c r="C329" t="s">
        <v>163</v>
      </c>
      <c r="D329" s="9">
        <v>50</v>
      </c>
      <c r="E329" t="s">
        <v>74</v>
      </c>
      <c r="G329">
        <v>232</v>
      </c>
      <c r="H329">
        <v>231.8</v>
      </c>
      <c r="I329" t="s">
        <v>180</v>
      </c>
      <c r="K329">
        <f t="shared" si="10"/>
        <v>231.8</v>
      </c>
      <c r="L329">
        <f t="shared" si="11"/>
        <v>232</v>
      </c>
      <c r="M329" t="s">
        <v>143</v>
      </c>
      <c r="O329" s="7">
        <v>44494</v>
      </c>
      <c r="P329" t="s">
        <v>145</v>
      </c>
      <c r="Q329">
        <v>70611</v>
      </c>
      <c r="R329" t="s">
        <v>196</v>
      </c>
      <c r="S329">
        <v>96</v>
      </c>
      <c r="T329">
        <v>175</v>
      </c>
    </row>
    <row r="330" spans="1:21" x14ac:dyDescent="0.15">
      <c r="A330" t="s">
        <v>162</v>
      </c>
      <c r="B330" t="s">
        <v>173</v>
      </c>
      <c r="C330" t="s">
        <v>163</v>
      </c>
      <c r="D330" s="9">
        <v>32</v>
      </c>
      <c r="E330" t="s">
        <v>76</v>
      </c>
      <c r="F330" t="s">
        <v>166</v>
      </c>
      <c r="G330">
        <v>5.3</v>
      </c>
      <c r="H330">
        <v>5.4</v>
      </c>
      <c r="I330" t="s">
        <v>91</v>
      </c>
      <c r="K330">
        <f t="shared" si="10"/>
        <v>5.3</v>
      </c>
      <c r="L330">
        <f t="shared" si="11"/>
        <v>5.4</v>
      </c>
      <c r="M330" t="s">
        <v>28</v>
      </c>
      <c r="O330" s="7">
        <v>44495</v>
      </c>
      <c r="P330" t="s">
        <v>194</v>
      </c>
      <c r="Q330">
        <v>50405</v>
      </c>
      <c r="R330" t="s">
        <v>196</v>
      </c>
      <c r="S330">
        <v>50</v>
      </c>
      <c r="T330">
        <v>175</v>
      </c>
    </row>
    <row r="331" spans="1:21" x14ac:dyDescent="0.15">
      <c r="A331" t="s">
        <v>162</v>
      </c>
      <c r="B331" t="s">
        <v>173</v>
      </c>
      <c r="C331" t="s">
        <v>163</v>
      </c>
      <c r="D331" s="9">
        <v>28</v>
      </c>
      <c r="E331" t="s">
        <v>74</v>
      </c>
      <c r="G331">
        <v>115.9</v>
      </c>
      <c r="H331">
        <v>116</v>
      </c>
      <c r="I331" t="s">
        <v>92</v>
      </c>
      <c r="K331">
        <f t="shared" si="10"/>
        <v>115.9</v>
      </c>
      <c r="L331">
        <f t="shared" si="11"/>
        <v>116</v>
      </c>
      <c r="M331" t="s">
        <v>143</v>
      </c>
      <c r="O331" s="7">
        <v>44496</v>
      </c>
      <c r="P331" t="s">
        <v>145</v>
      </c>
      <c r="Q331">
        <v>70611</v>
      </c>
      <c r="R331" t="s">
        <v>196</v>
      </c>
      <c r="S331">
        <v>48</v>
      </c>
      <c r="T331">
        <v>175</v>
      </c>
    </row>
    <row r="332" spans="1:21" x14ac:dyDescent="0.15">
      <c r="A332" t="s">
        <v>162</v>
      </c>
      <c r="B332" t="s">
        <v>173</v>
      </c>
      <c r="C332" t="s">
        <v>163</v>
      </c>
      <c r="D332" s="9">
        <v>28</v>
      </c>
      <c r="E332" t="s">
        <v>74</v>
      </c>
      <c r="G332">
        <v>116.1</v>
      </c>
      <c r="H332">
        <v>116</v>
      </c>
      <c r="I332" t="s">
        <v>92</v>
      </c>
      <c r="K332">
        <f t="shared" si="10"/>
        <v>116</v>
      </c>
      <c r="L332">
        <f t="shared" si="11"/>
        <v>116.1</v>
      </c>
      <c r="M332" t="s">
        <v>143</v>
      </c>
      <c r="O332" s="7">
        <v>44496</v>
      </c>
      <c r="P332" t="s">
        <v>145</v>
      </c>
      <c r="Q332">
        <v>70611</v>
      </c>
      <c r="R332" t="s">
        <v>196</v>
      </c>
      <c r="S332">
        <v>48</v>
      </c>
      <c r="T332">
        <v>175</v>
      </c>
    </row>
    <row r="333" spans="1:21" x14ac:dyDescent="0.15">
      <c r="A333" t="s">
        <v>162</v>
      </c>
      <c r="B333" t="s">
        <v>173</v>
      </c>
      <c r="C333" t="s">
        <v>163</v>
      </c>
      <c r="D333" s="9">
        <v>28</v>
      </c>
      <c r="E333" t="s">
        <v>74</v>
      </c>
      <c r="G333">
        <v>116</v>
      </c>
      <c r="H333">
        <v>115.9</v>
      </c>
      <c r="I333" t="s">
        <v>92</v>
      </c>
      <c r="K333">
        <f t="shared" si="10"/>
        <v>115.9</v>
      </c>
      <c r="L333">
        <f t="shared" si="11"/>
        <v>116</v>
      </c>
      <c r="M333" t="s">
        <v>143</v>
      </c>
      <c r="O333" s="7">
        <v>44496</v>
      </c>
      <c r="P333" t="s">
        <v>145</v>
      </c>
      <c r="Q333">
        <v>70611</v>
      </c>
      <c r="R333" t="s">
        <v>196</v>
      </c>
      <c r="S333">
        <v>48</v>
      </c>
      <c r="T333">
        <v>175</v>
      </c>
    </row>
    <row r="334" spans="1:21" x14ac:dyDescent="0.15">
      <c r="A334" t="s">
        <v>162</v>
      </c>
      <c r="B334" t="s">
        <v>173</v>
      </c>
      <c r="C334" t="s">
        <v>163</v>
      </c>
      <c r="D334" s="9">
        <v>28</v>
      </c>
      <c r="E334" t="s">
        <v>74</v>
      </c>
      <c r="G334">
        <v>115.8</v>
      </c>
      <c r="H334">
        <v>115.9</v>
      </c>
      <c r="I334" t="s">
        <v>92</v>
      </c>
      <c r="K334">
        <f t="shared" si="10"/>
        <v>115.8</v>
      </c>
      <c r="L334">
        <f t="shared" si="11"/>
        <v>115.9</v>
      </c>
      <c r="M334" t="s">
        <v>143</v>
      </c>
      <c r="O334" s="7">
        <v>44496</v>
      </c>
      <c r="P334" t="s">
        <v>145</v>
      </c>
      <c r="Q334">
        <v>70611</v>
      </c>
      <c r="R334" t="s">
        <v>196</v>
      </c>
      <c r="S334">
        <v>48</v>
      </c>
      <c r="T334">
        <v>175</v>
      </c>
    </row>
    <row r="335" spans="1:21" x14ac:dyDescent="0.15">
      <c r="A335" t="s">
        <v>162</v>
      </c>
      <c r="B335" t="s">
        <v>173</v>
      </c>
      <c r="C335" t="s">
        <v>163</v>
      </c>
      <c r="D335" s="9">
        <v>28</v>
      </c>
      <c r="E335" t="s">
        <v>74</v>
      </c>
      <c r="G335">
        <v>115.9</v>
      </c>
      <c r="H335">
        <v>115.7</v>
      </c>
      <c r="I335" t="s">
        <v>92</v>
      </c>
      <c r="K335">
        <f t="shared" si="10"/>
        <v>115.7</v>
      </c>
      <c r="L335">
        <f t="shared" si="11"/>
        <v>115.9</v>
      </c>
      <c r="M335" t="s">
        <v>143</v>
      </c>
      <c r="O335" s="7">
        <v>44496</v>
      </c>
      <c r="P335" t="s">
        <v>145</v>
      </c>
      <c r="Q335">
        <v>70611</v>
      </c>
      <c r="R335" t="s">
        <v>196</v>
      </c>
      <c r="S335">
        <v>48</v>
      </c>
      <c r="T335">
        <v>175</v>
      </c>
    </row>
    <row r="336" spans="1:21" x14ac:dyDescent="0.15">
      <c r="A336" t="s">
        <v>162</v>
      </c>
      <c r="B336" t="s">
        <v>173</v>
      </c>
      <c r="C336" t="s">
        <v>163</v>
      </c>
      <c r="D336" s="9">
        <v>28</v>
      </c>
      <c r="E336" t="s">
        <v>74</v>
      </c>
      <c r="G336">
        <v>115.5</v>
      </c>
      <c r="H336">
        <v>115.6</v>
      </c>
      <c r="I336" t="s">
        <v>92</v>
      </c>
      <c r="K336">
        <f t="shared" si="10"/>
        <v>115.5</v>
      </c>
      <c r="L336">
        <f t="shared" si="11"/>
        <v>115.6</v>
      </c>
      <c r="M336" t="s">
        <v>143</v>
      </c>
      <c r="O336" s="7">
        <v>44496</v>
      </c>
      <c r="P336" t="s">
        <v>145</v>
      </c>
      <c r="Q336">
        <v>70611</v>
      </c>
      <c r="R336" t="s">
        <v>196</v>
      </c>
      <c r="S336">
        <v>48</v>
      </c>
      <c r="T336">
        <v>175</v>
      </c>
    </row>
    <row r="337" spans="1:20" x14ac:dyDescent="0.15">
      <c r="A337" t="s">
        <v>162</v>
      </c>
      <c r="B337" t="s">
        <v>173</v>
      </c>
      <c r="C337" t="s">
        <v>163</v>
      </c>
      <c r="D337" s="9">
        <v>28</v>
      </c>
      <c r="E337" t="s">
        <v>74</v>
      </c>
      <c r="G337">
        <v>115.7</v>
      </c>
      <c r="H337">
        <v>115.55</v>
      </c>
      <c r="I337" t="s">
        <v>92</v>
      </c>
      <c r="K337">
        <f t="shared" si="10"/>
        <v>115.55</v>
      </c>
      <c r="L337">
        <f t="shared" si="11"/>
        <v>115.7</v>
      </c>
      <c r="M337" t="s">
        <v>143</v>
      </c>
      <c r="O337" s="7">
        <v>44496</v>
      </c>
      <c r="P337" t="s">
        <v>145</v>
      </c>
      <c r="Q337">
        <v>70611</v>
      </c>
      <c r="R337" t="s">
        <v>196</v>
      </c>
      <c r="S337">
        <v>48</v>
      </c>
      <c r="T337">
        <v>175</v>
      </c>
    </row>
    <row r="338" spans="1:20" x14ac:dyDescent="0.15">
      <c r="A338" t="s">
        <v>162</v>
      </c>
      <c r="B338" t="s">
        <v>173</v>
      </c>
      <c r="C338" t="s">
        <v>163</v>
      </c>
      <c r="D338" s="9">
        <v>28</v>
      </c>
      <c r="E338" t="s">
        <v>74</v>
      </c>
      <c r="G338">
        <v>115.45</v>
      </c>
      <c r="H338">
        <v>115.4</v>
      </c>
      <c r="I338" t="s">
        <v>92</v>
      </c>
      <c r="K338">
        <f t="shared" si="10"/>
        <v>115.4</v>
      </c>
      <c r="L338">
        <f t="shared" si="11"/>
        <v>115.45</v>
      </c>
      <c r="M338" t="s">
        <v>143</v>
      </c>
      <c r="O338" s="7">
        <v>44496</v>
      </c>
      <c r="P338" t="s">
        <v>145</v>
      </c>
      <c r="Q338">
        <v>70611</v>
      </c>
      <c r="R338" t="s">
        <v>196</v>
      </c>
      <c r="S338">
        <v>24</v>
      </c>
      <c r="T338">
        <v>175</v>
      </c>
    </row>
    <row r="339" spans="1:20" x14ac:dyDescent="0.15">
      <c r="A339" t="s">
        <v>162</v>
      </c>
      <c r="B339" t="s">
        <v>173</v>
      </c>
      <c r="C339" t="s">
        <v>163</v>
      </c>
      <c r="D339" s="9">
        <v>28</v>
      </c>
      <c r="E339" t="s">
        <v>74</v>
      </c>
      <c r="G339">
        <v>115.325</v>
      </c>
      <c r="H339">
        <v>115.3</v>
      </c>
      <c r="I339" t="s">
        <v>90</v>
      </c>
      <c r="K339">
        <f t="shared" si="10"/>
        <v>115.3</v>
      </c>
      <c r="L339">
        <f t="shared" si="11"/>
        <v>115.325</v>
      </c>
      <c r="M339" t="s">
        <v>143</v>
      </c>
      <c r="O339" s="7">
        <v>44497</v>
      </c>
      <c r="P339" t="s">
        <v>145</v>
      </c>
      <c r="Q339">
        <v>70611</v>
      </c>
      <c r="R339" t="s">
        <v>196</v>
      </c>
      <c r="S339">
        <v>8</v>
      </c>
      <c r="T339">
        <v>175</v>
      </c>
    </row>
    <row r="340" spans="1:20" x14ac:dyDescent="0.15">
      <c r="A340" t="s">
        <v>162</v>
      </c>
      <c r="B340" t="s">
        <v>173</v>
      </c>
      <c r="C340" t="s">
        <v>163</v>
      </c>
      <c r="D340" s="9">
        <v>28</v>
      </c>
      <c r="E340" t="s">
        <v>74</v>
      </c>
      <c r="G340">
        <v>115.05</v>
      </c>
      <c r="H340">
        <v>115</v>
      </c>
      <c r="I340" t="s">
        <v>92</v>
      </c>
      <c r="K340">
        <f t="shared" si="10"/>
        <v>115</v>
      </c>
      <c r="L340">
        <f t="shared" si="11"/>
        <v>115.05</v>
      </c>
      <c r="M340" t="s">
        <v>143</v>
      </c>
      <c r="O340" s="7">
        <v>44497</v>
      </c>
      <c r="P340" t="s">
        <v>145</v>
      </c>
      <c r="Q340">
        <v>70611</v>
      </c>
      <c r="R340" t="s">
        <v>196</v>
      </c>
      <c r="S340">
        <v>25</v>
      </c>
      <c r="T340">
        <v>175</v>
      </c>
    </row>
    <row r="341" spans="1:20" x14ac:dyDescent="0.15">
      <c r="A341" t="s">
        <v>162</v>
      </c>
      <c r="B341" t="s">
        <v>173</v>
      </c>
      <c r="C341" t="s">
        <v>163</v>
      </c>
      <c r="D341" s="9">
        <v>28</v>
      </c>
      <c r="E341" t="s">
        <v>74</v>
      </c>
      <c r="G341">
        <v>117.06</v>
      </c>
      <c r="H341">
        <v>116.9</v>
      </c>
      <c r="I341" t="s">
        <v>92</v>
      </c>
      <c r="K341">
        <f t="shared" si="10"/>
        <v>116.9</v>
      </c>
      <c r="L341">
        <f t="shared" si="11"/>
        <v>117.06</v>
      </c>
      <c r="M341" t="s">
        <v>143</v>
      </c>
      <c r="O341" s="7">
        <v>44497</v>
      </c>
      <c r="P341" t="s">
        <v>145</v>
      </c>
      <c r="Q341">
        <v>70611</v>
      </c>
      <c r="R341" t="s">
        <v>196</v>
      </c>
      <c r="S341">
        <v>77</v>
      </c>
      <c r="T341">
        <v>175</v>
      </c>
    </row>
    <row r="342" spans="1:20" x14ac:dyDescent="0.15">
      <c r="A342" t="s">
        <v>162</v>
      </c>
      <c r="B342" t="s">
        <v>173</v>
      </c>
      <c r="C342" t="s">
        <v>163</v>
      </c>
      <c r="D342" s="9">
        <v>28</v>
      </c>
      <c r="E342" t="s">
        <v>74</v>
      </c>
      <c r="G342">
        <v>116.9</v>
      </c>
      <c r="H342">
        <v>116.74</v>
      </c>
      <c r="I342" t="s">
        <v>92</v>
      </c>
      <c r="K342">
        <f t="shared" si="10"/>
        <v>116.74</v>
      </c>
      <c r="L342">
        <f t="shared" si="11"/>
        <v>116.9</v>
      </c>
      <c r="M342" t="s">
        <v>143</v>
      </c>
      <c r="O342" s="7">
        <v>44497</v>
      </c>
      <c r="P342" t="s">
        <v>145</v>
      </c>
      <c r="Q342">
        <v>70611</v>
      </c>
      <c r="R342" t="s">
        <v>196</v>
      </c>
      <c r="S342">
        <v>77</v>
      </c>
      <c r="T342">
        <v>175</v>
      </c>
    </row>
    <row r="343" spans="1:20" x14ac:dyDescent="0.15">
      <c r="A343" t="s">
        <v>162</v>
      </c>
      <c r="B343" t="s">
        <v>173</v>
      </c>
      <c r="C343" t="s">
        <v>163</v>
      </c>
      <c r="D343" s="9">
        <v>28</v>
      </c>
      <c r="E343" t="s">
        <v>76</v>
      </c>
      <c r="F343" t="s">
        <v>167</v>
      </c>
      <c r="G343">
        <v>114.6</v>
      </c>
      <c r="H343">
        <v>114.7</v>
      </c>
      <c r="I343" t="s">
        <v>91</v>
      </c>
      <c r="K343">
        <f t="shared" si="10"/>
        <v>114.6</v>
      </c>
      <c r="L343">
        <f t="shared" si="11"/>
        <v>114.7</v>
      </c>
      <c r="M343" t="s">
        <v>27</v>
      </c>
      <c r="O343" s="7">
        <v>44497</v>
      </c>
      <c r="P343" t="s">
        <v>195</v>
      </c>
      <c r="Q343" t="s">
        <v>202</v>
      </c>
      <c r="R343" t="s">
        <v>196</v>
      </c>
      <c r="S343" t="s">
        <v>203</v>
      </c>
      <c r="T343">
        <v>175</v>
      </c>
    </row>
    <row r="344" spans="1:20" x14ac:dyDescent="0.15">
      <c r="A344" t="s">
        <v>162</v>
      </c>
      <c r="B344" t="s">
        <v>173</v>
      </c>
      <c r="C344" t="s">
        <v>163</v>
      </c>
      <c r="D344" s="9">
        <v>28</v>
      </c>
      <c r="E344" t="s">
        <v>75</v>
      </c>
      <c r="G344">
        <v>109.25</v>
      </c>
      <c r="H344">
        <v>109.47499999999999</v>
      </c>
      <c r="I344" t="s">
        <v>181</v>
      </c>
      <c r="K344">
        <f t="shared" si="10"/>
        <v>109.25</v>
      </c>
      <c r="L344">
        <f t="shared" si="11"/>
        <v>109.47499999999999</v>
      </c>
      <c r="M344" t="s">
        <v>143</v>
      </c>
      <c r="O344" s="7">
        <v>44502</v>
      </c>
      <c r="P344" t="s">
        <v>145</v>
      </c>
      <c r="Q344">
        <v>70611</v>
      </c>
      <c r="R344" t="s">
        <v>196</v>
      </c>
      <c r="S344">
        <v>60</v>
      </c>
      <c r="T344">
        <v>175</v>
      </c>
    </row>
    <row r="345" spans="1:20" x14ac:dyDescent="0.15">
      <c r="A345" t="s">
        <v>162</v>
      </c>
      <c r="B345" t="s">
        <v>173</v>
      </c>
      <c r="C345" t="s">
        <v>163</v>
      </c>
      <c r="D345" s="9">
        <v>28</v>
      </c>
      <c r="E345" t="s">
        <v>75</v>
      </c>
      <c r="G345">
        <v>109.3</v>
      </c>
      <c r="H345">
        <v>109.4</v>
      </c>
      <c r="I345" t="s">
        <v>181</v>
      </c>
      <c r="K345">
        <f t="shared" si="10"/>
        <v>109.3</v>
      </c>
      <c r="L345">
        <f t="shared" si="11"/>
        <v>109.4</v>
      </c>
      <c r="M345" t="s">
        <v>143</v>
      </c>
      <c r="O345" s="7">
        <v>44502</v>
      </c>
      <c r="P345" t="s">
        <v>145</v>
      </c>
      <c r="Q345">
        <v>70611</v>
      </c>
      <c r="R345" t="s">
        <v>196</v>
      </c>
      <c r="S345">
        <v>48</v>
      </c>
      <c r="T345">
        <v>175</v>
      </c>
    </row>
    <row r="346" spans="1:20" x14ac:dyDescent="0.15">
      <c r="A346" t="s">
        <v>162</v>
      </c>
      <c r="B346" t="s">
        <v>173</v>
      </c>
      <c r="C346" t="s">
        <v>165</v>
      </c>
      <c r="D346" s="9">
        <v>28</v>
      </c>
      <c r="E346" t="s">
        <v>75</v>
      </c>
      <c r="G346">
        <v>109.8</v>
      </c>
      <c r="H346">
        <v>109.9</v>
      </c>
      <c r="I346" t="s">
        <v>181</v>
      </c>
      <c r="K346">
        <f t="shared" si="10"/>
        <v>109.8</v>
      </c>
      <c r="L346">
        <f t="shared" si="11"/>
        <v>109.9</v>
      </c>
      <c r="M346" t="s">
        <v>143</v>
      </c>
      <c r="O346" s="7">
        <v>44502</v>
      </c>
      <c r="P346" t="s">
        <v>145</v>
      </c>
      <c r="Q346">
        <v>70611</v>
      </c>
      <c r="R346" t="s">
        <v>196</v>
      </c>
      <c r="S346">
        <v>48</v>
      </c>
      <c r="T346">
        <v>175</v>
      </c>
    </row>
    <row r="347" spans="1:20" x14ac:dyDescent="0.15">
      <c r="A347" t="s">
        <v>162</v>
      </c>
      <c r="B347" t="s">
        <v>173</v>
      </c>
      <c r="C347" t="s">
        <v>163</v>
      </c>
      <c r="D347" s="9">
        <v>28</v>
      </c>
      <c r="E347" t="s">
        <v>75</v>
      </c>
      <c r="G347">
        <v>110.69</v>
      </c>
      <c r="H347">
        <v>110.75</v>
      </c>
      <c r="I347" t="s">
        <v>181</v>
      </c>
      <c r="K347">
        <f t="shared" si="10"/>
        <v>110.69</v>
      </c>
      <c r="L347">
        <f t="shared" si="11"/>
        <v>110.75</v>
      </c>
      <c r="M347" t="s">
        <v>143</v>
      </c>
      <c r="O347" s="7">
        <v>44502</v>
      </c>
      <c r="P347" t="s">
        <v>145</v>
      </c>
      <c r="Q347">
        <v>70611</v>
      </c>
      <c r="R347" t="s">
        <v>196</v>
      </c>
      <c r="S347">
        <v>52</v>
      </c>
      <c r="T347">
        <v>175</v>
      </c>
    </row>
    <row r="348" spans="1:20" x14ac:dyDescent="0.15">
      <c r="A348" t="s">
        <v>162</v>
      </c>
      <c r="B348" t="s">
        <v>173</v>
      </c>
      <c r="C348" t="s">
        <v>163</v>
      </c>
      <c r="D348" s="9">
        <v>28</v>
      </c>
      <c r="E348" t="s">
        <v>75</v>
      </c>
      <c r="G348">
        <v>110.69</v>
      </c>
      <c r="H348">
        <v>110.75</v>
      </c>
      <c r="I348" t="s">
        <v>97</v>
      </c>
      <c r="K348">
        <f t="shared" si="10"/>
        <v>110.69</v>
      </c>
      <c r="L348">
        <f t="shared" si="11"/>
        <v>110.75</v>
      </c>
      <c r="M348" t="s">
        <v>143</v>
      </c>
      <c r="O348" s="7">
        <v>44502</v>
      </c>
      <c r="P348" t="s">
        <v>145</v>
      </c>
      <c r="Q348">
        <v>70611</v>
      </c>
      <c r="R348" t="s">
        <v>196</v>
      </c>
      <c r="S348">
        <v>52</v>
      </c>
      <c r="T348">
        <v>175</v>
      </c>
    </row>
    <row r="349" spans="1:20" x14ac:dyDescent="0.15">
      <c r="A349" t="s">
        <v>162</v>
      </c>
      <c r="B349" t="s">
        <v>173</v>
      </c>
      <c r="C349" t="s">
        <v>163</v>
      </c>
      <c r="D349" s="9">
        <v>28</v>
      </c>
      <c r="E349" t="s">
        <v>75</v>
      </c>
      <c r="G349">
        <v>110.815</v>
      </c>
      <c r="H349">
        <v>110.84</v>
      </c>
      <c r="I349" t="s">
        <v>181</v>
      </c>
      <c r="K349">
        <f t="shared" si="10"/>
        <v>110.815</v>
      </c>
      <c r="L349">
        <f t="shared" si="11"/>
        <v>110.84</v>
      </c>
      <c r="M349" t="s">
        <v>143</v>
      </c>
      <c r="O349" s="7">
        <v>44502</v>
      </c>
      <c r="P349" t="s">
        <v>145</v>
      </c>
      <c r="Q349">
        <v>70611</v>
      </c>
      <c r="R349" t="s">
        <v>196</v>
      </c>
      <c r="S349">
        <v>48</v>
      </c>
      <c r="T349">
        <v>175</v>
      </c>
    </row>
    <row r="350" spans="1:20" x14ac:dyDescent="0.15">
      <c r="A350" t="s">
        <v>162</v>
      </c>
      <c r="B350" t="s">
        <v>173</v>
      </c>
      <c r="C350" t="s">
        <v>163</v>
      </c>
      <c r="D350" s="9">
        <v>28</v>
      </c>
      <c r="E350" t="s">
        <v>75</v>
      </c>
      <c r="G350">
        <v>110.9</v>
      </c>
      <c r="H350">
        <v>111</v>
      </c>
      <c r="I350" t="s">
        <v>181</v>
      </c>
      <c r="K350">
        <f t="shared" si="10"/>
        <v>110.9</v>
      </c>
      <c r="L350">
        <f t="shared" si="11"/>
        <v>111</v>
      </c>
      <c r="M350" t="s">
        <v>143</v>
      </c>
      <c r="O350" s="7">
        <v>44502</v>
      </c>
      <c r="P350" t="s">
        <v>145</v>
      </c>
      <c r="Q350">
        <v>70611</v>
      </c>
      <c r="R350" t="s">
        <v>196</v>
      </c>
      <c r="S350">
        <v>48</v>
      </c>
      <c r="T350">
        <v>175</v>
      </c>
    </row>
    <row r="351" spans="1:20" x14ac:dyDescent="0.15">
      <c r="A351" t="s">
        <v>162</v>
      </c>
      <c r="B351" t="s">
        <v>173</v>
      </c>
      <c r="C351" t="s">
        <v>163</v>
      </c>
      <c r="D351" s="9">
        <v>28</v>
      </c>
      <c r="E351" t="s">
        <v>75</v>
      </c>
      <c r="G351">
        <v>110</v>
      </c>
      <c r="H351">
        <v>110.27500000000001</v>
      </c>
      <c r="I351" t="s">
        <v>22</v>
      </c>
      <c r="K351">
        <f t="shared" si="10"/>
        <v>110</v>
      </c>
      <c r="L351">
        <f t="shared" si="11"/>
        <v>110.27500000000001</v>
      </c>
      <c r="M351" t="s">
        <v>143</v>
      </c>
      <c r="O351" s="7">
        <v>44502</v>
      </c>
      <c r="P351" t="s">
        <v>145</v>
      </c>
      <c r="Q351">
        <v>70611</v>
      </c>
      <c r="R351" t="s">
        <v>196</v>
      </c>
      <c r="S351">
        <v>133</v>
      </c>
      <c r="T351">
        <v>175</v>
      </c>
    </row>
    <row r="352" spans="1:20" x14ac:dyDescent="0.15">
      <c r="A352" t="s">
        <v>162</v>
      </c>
      <c r="B352" t="s">
        <v>173</v>
      </c>
      <c r="C352" t="s">
        <v>163</v>
      </c>
      <c r="D352" s="9">
        <v>28</v>
      </c>
      <c r="E352" t="s">
        <v>75</v>
      </c>
      <c r="G352">
        <v>110.05</v>
      </c>
      <c r="H352">
        <v>110.1</v>
      </c>
      <c r="I352" t="s">
        <v>181</v>
      </c>
      <c r="K352">
        <f t="shared" si="10"/>
        <v>110.05</v>
      </c>
      <c r="L352">
        <f t="shared" si="11"/>
        <v>110.1</v>
      </c>
      <c r="M352" t="s">
        <v>143</v>
      </c>
      <c r="O352" s="7">
        <v>44502</v>
      </c>
      <c r="P352" t="s">
        <v>145</v>
      </c>
      <c r="Q352">
        <v>70611</v>
      </c>
      <c r="R352" t="s">
        <v>196</v>
      </c>
      <c r="S352">
        <v>24</v>
      </c>
      <c r="T352">
        <v>175</v>
      </c>
    </row>
    <row r="353" spans="1:21" x14ac:dyDescent="0.15">
      <c r="A353" t="s">
        <v>162</v>
      </c>
      <c r="B353" t="s">
        <v>173</v>
      </c>
      <c r="C353" t="s">
        <v>163</v>
      </c>
      <c r="D353" s="9">
        <v>28</v>
      </c>
      <c r="E353" t="s">
        <v>75</v>
      </c>
      <c r="G353">
        <v>110.3</v>
      </c>
      <c r="H353">
        <v>110.4</v>
      </c>
      <c r="I353" t="s">
        <v>181</v>
      </c>
      <c r="K353">
        <f t="shared" si="10"/>
        <v>110.3</v>
      </c>
      <c r="L353">
        <f t="shared" si="11"/>
        <v>110.4</v>
      </c>
      <c r="M353" t="s">
        <v>143</v>
      </c>
      <c r="O353" s="7">
        <v>44502</v>
      </c>
      <c r="P353" t="s">
        <v>145</v>
      </c>
      <c r="Q353">
        <v>70611</v>
      </c>
      <c r="R353" t="s">
        <v>196</v>
      </c>
      <c r="S353">
        <v>48</v>
      </c>
      <c r="T353">
        <v>175</v>
      </c>
    </row>
    <row r="354" spans="1:21" x14ac:dyDescent="0.15">
      <c r="A354" t="s">
        <v>162</v>
      </c>
      <c r="B354" t="s">
        <v>173</v>
      </c>
      <c r="C354" t="s">
        <v>163</v>
      </c>
      <c r="D354" s="9">
        <v>28</v>
      </c>
      <c r="E354" t="s">
        <v>74</v>
      </c>
      <c r="G354">
        <v>37.15</v>
      </c>
      <c r="H354">
        <v>36.549999999999997</v>
      </c>
      <c r="I354" t="s">
        <v>91</v>
      </c>
      <c r="K354">
        <f t="shared" si="10"/>
        <v>36.549999999999997</v>
      </c>
      <c r="L354">
        <f t="shared" si="11"/>
        <v>37.15</v>
      </c>
      <c r="M354" t="s">
        <v>143</v>
      </c>
      <c r="O354" s="7">
        <v>44510</v>
      </c>
      <c r="P354" t="s">
        <v>145</v>
      </c>
      <c r="Q354">
        <v>70611</v>
      </c>
      <c r="R354" t="s">
        <v>196</v>
      </c>
      <c r="S354">
        <v>355</v>
      </c>
      <c r="T354">
        <v>175</v>
      </c>
    </row>
    <row r="355" spans="1:21" x14ac:dyDescent="0.15">
      <c r="A355" t="s">
        <v>162</v>
      </c>
      <c r="B355" t="s">
        <v>173</v>
      </c>
      <c r="C355" t="s">
        <v>163</v>
      </c>
      <c r="D355" s="9">
        <v>28</v>
      </c>
      <c r="E355" t="s">
        <v>74</v>
      </c>
      <c r="G355">
        <v>36.924999999999997</v>
      </c>
      <c r="H355">
        <v>36.875</v>
      </c>
      <c r="I355" t="s">
        <v>92</v>
      </c>
      <c r="K355">
        <f t="shared" si="10"/>
        <v>36.875</v>
      </c>
      <c r="L355">
        <f t="shared" si="11"/>
        <v>36.924999999999997</v>
      </c>
      <c r="M355" t="s">
        <v>143</v>
      </c>
      <c r="O355" s="7">
        <v>44510</v>
      </c>
      <c r="P355" t="s">
        <v>145</v>
      </c>
      <c r="Q355">
        <v>70611</v>
      </c>
      <c r="R355" t="s">
        <v>196</v>
      </c>
      <c r="S355">
        <v>24</v>
      </c>
      <c r="T355">
        <v>175</v>
      </c>
    </row>
    <row r="356" spans="1:21" x14ac:dyDescent="0.15">
      <c r="A356" t="s">
        <v>162</v>
      </c>
      <c r="B356" t="s">
        <v>173</v>
      </c>
      <c r="C356" t="s">
        <v>163</v>
      </c>
      <c r="D356" s="9">
        <v>28</v>
      </c>
      <c r="E356" t="s">
        <v>74</v>
      </c>
      <c r="G356">
        <v>36.225000000000001</v>
      </c>
      <c r="H356">
        <v>36.200000000000003</v>
      </c>
      <c r="I356" t="s">
        <v>91</v>
      </c>
      <c r="K356">
        <f t="shared" si="10"/>
        <v>36.200000000000003</v>
      </c>
      <c r="L356">
        <f t="shared" si="11"/>
        <v>36.225000000000001</v>
      </c>
      <c r="M356" t="s">
        <v>143</v>
      </c>
      <c r="O356" s="7">
        <v>44510</v>
      </c>
      <c r="P356" t="s">
        <v>145</v>
      </c>
      <c r="Q356">
        <v>70611</v>
      </c>
      <c r="R356" t="s">
        <v>196</v>
      </c>
      <c r="S356">
        <v>12</v>
      </c>
      <c r="T356">
        <v>175</v>
      </c>
    </row>
    <row r="357" spans="1:21" x14ac:dyDescent="0.15">
      <c r="A357" t="s">
        <v>162</v>
      </c>
      <c r="B357" t="s">
        <v>173</v>
      </c>
      <c r="C357" t="s">
        <v>163</v>
      </c>
      <c r="D357" s="9">
        <v>28</v>
      </c>
      <c r="E357" t="s">
        <v>74</v>
      </c>
      <c r="G357">
        <v>39.625</v>
      </c>
      <c r="H357">
        <v>40.1</v>
      </c>
      <c r="I357" t="s">
        <v>92</v>
      </c>
      <c r="K357">
        <f t="shared" si="10"/>
        <v>39.625</v>
      </c>
      <c r="L357">
        <f t="shared" si="11"/>
        <v>40.1</v>
      </c>
      <c r="M357" t="s">
        <v>143</v>
      </c>
      <c r="O357" s="7">
        <v>44511</v>
      </c>
      <c r="P357" t="s">
        <v>145</v>
      </c>
      <c r="Q357">
        <v>70611</v>
      </c>
      <c r="R357" t="s">
        <v>196</v>
      </c>
      <c r="S357">
        <v>193</v>
      </c>
      <c r="T357">
        <v>175</v>
      </c>
    </row>
    <row r="358" spans="1:21" x14ac:dyDescent="0.15">
      <c r="A358" t="s">
        <v>162</v>
      </c>
      <c r="B358" t="s">
        <v>173</v>
      </c>
      <c r="C358" t="s">
        <v>163</v>
      </c>
      <c r="D358" s="9">
        <v>28</v>
      </c>
      <c r="E358" t="s">
        <v>74</v>
      </c>
      <c r="G358">
        <v>39.6</v>
      </c>
      <c r="H358">
        <v>39.700000000000003</v>
      </c>
      <c r="I358" t="s">
        <v>92</v>
      </c>
      <c r="K358">
        <f t="shared" si="10"/>
        <v>39.6</v>
      </c>
      <c r="L358">
        <f t="shared" si="11"/>
        <v>39.700000000000003</v>
      </c>
      <c r="M358" t="s">
        <v>143</v>
      </c>
      <c r="O358" s="7">
        <v>44511</v>
      </c>
      <c r="P358" t="s">
        <v>145</v>
      </c>
      <c r="Q358">
        <v>70611</v>
      </c>
      <c r="R358" t="s">
        <v>196</v>
      </c>
      <c r="S358">
        <v>48</v>
      </c>
      <c r="T358">
        <v>175</v>
      </c>
    </row>
    <row r="359" spans="1:21" x14ac:dyDescent="0.15">
      <c r="A359" t="s">
        <v>162</v>
      </c>
      <c r="B359" t="s">
        <v>173</v>
      </c>
      <c r="C359" t="s">
        <v>163</v>
      </c>
      <c r="D359" s="9">
        <v>28</v>
      </c>
      <c r="E359" t="s">
        <v>74</v>
      </c>
      <c r="G359">
        <v>39.299999999999997</v>
      </c>
      <c r="H359">
        <v>39.4</v>
      </c>
      <c r="I359" t="s">
        <v>92</v>
      </c>
      <c r="K359">
        <f t="shared" si="10"/>
        <v>39.299999999999997</v>
      </c>
      <c r="L359">
        <f t="shared" si="11"/>
        <v>39.4</v>
      </c>
      <c r="M359" t="s">
        <v>143</v>
      </c>
      <c r="O359" s="7">
        <v>44511</v>
      </c>
      <c r="P359" t="s">
        <v>145</v>
      </c>
      <c r="Q359">
        <v>70611</v>
      </c>
      <c r="R359" t="s">
        <v>196</v>
      </c>
      <c r="S359">
        <v>48</v>
      </c>
      <c r="T359">
        <v>175</v>
      </c>
    </row>
    <row r="360" spans="1:21" x14ac:dyDescent="0.15">
      <c r="A360" t="s">
        <v>162</v>
      </c>
      <c r="B360" t="s">
        <v>173</v>
      </c>
      <c r="C360" t="s">
        <v>163</v>
      </c>
      <c r="D360" s="9">
        <v>28</v>
      </c>
      <c r="E360" t="s">
        <v>74</v>
      </c>
      <c r="G360">
        <v>39</v>
      </c>
      <c r="H360">
        <v>38.9</v>
      </c>
      <c r="I360" t="s">
        <v>92</v>
      </c>
      <c r="K360">
        <f t="shared" si="10"/>
        <v>38.9</v>
      </c>
      <c r="L360">
        <f t="shared" si="11"/>
        <v>39</v>
      </c>
      <c r="M360" t="s">
        <v>143</v>
      </c>
      <c r="O360" s="7">
        <v>44511</v>
      </c>
      <c r="P360" t="s">
        <v>145</v>
      </c>
      <c r="Q360">
        <v>70611</v>
      </c>
      <c r="R360" t="s">
        <v>196</v>
      </c>
      <c r="S360">
        <v>48</v>
      </c>
      <c r="T360">
        <v>175</v>
      </c>
    </row>
    <row r="361" spans="1:21" x14ac:dyDescent="0.15">
      <c r="A361" t="s">
        <v>162</v>
      </c>
      <c r="B361" t="s">
        <v>173</v>
      </c>
      <c r="C361" t="s">
        <v>163</v>
      </c>
      <c r="D361" s="9">
        <v>28</v>
      </c>
      <c r="E361" t="s">
        <v>74</v>
      </c>
      <c r="G361">
        <v>38.799999999999997</v>
      </c>
      <c r="H361">
        <v>38.299999999999997</v>
      </c>
      <c r="I361" t="s">
        <v>92</v>
      </c>
      <c r="K361">
        <f t="shared" si="10"/>
        <v>38.299999999999997</v>
      </c>
      <c r="L361">
        <f t="shared" si="11"/>
        <v>38.799999999999997</v>
      </c>
      <c r="M361" t="s">
        <v>143</v>
      </c>
      <c r="O361" s="7">
        <v>44511</v>
      </c>
      <c r="P361" t="s">
        <v>145</v>
      </c>
      <c r="Q361">
        <v>70611</v>
      </c>
      <c r="R361" t="s">
        <v>196</v>
      </c>
      <c r="S361">
        <v>242</v>
      </c>
      <c r="T361">
        <v>175</v>
      </c>
    </row>
    <row r="362" spans="1:21" x14ac:dyDescent="0.15">
      <c r="A362" t="s">
        <v>162</v>
      </c>
      <c r="B362" t="s">
        <v>173</v>
      </c>
      <c r="C362" t="s">
        <v>163</v>
      </c>
      <c r="D362" s="9">
        <v>28</v>
      </c>
      <c r="E362" t="s">
        <v>74</v>
      </c>
      <c r="G362">
        <v>37.725000000000001</v>
      </c>
      <c r="H362">
        <v>37.524999999999999</v>
      </c>
      <c r="I362" t="s">
        <v>93</v>
      </c>
      <c r="K362">
        <f t="shared" si="10"/>
        <v>37.524999999999999</v>
      </c>
      <c r="L362">
        <f t="shared" si="11"/>
        <v>37.725000000000001</v>
      </c>
      <c r="M362" t="s">
        <v>143</v>
      </c>
      <c r="O362" s="7">
        <v>44511</v>
      </c>
      <c r="P362" t="s">
        <v>145</v>
      </c>
      <c r="Q362">
        <v>70611</v>
      </c>
      <c r="R362" t="s">
        <v>196</v>
      </c>
      <c r="S362">
        <v>97</v>
      </c>
      <c r="T362">
        <v>175</v>
      </c>
    </row>
    <row r="363" spans="1:21" x14ac:dyDescent="0.15">
      <c r="A363" t="s">
        <v>162</v>
      </c>
      <c r="B363" t="s">
        <v>173</v>
      </c>
      <c r="C363" t="s">
        <v>163</v>
      </c>
      <c r="D363" s="9">
        <v>28</v>
      </c>
      <c r="E363" t="s">
        <v>74</v>
      </c>
      <c r="G363">
        <v>37.524999999999999</v>
      </c>
      <c r="H363">
        <v>37.4</v>
      </c>
      <c r="J363" t="s">
        <v>23</v>
      </c>
      <c r="K363">
        <f t="shared" si="10"/>
        <v>37.4</v>
      </c>
      <c r="L363">
        <f t="shared" si="11"/>
        <v>37.524999999999999</v>
      </c>
      <c r="M363" t="s">
        <v>143</v>
      </c>
      <c r="O363" s="7">
        <v>44511</v>
      </c>
      <c r="P363" t="s">
        <v>145</v>
      </c>
      <c r="Q363">
        <v>70611</v>
      </c>
      <c r="R363" t="s">
        <v>196</v>
      </c>
      <c r="S363">
        <v>220</v>
      </c>
      <c r="T363">
        <v>175</v>
      </c>
    </row>
    <row r="364" spans="1:21" x14ac:dyDescent="0.15">
      <c r="A364" t="s">
        <v>162</v>
      </c>
      <c r="B364" t="s">
        <v>173</v>
      </c>
      <c r="C364" t="s">
        <v>165</v>
      </c>
      <c r="D364" s="9">
        <v>28</v>
      </c>
      <c r="E364" t="s">
        <v>74</v>
      </c>
      <c r="G364">
        <v>38.1</v>
      </c>
      <c r="H364">
        <v>38</v>
      </c>
      <c r="I364" t="s">
        <v>91</v>
      </c>
      <c r="K364">
        <f t="shared" si="10"/>
        <v>38</v>
      </c>
      <c r="L364">
        <f t="shared" si="11"/>
        <v>38.1</v>
      </c>
      <c r="M364" t="s">
        <v>143</v>
      </c>
      <c r="O364" s="7">
        <v>44511</v>
      </c>
      <c r="P364" t="s">
        <v>145</v>
      </c>
      <c r="Q364">
        <v>70611</v>
      </c>
      <c r="R364" t="s">
        <v>196</v>
      </c>
      <c r="S364">
        <v>48</v>
      </c>
      <c r="T364">
        <v>175</v>
      </c>
    </row>
    <row r="365" spans="1:21" x14ac:dyDescent="0.15">
      <c r="A365" t="s">
        <v>162</v>
      </c>
      <c r="B365" t="s">
        <v>173</v>
      </c>
      <c r="C365" t="s">
        <v>165</v>
      </c>
      <c r="D365" s="9">
        <v>28</v>
      </c>
      <c r="E365" t="s">
        <v>74</v>
      </c>
      <c r="G365">
        <v>110.1</v>
      </c>
      <c r="H365">
        <v>110.2</v>
      </c>
      <c r="I365" t="s">
        <v>182</v>
      </c>
      <c r="K365">
        <f t="shared" si="10"/>
        <v>110.1</v>
      </c>
      <c r="L365">
        <f t="shared" si="11"/>
        <v>110.2</v>
      </c>
      <c r="M365" t="s">
        <v>143</v>
      </c>
      <c r="N365" t="s">
        <v>193</v>
      </c>
      <c r="O365" s="7">
        <v>44517</v>
      </c>
      <c r="P365" t="s">
        <v>145</v>
      </c>
      <c r="Q365">
        <v>70611</v>
      </c>
      <c r="R365" t="s">
        <v>196</v>
      </c>
      <c r="S365" t="s">
        <v>204</v>
      </c>
      <c r="T365">
        <v>175</v>
      </c>
      <c r="U365" t="s">
        <v>199</v>
      </c>
    </row>
    <row r="366" spans="1:21" x14ac:dyDescent="0.15">
      <c r="A366" t="s">
        <v>162</v>
      </c>
      <c r="B366" t="s">
        <v>173</v>
      </c>
      <c r="C366" t="s">
        <v>165</v>
      </c>
      <c r="D366" s="9">
        <v>28</v>
      </c>
      <c r="E366" t="s">
        <v>76</v>
      </c>
      <c r="F366" t="s">
        <v>83</v>
      </c>
      <c r="G366">
        <v>85.1</v>
      </c>
      <c r="H366">
        <v>85.2</v>
      </c>
      <c r="I366" t="s">
        <v>92</v>
      </c>
      <c r="K366">
        <f t="shared" si="10"/>
        <v>85.1</v>
      </c>
      <c r="L366">
        <f t="shared" si="11"/>
        <v>85.2</v>
      </c>
      <c r="M366" t="s">
        <v>143</v>
      </c>
      <c r="O366" s="7">
        <v>44517</v>
      </c>
      <c r="P366" t="s">
        <v>145</v>
      </c>
      <c r="Q366">
        <v>70611</v>
      </c>
      <c r="R366" t="s">
        <v>196</v>
      </c>
      <c r="S366">
        <v>48</v>
      </c>
      <c r="T366">
        <v>175</v>
      </c>
    </row>
    <row r="367" spans="1:21" x14ac:dyDescent="0.15">
      <c r="A367" t="s">
        <v>162</v>
      </c>
      <c r="B367" t="s">
        <v>173</v>
      </c>
      <c r="C367" t="s">
        <v>165</v>
      </c>
      <c r="D367" s="9">
        <v>28</v>
      </c>
      <c r="E367" t="s">
        <v>75</v>
      </c>
      <c r="G367">
        <v>62.1</v>
      </c>
      <c r="H367">
        <v>62.2</v>
      </c>
      <c r="I367" t="s">
        <v>183</v>
      </c>
      <c r="K367">
        <f t="shared" si="10"/>
        <v>62.1</v>
      </c>
      <c r="L367">
        <f t="shared" si="11"/>
        <v>62.2</v>
      </c>
      <c r="M367" t="s">
        <v>143</v>
      </c>
      <c r="O367" s="7">
        <v>44529</v>
      </c>
      <c r="P367" t="s">
        <v>145</v>
      </c>
      <c r="Q367">
        <v>70611</v>
      </c>
      <c r="R367" t="s">
        <v>196</v>
      </c>
      <c r="S367">
        <v>48</v>
      </c>
      <c r="T367">
        <v>175</v>
      </c>
    </row>
    <row r="368" spans="1:21" x14ac:dyDescent="0.15">
      <c r="A368" t="s">
        <v>162</v>
      </c>
      <c r="B368" t="s">
        <v>173</v>
      </c>
      <c r="C368" t="s">
        <v>165</v>
      </c>
      <c r="D368" s="9">
        <v>28</v>
      </c>
      <c r="E368" t="s">
        <v>75</v>
      </c>
      <c r="G368">
        <v>63.3</v>
      </c>
      <c r="H368">
        <v>63.4</v>
      </c>
      <c r="I368" t="s">
        <v>183</v>
      </c>
      <c r="K368">
        <f t="shared" si="10"/>
        <v>63.3</v>
      </c>
      <c r="L368">
        <f t="shared" si="11"/>
        <v>63.4</v>
      </c>
      <c r="M368" t="s">
        <v>143</v>
      </c>
      <c r="O368" s="7">
        <v>44529</v>
      </c>
      <c r="P368" t="s">
        <v>145</v>
      </c>
      <c r="Q368">
        <v>70611</v>
      </c>
      <c r="R368" t="s">
        <v>196</v>
      </c>
      <c r="S368">
        <v>48</v>
      </c>
      <c r="T368">
        <v>175</v>
      </c>
    </row>
    <row r="369" spans="1:21" x14ac:dyDescent="0.15">
      <c r="A369" t="s">
        <v>162</v>
      </c>
      <c r="B369" t="s">
        <v>173</v>
      </c>
      <c r="C369" t="s">
        <v>165</v>
      </c>
      <c r="D369" s="9">
        <v>28</v>
      </c>
      <c r="E369" t="s">
        <v>75</v>
      </c>
      <c r="G369">
        <v>80.400000000000006</v>
      </c>
      <c r="H369">
        <v>80.5</v>
      </c>
      <c r="I369" t="s">
        <v>183</v>
      </c>
      <c r="K369">
        <f t="shared" si="10"/>
        <v>80.400000000000006</v>
      </c>
      <c r="L369">
        <f t="shared" si="11"/>
        <v>80.5</v>
      </c>
      <c r="M369" t="s">
        <v>143</v>
      </c>
      <c r="O369" s="7">
        <v>44529</v>
      </c>
      <c r="P369" t="s">
        <v>145</v>
      </c>
      <c r="Q369">
        <v>70611</v>
      </c>
      <c r="R369" t="s">
        <v>196</v>
      </c>
      <c r="S369">
        <v>48</v>
      </c>
      <c r="T369">
        <v>175</v>
      </c>
    </row>
    <row r="370" spans="1:21" x14ac:dyDescent="0.15">
      <c r="A370" t="s">
        <v>162</v>
      </c>
      <c r="B370" t="s">
        <v>173</v>
      </c>
      <c r="C370" t="s">
        <v>165</v>
      </c>
      <c r="D370" s="9">
        <v>28</v>
      </c>
      <c r="E370" t="s">
        <v>75</v>
      </c>
      <c r="G370">
        <v>81.2</v>
      </c>
      <c r="H370">
        <v>81.3</v>
      </c>
      <c r="I370" t="s">
        <v>94</v>
      </c>
      <c r="K370">
        <f t="shared" si="10"/>
        <v>81.2</v>
      </c>
      <c r="L370">
        <f t="shared" si="11"/>
        <v>81.3</v>
      </c>
      <c r="M370" t="s">
        <v>143</v>
      </c>
      <c r="O370" s="7">
        <v>44529</v>
      </c>
      <c r="P370" t="s">
        <v>145</v>
      </c>
      <c r="Q370">
        <v>70611</v>
      </c>
      <c r="R370" t="s">
        <v>196</v>
      </c>
      <c r="S370">
        <v>48</v>
      </c>
      <c r="T370">
        <v>175</v>
      </c>
    </row>
    <row r="371" spans="1:21" x14ac:dyDescent="0.15">
      <c r="A371" t="s">
        <v>162</v>
      </c>
      <c r="B371" t="s">
        <v>173</v>
      </c>
      <c r="C371" t="s">
        <v>165</v>
      </c>
      <c r="D371" s="9">
        <v>28</v>
      </c>
      <c r="E371" t="s">
        <v>74</v>
      </c>
      <c r="G371">
        <v>63.2</v>
      </c>
      <c r="H371">
        <v>63.3</v>
      </c>
      <c r="I371" t="s">
        <v>180</v>
      </c>
      <c r="K371">
        <f t="shared" si="10"/>
        <v>63.2</v>
      </c>
      <c r="L371">
        <f t="shared" si="11"/>
        <v>63.3</v>
      </c>
      <c r="M371" t="s">
        <v>143</v>
      </c>
      <c r="O371" s="7">
        <v>44531</v>
      </c>
      <c r="P371" t="s">
        <v>145</v>
      </c>
      <c r="Q371">
        <v>70611</v>
      </c>
      <c r="R371" t="s">
        <v>196</v>
      </c>
      <c r="S371">
        <v>48</v>
      </c>
      <c r="T371">
        <v>175</v>
      </c>
    </row>
    <row r="372" spans="1:21" x14ac:dyDescent="0.15">
      <c r="A372" t="s">
        <v>162</v>
      </c>
      <c r="B372" t="s">
        <v>173</v>
      </c>
      <c r="C372" t="s">
        <v>165</v>
      </c>
      <c r="D372" s="9">
        <v>28</v>
      </c>
      <c r="E372" t="s">
        <v>74</v>
      </c>
      <c r="G372">
        <v>63.9</v>
      </c>
      <c r="H372">
        <v>64</v>
      </c>
      <c r="I372" t="s">
        <v>92</v>
      </c>
      <c r="K372">
        <f t="shared" si="10"/>
        <v>63.9</v>
      </c>
      <c r="L372">
        <f t="shared" si="11"/>
        <v>64</v>
      </c>
      <c r="M372" t="s">
        <v>143</v>
      </c>
      <c r="O372" s="7">
        <v>44531</v>
      </c>
      <c r="P372" t="s">
        <v>145</v>
      </c>
      <c r="Q372">
        <v>70611</v>
      </c>
      <c r="R372" t="s">
        <v>196</v>
      </c>
      <c r="S372">
        <v>48</v>
      </c>
      <c r="T372">
        <v>175</v>
      </c>
    </row>
    <row r="373" spans="1:21" x14ac:dyDescent="0.15">
      <c r="A373" t="s">
        <v>162</v>
      </c>
      <c r="B373" t="s">
        <v>173</v>
      </c>
      <c r="C373" t="s">
        <v>165</v>
      </c>
      <c r="D373" s="9">
        <v>28</v>
      </c>
      <c r="E373" t="s">
        <v>74</v>
      </c>
      <c r="G373">
        <v>73.400000000000006</v>
      </c>
      <c r="H373">
        <v>73.5</v>
      </c>
      <c r="I373" t="s">
        <v>180</v>
      </c>
      <c r="K373">
        <f t="shared" si="10"/>
        <v>73.400000000000006</v>
      </c>
      <c r="L373">
        <f t="shared" si="11"/>
        <v>73.5</v>
      </c>
      <c r="M373" t="s">
        <v>143</v>
      </c>
      <c r="O373" s="7">
        <v>44531</v>
      </c>
      <c r="P373" t="s">
        <v>145</v>
      </c>
      <c r="Q373">
        <v>70611</v>
      </c>
      <c r="R373" t="s">
        <v>196</v>
      </c>
      <c r="S373">
        <v>48</v>
      </c>
      <c r="T373">
        <v>175</v>
      </c>
    </row>
    <row r="374" spans="1:21" x14ac:dyDescent="0.15">
      <c r="A374" t="s">
        <v>162</v>
      </c>
      <c r="B374" t="s">
        <v>173</v>
      </c>
      <c r="C374" t="s">
        <v>165</v>
      </c>
      <c r="D374" s="9">
        <v>28</v>
      </c>
      <c r="E374" t="s">
        <v>75</v>
      </c>
      <c r="G374">
        <v>82.4</v>
      </c>
      <c r="H374">
        <v>82.5</v>
      </c>
      <c r="I374" t="s">
        <v>94</v>
      </c>
      <c r="K374">
        <f t="shared" si="10"/>
        <v>82.4</v>
      </c>
      <c r="L374">
        <f t="shared" si="11"/>
        <v>82.5</v>
      </c>
      <c r="M374" t="s">
        <v>143</v>
      </c>
      <c r="O374" s="7">
        <v>44531</v>
      </c>
      <c r="P374" t="s">
        <v>145</v>
      </c>
      <c r="Q374">
        <v>70611</v>
      </c>
      <c r="R374" t="s">
        <v>196</v>
      </c>
      <c r="S374">
        <v>48</v>
      </c>
      <c r="T374">
        <v>175</v>
      </c>
    </row>
    <row r="375" spans="1:21" x14ac:dyDescent="0.15">
      <c r="A375" t="s">
        <v>162</v>
      </c>
      <c r="B375" t="s">
        <v>173</v>
      </c>
      <c r="C375" t="s">
        <v>165</v>
      </c>
      <c r="D375" s="9">
        <v>28</v>
      </c>
      <c r="E375" t="s">
        <v>75</v>
      </c>
      <c r="G375">
        <v>83.6</v>
      </c>
      <c r="H375">
        <v>83.7</v>
      </c>
      <c r="I375" t="s">
        <v>94</v>
      </c>
      <c r="K375">
        <f t="shared" si="10"/>
        <v>83.6</v>
      </c>
      <c r="L375">
        <f t="shared" si="11"/>
        <v>83.7</v>
      </c>
      <c r="M375" t="s">
        <v>143</v>
      </c>
      <c r="O375" s="7">
        <v>44531</v>
      </c>
      <c r="P375" t="s">
        <v>145</v>
      </c>
      <c r="Q375">
        <v>70611</v>
      </c>
      <c r="R375" t="s">
        <v>196</v>
      </c>
      <c r="S375">
        <v>48</v>
      </c>
      <c r="T375">
        <v>175</v>
      </c>
    </row>
    <row r="376" spans="1:21" x14ac:dyDescent="0.15">
      <c r="A376" t="s">
        <v>162</v>
      </c>
      <c r="B376" t="s">
        <v>173</v>
      </c>
      <c r="C376" t="s">
        <v>165</v>
      </c>
      <c r="D376" s="9">
        <v>28</v>
      </c>
      <c r="E376" t="s">
        <v>75</v>
      </c>
      <c r="G376">
        <v>83.7</v>
      </c>
      <c r="H376">
        <v>83.8</v>
      </c>
      <c r="I376" t="s">
        <v>94</v>
      </c>
      <c r="K376">
        <f t="shared" si="10"/>
        <v>83.7</v>
      </c>
      <c r="L376">
        <f t="shared" si="11"/>
        <v>83.8</v>
      </c>
      <c r="M376" t="s">
        <v>143</v>
      </c>
      <c r="O376" s="7">
        <v>44531</v>
      </c>
      <c r="P376" t="s">
        <v>145</v>
      </c>
      <c r="Q376">
        <v>70611</v>
      </c>
      <c r="R376" t="s">
        <v>196</v>
      </c>
      <c r="S376">
        <v>48</v>
      </c>
      <c r="T376">
        <v>175</v>
      </c>
    </row>
    <row r="377" spans="1:21" x14ac:dyDescent="0.15">
      <c r="A377" t="s">
        <v>162</v>
      </c>
      <c r="B377" t="s">
        <v>173</v>
      </c>
      <c r="C377" t="s">
        <v>168</v>
      </c>
      <c r="D377" s="9">
        <v>1</v>
      </c>
      <c r="E377" t="s">
        <v>74</v>
      </c>
      <c r="G377">
        <v>51.1</v>
      </c>
      <c r="H377">
        <v>50.8</v>
      </c>
      <c r="I377" t="s">
        <v>180</v>
      </c>
      <c r="K377">
        <f t="shared" si="10"/>
        <v>50.8</v>
      </c>
      <c r="L377">
        <f t="shared" si="11"/>
        <v>51.1</v>
      </c>
      <c r="M377" t="s">
        <v>27</v>
      </c>
      <c r="O377" s="7">
        <v>44516</v>
      </c>
      <c r="P377" t="s">
        <v>195</v>
      </c>
      <c r="Q377" t="s">
        <v>202</v>
      </c>
      <c r="R377" t="s">
        <v>196</v>
      </c>
      <c r="S377" t="s">
        <v>205</v>
      </c>
      <c r="T377">
        <v>175</v>
      </c>
    </row>
    <row r="378" spans="1:21" x14ac:dyDescent="0.15">
      <c r="A378" t="s">
        <v>162</v>
      </c>
      <c r="B378" t="s">
        <v>173</v>
      </c>
      <c r="C378" t="s">
        <v>169</v>
      </c>
      <c r="D378" s="9">
        <v>1</v>
      </c>
      <c r="E378" t="s">
        <v>75</v>
      </c>
      <c r="G378">
        <v>53.07</v>
      </c>
      <c r="H378">
        <v>53.16</v>
      </c>
      <c r="I378" t="s">
        <v>94</v>
      </c>
      <c r="K378">
        <f t="shared" si="10"/>
        <v>53.07</v>
      </c>
      <c r="L378">
        <f t="shared" si="11"/>
        <v>53.16</v>
      </c>
      <c r="M378" t="s">
        <v>143</v>
      </c>
      <c r="O378" s="7">
        <v>44543</v>
      </c>
      <c r="P378" t="s">
        <v>145</v>
      </c>
      <c r="Q378">
        <v>70611</v>
      </c>
      <c r="R378" t="s">
        <v>196</v>
      </c>
      <c r="S378">
        <v>44</v>
      </c>
      <c r="T378">
        <v>175</v>
      </c>
      <c r="U378" t="s">
        <v>206</v>
      </c>
    </row>
    <row r="379" spans="1:21" x14ac:dyDescent="0.15">
      <c r="A379" t="s">
        <v>162</v>
      </c>
      <c r="B379" t="s">
        <v>173</v>
      </c>
      <c r="C379" t="s">
        <v>169</v>
      </c>
      <c r="D379" s="9">
        <v>1</v>
      </c>
      <c r="E379" t="s">
        <v>75</v>
      </c>
      <c r="G379">
        <v>53.8</v>
      </c>
      <c r="H379">
        <v>53.9</v>
      </c>
      <c r="I379" t="s">
        <v>94</v>
      </c>
      <c r="K379">
        <f t="shared" si="10"/>
        <v>53.8</v>
      </c>
      <c r="L379">
        <f t="shared" si="11"/>
        <v>53.9</v>
      </c>
      <c r="M379" t="s">
        <v>143</v>
      </c>
      <c r="O379" s="7">
        <v>44543</v>
      </c>
      <c r="P379" t="s">
        <v>145</v>
      </c>
      <c r="Q379">
        <v>70611</v>
      </c>
      <c r="R379" t="s">
        <v>196</v>
      </c>
      <c r="S379">
        <v>48</v>
      </c>
      <c r="T379">
        <v>175</v>
      </c>
      <c r="U379" t="s">
        <v>206</v>
      </c>
    </row>
    <row r="380" spans="1:21" x14ac:dyDescent="0.15">
      <c r="A380" t="s">
        <v>162</v>
      </c>
      <c r="B380" t="s">
        <v>173</v>
      </c>
      <c r="C380" t="s">
        <v>169</v>
      </c>
      <c r="D380" s="9">
        <v>1</v>
      </c>
      <c r="E380" t="s">
        <v>75</v>
      </c>
      <c r="G380">
        <v>53.875</v>
      </c>
      <c r="H380">
        <v>53.9</v>
      </c>
      <c r="I380" t="s">
        <v>184</v>
      </c>
      <c r="K380">
        <f t="shared" si="10"/>
        <v>53.875</v>
      </c>
      <c r="L380">
        <f t="shared" si="11"/>
        <v>53.9</v>
      </c>
      <c r="M380" t="s">
        <v>143</v>
      </c>
      <c r="O380" s="7">
        <v>44543</v>
      </c>
      <c r="P380" t="s">
        <v>145</v>
      </c>
      <c r="Q380">
        <v>70611</v>
      </c>
      <c r="R380" t="s">
        <v>196</v>
      </c>
      <c r="S380">
        <v>12</v>
      </c>
      <c r="T380">
        <v>175</v>
      </c>
      <c r="U380" t="s">
        <v>206</v>
      </c>
    </row>
    <row r="381" spans="1:21" x14ac:dyDescent="0.15">
      <c r="A381" t="s">
        <v>162</v>
      </c>
      <c r="B381" t="s">
        <v>173</v>
      </c>
      <c r="C381" t="s">
        <v>169</v>
      </c>
      <c r="D381" s="9">
        <v>1</v>
      </c>
      <c r="E381" t="s">
        <v>75</v>
      </c>
      <c r="G381">
        <v>54.46</v>
      </c>
      <c r="H381">
        <v>54.6</v>
      </c>
      <c r="I381" t="s">
        <v>96</v>
      </c>
      <c r="K381">
        <f t="shared" si="10"/>
        <v>54.46</v>
      </c>
      <c r="L381">
        <f t="shared" si="11"/>
        <v>54.6</v>
      </c>
      <c r="M381" t="s">
        <v>143</v>
      </c>
      <c r="O381" s="7">
        <v>44543</v>
      </c>
      <c r="P381" t="s">
        <v>145</v>
      </c>
      <c r="Q381">
        <v>70611</v>
      </c>
      <c r="R381" t="s">
        <v>196</v>
      </c>
      <c r="S381">
        <v>60</v>
      </c>
      <c r="T381">
        <v>175</v>
      </c>
      <c r="U381" t="s">
        <v>207</v>
      </c>
    </row>
    <row r="382" spans="1:21" x14ac:dyDescent="0.15">
      <c r="A382" t="s">
        <v>162</v>
      </c>
      <c r="B382" t="s">
        <v>173</v>
      </c>
      <c r="C382" t="s">
        <v>169</v>
      </c>
      <c r="D382" s="9">
        <v>1</v>
      </c>
      <c r="E382" t="s">
        <v>75</v>
      </c>
      <c r="G382">
        <v>50.274999999999999</v>
      </c>
      <c r="H382">
        <v>50.4</v>
      </c>
      <c r="I382" t="s">
        <v>94</v>
      </c>
      <c r="K382">
        <f t="shared" si="10"/>
        <v>50.274999999999999</v>
      </c>
      <c r="L382">
        <f t="shared" si="11"/>
        <v>50.4</v>
      </c>
      <c r="M382" t="s">
        <v>143</v>
      </c>
      <c r="O382" s="7">
        <v>44543</v>
      </c>
      <c r="P382" t="s">
        <v>145</v>
      </c>
      <c r="Q382">
        <v>70611</v>
      </c>
      <c r="R382" t="s">
        <v>196</v>
      </c>
      <c r="S382">
        <v>60</v>
      </c>
      <c r="T382">
        <v>175</v>
      </c>
      <c r="U382" t="s">
        <v>206</v>
      </c>
    </row>
    <row r="383" spans="1:21" x14ac:dyDescent="0.15">
      <c r="A383" t="s">
        <v>162</v>
      </c>
      <c r="B383" t="s">
        <v>173</v>
      </c>
      <c r="C383" t="s">
        <v>169</v>
      </c>
      <c r="D383" s="9">
        <v>1</v>
      </c>
      <c r="E383" t="s">
        <v>75</v>
      </c>
      <c r="G383">
        <v>51.1</v>
      </c>
      <c r="H383">
        <v>51.25</v>
      </c>
      <c r="I383" t="s">
        <v>185</v>
      </c>
      <c r="K383">
        <f t="shared" si="10"/>
        <v>51.1</v>
      </c>
      <c r="L383">
        <f t="shared" si="11"/>
        <v>51.25</v>
      </c>
      <c r="M383" t="s">
        <v>143</v>
      </c>
      <c r="O383" s="7">
        <v>44543</v>
      </c>
      <c r="P383" t="s">
        <v>145</v>
      </c>
      <c r="Q383">
        <v>70611</v>
      </c>
      <c r="R383" t="s">
        <v>196</v>
      </c>
      <c r="S383">
        <v>65</v>
      </c>
      <c r="T383">
        <v>175</v>
      </c>
      <c r="U383" t="s">
        <v>206</v>
      </c>
    </row>
    <row r="384" spans="1:21" x14ac:dyDescent="0.15">
      <c r="A384" t="s">
        <v>162</v>
      </c>
      <c r="B384" t="s">
        <v>173</v>
      </c>
      <c r="C384" t="s">
        <v>169</v>
      </c>
      <c r="D384" s="9">
        <v>1</v>
      </c>
      <c r="E384" t="s">
        <v>75</v>
      </c>
      <c r="G384">
        <v>51.4</v>
      </c>
      <c r="H384">
        <v>51.53</v>
      </c>
      <c r="I384" t="s">
        <v>185</v>
      </c>
      <c r="K384">
        <f t="shared" si="10"/>
        <v>51.4</v>
      </c>
      <c r="L384">
        <f t="shared" si="11"/>
        <v>51.53</v>
      </c>
      <c r="M384" t="s">
        <v>143</v>
      </c>
      <c r="O384" s="7">
        <v>44543</v>
      </c>
      <c r="P384" t="s">
        <v>145</v>
      </c>
      <c r="Q384">
        <v>70611</v>
      </c>
      <c r="R384" t="s">
        <v>196</v>
      </c>
      <c r="S384">
        <v>56</v>
      </c>
      <c r="T384">
        <v>175</v>
      </c>
      <c r="U384" t="s">
        <v>206</v>
      </c>
    </row>
    <row r="385" spans="1:21" x14ac:dyDescent="0.15">
      <c r="A385" t="s">
        <v>162</v>
      </c>
      <c r="B385" t="s">
        <v>173</v>
      </c>
      <c r="C385" t="s">
        <v>169</v>
      </c>
      <c r="D385" s="9">
        <v>1</v>
      </c>
      <c r="E385" t="s">
        <v>75</v>
      </c>
      <c r="G385">
        <v>51.6</v>
      </c>
      <c r="H385">
        <v>51.7</v>
      </c>
      <c r="I385" t="s">
        <v>94</v>
      </c>
      <c r="K385">
        <f t="shared" ref="K385:K448" si="12">MIN(G385:H385)</f>
        <v>51.6</v>
      </c>
      <c r="L385">
        <f t="shared" ref="L385:L448" si="13">MAX(G385:H385)</f>
        <v>51.7</v>
      </c>
      <c r="M385" t="s">
        <v>143</v>
      </c>
      <c r="O385" s="7">
        <v>44543</v>
      </c>
      <c r="P385" t="s">
        <v>145</v>
      </c>
      <c r="Q385">
        <v>70611</v>
      </c>
      <c r="R385" t="s">
        <v>196</v>
      </c>
      <c r="S385">
        <v>48</v>
      </c>
      <c r="T385">
        <v>175</v>
      </c>
      <c r="U385" t="s">
        <v>206</v>
      </c>
    </row>
    <row r="386" spans="1:21" x14ac:dyDescent="0.15">
      <c r="A386" t="s">
        <v>162</v>
      </c>
      <c r="B386" t="s">
        <v>173</v>
      </c>
      <c r="C386" t="s">
        <v>169</v>
      </c>
      <c r="D386" s="9">
        <v>1</v>
      </c>
      <c r="E386" t="s">
        <v>75</v>
      </c>
      <c r="G386">
        <v>51.75</v>
      </c>
      <c r="H386">
        <v>51.8</v>
      </c>
      <c r="I386" t="s">
        <v>98</v>
      </c>
      <c r="K386">
        <f t="shared" si="12"/>
        <v>51.75</v>
      </c>
      <c r="L386">
        <f t="shared" si="13"/>
        <v>51.8</v>
      </c>
      <c r="M386" t="s">
        <v>143</v>
      </c>
      <c r="O386" s="7">
        <v>44543</v>
      </c>
      <c r="P386" t="s">
        <v>145</v>
      </c>
      <c r="Q386">
        <v>70611</v>
      </c>
      <c r="R386" t="s">
        <v>196</v>
      </c>
      <c r="S386">
        <v>43</v>
      </c>
      <c r="T386">
        <v>175</v>
      </c>
      <c r="U386" t="s">
        <v>206</v>
      </c>
    </row>
    <row r="387" spans="1:21" x14ac:dyDescent="0.15">
      <c r="A387" t="s">
        <v>162</v>
      </c>
      <c r="B387" t="s">
        <v>173</v>
      </c>
      <c r="C387" t="s">
        <v>169</v>
      </c>
      <c r="D387" s="9">
        <v>1</v>
      </c>
      <c r="E387" t="s">
        <v>75</v>
      </c>
      <c r="G387">
        <v>51.75</v>
      </c>
      <c r="H387">
        <v>51.8</v>
      </c>
      <c r="I387" t="s">
        <v>185</v>
      </c>
      <c r="K387">
        <f t="shared" si="12"/>
        <v>51.75</v>
      </c>
      <c r="L387">
        <f t="shared" si="13"/>
        <v>51.8</v>
      </c>
      <c r="M387" t="s">
        <v>143</v>
      </c>
      <c r="O387" s="7">
        <v>44543</v>
      </c>
      <c r="P387" t="s">
        <v>145</v>
      </c>
      <c r="Q387">
        <v>70611</v>
      </c>
      <c r="R387" t="s">
        <v>196</v>
      </c>
      <c r="S387">
        <v>43</v>
      </c>
      <c r="T387">
        <v>175</v>
      </c>
      <c r="U387" t="s">
        <v>206</v>
      </c>
    </row>
    <row r="388" spans="1:21" x14ac:dyDescent="0.15">
      <c r="A388" t="s">
        <v>162</v>
      </c>
      <c r="B388" t="s">
        <v>173</v>
      </c>
      <c r="C388" t="s">
        <v>169</v>
      </c>
      <c r="D388" s="9">
        <v>1</v>
      </c>
      <c r="E388" t="s">
        <v>75</v>
      </c>
      <c r="G388">
        <v>53.1</v>
      </c>
      <c r="H388">
        <v>53.16</v>
      </c>
      <c r="I388" t="s">
        <v>98</v>
      </c>
      <c r="K388">
        <f t="shared" si="12"/>
        <v>53.1</v>
      </c>
      <c r="L388">
        <f t="shared" si="13"/>
        <v>53.16</v>
      </c>
      <c r="M388" t="s">
        <v>143</v>
      </c>
      <c r="O388" s="7">
        <v>44543</v>
      </c>
      <c r="P388" t="s">
        <v>145</v>
      </c>
      <c r="Q388">
        <v>70611</v>
      </c>
      <c r="R388" t="s">
        <v>196</v>
      </c>
      <c r="S388">
        <v>22</v>
      </c>
      <c r="T388">
        <v>175</v>
      </c>
      <c r="U388" t="s">
        <v>206</v>
      </c>
    </row>
    <row r="389" spans="1:21" x14ac:dyDescent="0.15">
      <c r="A389" t="s">
        <v>162</v>
      </c>
      <c r="B389" t="s">
        <v>173</v>
      </c>
      <c r="C389" t="s">
        <v>169</v>
      </c>
      <c r="D389" s="9">
        <v>1</v>
      </c>
      <c r="E389" t="s">
        <v>75</v>
      </c>
      <c r="G389">
        <v>70.2</v>
      </c>
      <c r="H389">
        <v>70.400000000000006</v>
      </c>
      <c r="I389" t="s">
        <v>96</v>
      </c>
      <c r="K389">
        <f t="shared" si="12"/>
        <v>70.2</v>
      </c>
      <c r="L389">
        <f t="shared" si="13"/>
        <v>70.400000000000006</v>
      </c>
      <c r="M389" t="s">
        <v>143</v>
      </c>
      <c r="O389" s="7">
        <v>44540</v>
      </c>
      <c r="P389" t="s">
        <v>145</v>
      </c>
      <c r="Q389">
        <v>70611</v>
      </c>
      <c r="R389" t="s">
        <v>196</v>
      </c>
      <c r="S389">
        <v>96</v>
      </c>
      <c r="T389">
        <v>175</v>
      </c>
      <c r="U389" t="s">
        <v>207</v>
      </c>
    </row>
    <row r="390" spans="1:21" x14ac:dyDescent="0.15">
      <c r="A390" t="s">
        <v>162</v>
      </c>
      <c r="B390" t="s">
        <v>173</v>
      </c>
      <c r="C390" t="s">
        <v>169</v>
      </c>
      <c r="D390" s="9">
        <v>1</v>
      </c>
      <c r="E390" t="s">
        <v>75</v>
      </c>
      <c r="G390">
        <v>55.1</v>
      </c>
      <c r="H390">
        <v>55.23</v>
      </c>
      <c r="I390" t="s">
        <v>94</v>
      </c>
      <c r="K390">
        <f t="shared" si="12"/>
        <v>55.1</v>
      </c>
      <c r="L390">
        <f t="shared" si="13"/>
        <v>55.23</v>
      </c>
      <c r="M390" t="s">
        <v>143</v>
      </c>
      <c r="O390" s="7">
        <v>44540</v>
      </c>
      <c r="P390" t="s">
        <v>145</v>
      </c>
      <c r="Q390">
        <v>70611</v>
      </c>
      <c r="R390" t="s">
        <v>196</v>
      </c>
      <c r="S390">
        <v>63</v>
      </c>
      <c r="T390">
        <v>175</v>
      </c>
      <c r="U390" t="s">
        <v>207</v>
      </c>
    </row>
    <row r="391" spans="1:21" x14ac:dyDescent="0.15">
      <c r="A391" t="s">
        <v>162</v>
      </c>
      <c r="B391" t="s">
        <v>173</v>
      </c>
      <c r="C391" t="s">
        <v>169</v>
      </c>
      <c r="D391" s="9">
        <v>1</v>
      </c>
      <c r="E391" t="s">
        <v>75</v>
      </c>
      <c r="G391">
        <v>55.215000000000003</v>
      </c>
      <c r="H391">
        <v>55.24</v>
      </c>
      <c r="I391" t="s">
        <v>96</v>
      </c>
      <c r="K391">
        <f t="shared" si="12"/>
        <v>55.215000000000003</v>
      </c>
      <c r="L391">
        <f t="shared" si="13"/>
        <v>55.24</v>
      </c>
      <c r="M391" t="s">
        <v>143</v>
      </c>
      <c r="O391" s="7">
        <v>44540</v>
      </c>
      <c r="P391" t="s">
        <v>145</v>
      </c>
      <c r="Q391">
        <v>70611</v>
      </c>
      <c r="R391" t="s">
        <v>196</v>
      </c>
      <c r="S391">
        <v>13</v>
      </c>
      <c r="T391">
        <v>175</v>
      </c>
      <c r="U391" t="s">
        <v>207</v>
      </c>
    </row>
    <row r="392" spans="1:21" x14ac:dyDescent="0.15">
      <c r="A392" t="s">
        <v>162</v>
      </c>
      <c r="B392" t="s">
        <v>173</v>
      </c>
      <c r="C392" t="s">
        <v>169</v>
      </c>
      <c r="D392" s="9">
        <v>1</v>
      </c>
      <c r="E392" t="s">
        <v>75</v>
      </c>
      <c r="G392">
        <v>55.23</v>
      </c>
      <c r="H392">
        <v>55.39</v>
      </c>
      <c r="I392" t="s">
        <v>94</v>
      </c>
      <c r="K392">
        <f t="shared" si="12"/>
        <v>55.23</v>
      </c>
      <c r="L392">
        <f t="shared" si="13"/>
        <v>55.39</v>
      </c>
      <c r="M392" t="s">
        <v>143</v>
      </c>
      <c r="O392" s="7">
        <v>44540</v>
      </c>
      <c r="P392" t="s">
        <v>145</v>
      </c>
      <c r="Q392">
        <v>70611</v>
      </c>
      <c r="R392" t="s">
        <v>196</v>
      </c>
      <c r="S392">
        <v>77</v>
      </c>
      <c r="T392">
        <v>175</v>
      </c>
      <c r="U392" t="s">
        <v>207</v>
      </c>
    </row>
    <row r="393" spans="1:21" x14ac:dyDescent="0.15">
      <c r="A393" t="s">
        <v>162</v>
      </c>
      <c r="B393" t="s">
        <v>173</v>
      </c>
      <c r="C393" t="s">
        <v>169</v>
      </c>
      <c r="D393" s="9">
        <v>1</v>
      </c>
      <c r="E393" t="s">
        <v>75</v>
      </c>
      <c r="G393">
        <v>55.875</v>
      </c>
      <c r="H393">
        <v>56.15</v>
      </c>
      <c r="I393" t="s">
        <v>98</v>
      </c>
      <c r="K393">
        <f t="shared" si="12"/>
        <v>55.875</v>
      </c>
      <c r="L393">
        <f t="shared" si="13"/>
        <v>56.15</v>
      </c>
      <c r="M393" t="s">
        <v>143</v>
      </c>
      <c r="O393" s="7">
        <v>44540</v>
      </c>
      <c r="P393" t="s">
        <v>145</v>
      </c>
      <c r="Q393">
        <v>70611</v>
      </c>
      <c r="R393" t="s">
        <v>196</v>
      </c>
      <c r="S393">
        <v>118</v>
      </c>
      <c r="T393">
        <v>175</v>
      </c>
      <c r="U393" t="s">
        <v>207</v>
      </c>
    </row>
    <row r="394" spans="1:21" x14ac:dyDescent="0.15">
      <c r="A394" t="s">
        <v>162</v>
      </c>
      <c r="B394" t="s">
        <v>173</v>
      </c>
      <c r="C394" t="s">
        <v>169</v>
      </c>
      <c r="D394" s="9">
        <v>1</v>
      </c>
      <c r="E394" t="s">
        <v>75</v>
      </c>
      <c r="G394">
        <v>56.325000000000003</v>
      </c>
      <c r="H394">
        <v>56.35</v>
      </c>
      <c r="I394" t="s">
        <v>94</v>
      </c>
      <c r="K394">
        <f t="shared" si="12"/>
        <v>56.325000000000003</v>
      </c>
      <c r="L394">
        <f t="shared" si="13"/>
        <v>56.35</v>
      </c>
      <c r="M394" t="s">
        <v>143</v>
      </c>
      <c r="O394" s="7">
        <v>44540</v>
      </c>
      <c r="P394" t="s">
        <v>145</v>
      </c>
      <c r="Q394">
        <v>70611</v>
      </c>
      <c r="R394" t="s">
        <v>196</v>
      </c>
      <c r="S394">
        <v>12</v>
      </c>
      <c r="T394">
        <v>175</v>
      </c>
      <c r="U394" t="s">
        <v>207</v>
      </c>
    </row>
    <row r="395" spans="1:21" x14ac:dyDescent="0.15">
      <c r="A395" t="s">
        <v>162</v>
      </c>
      <c r="B395" t="s">
        <v>173</v>
      </c>
      <c r="C395" t="s">
        <v>169</v>
      </c>
      <c r="D395" s="9">
        <v>1</v>
      </c>
      <c r="E395" t="s">
        <v>75</v>
      </c>
      <c r="G395">
        <v>56.6</v>
      </c>
      <c r="H395">
        <v>56.774999999999999</v>
      </c>
      <c r="I395" t="s">
        <v>96</v>
      </c>
      <c r="K395">
        <f t="shared" si="12"/>
        <v>56.6</v>
      </c>
      <c r="L395">
        <f t="shared" si="13"/>
        <v>56.774999999999999</v>
      </c>
      <c r="M395" t="s">
        <v>143</v>
      </c>
      <c r="O395" s="7">
        <v>44540</v>
      </c>
      <c r="P395" t="s">
        <v>145</v>
      </c>
      <c r="Q395">
        <v>70611</v>
      </c>
      <c r="R395" t="s">
        <v>196</v>
      </c>
      <c r="S395">
        <v>85</v>
      </c>
      <c r="T395">
        <v>175</v>
      </c>
      <c r="U395" t="s">
        <v>207</v>
      </c>
    </row>
    <row r="396" spans="1:21" x14ac:dyDescent="0.15">
      <c r="A396" t="s">
        <v>162</v>
      </c>
      <c r="B396" t="s">
        <v>173</v>
      </c>
      <c r="C396" t="s">
        <v>169</v>
      </c>
      <c r="D396" s="9">
        <v>1</v>
      </c>
      <c r="E396" t="s">
        <v>75</v>
      </c>
      <c r="G396">
        <v>56.774999999999999</v>
      </c>
      <c r="H396">
        <v>56.85</v>
      </c>
      <c r="I396" t="s">
        <v>94</v>
      </c>
      <c r="K396">
        <f t="shared" si="12"/>
        <v>56.774999999999999</v>
      </c>
      <c r="L396">
        <f t="shared" si="13"/>
        <v>56.85</v>
      </c>
      <c r="M396" t="s">
        <v>143</v>
      </c>
      <c r="O396" s="7">
        <v>44540</v>
      </c>
      <c r="P396" t="s">
        <v>145</v>
      </c>
      <c r="Q396">
        <v>70611</v>
      </c>
      <c r="R396" t="s">
        <v>196</v>
      </c>
      <c r="S396">
        <v>68</v>
      </c>
      <c r="T396">
        <v>175</v>
      </c>
      <c r="U396" t="s">
        <v>207</v>
      </c>
    </row>
    <row r="397" spans="1:21" x14ac:dyDescent="0.15">
      <c r="A397" t="s">
        <v>162</v>
      </c>
      <c r="B397" t="s">
        <v>173</v>
      </c>
      <c r="C397" t="s">
        <v>169</v>
      </c>
      <c r="D397" s="9">
        <v>1</v>
      </c>
      <c r="E397" t="s">
        <v>75</v>
      </c>
      <c r="G397">
        <v>56.774999999999999</v>
      </c>
      <c r="H397">
        <v>56.85</v>
      </c>
      <c r="I397" t="s">
        <v>22</v>
      </c>
      <c r="K397">
        <f t="shared" si="12"/>
        <v>56.774999999999999</v>
      </c>
      <c r="L397">
        <f t="shared" si="13"/>
        <v>56.85</v>
      </c>
      <c r="M397" t="s">
        <v>143</v>
      </c>
      <c r="O397" s="7">
        <v>44540</v>
      </c>
      <c r="P397" t="s">
        <v>145</v>
      </c>
      <c r="Q397">
        <v>70611</v>
      </c>
      <c r="R397" t="s">
        <v>196</v>
      </c>
      <c r="S397">
        <v>68</v>
      </c>
      <c r="T397">
        <v>175</v>
      </c>
      <c r="U397" t="s">
        <v>207</v>
      </c>
    </row>
    <row r="398" spans="1:21" x14ac:dyDescent="0.15">
      <c r="A398" t="s">
        <v>162</v>
      </c>
      <c r="B398" t="s">
        <v>173</v>
      </c>
      <c r="C398" t="s">
        <v>169</v>
      </c>
      <c r="D398" s="9">
        <v>1</v>
      </c>
      <c r="E398" t="s">
        <v>75</v>
      </c>
      <c r="G398">
        <v>57</v>
      </c>
      <c r="H398">
        <v>57.05</v>
      </c>
      <c r="I398" t="s">
        <v>94</v>
      </c>
      <c r="K398">
        <f t="shared" si="12"/>
        <v>57</v>
      </c>
      <c r="L398">
        <f t="shared" si="13"/>
        <v>57.05</v>
      </c>
      <c r="M398" t="s">
        <v>143</v>
      </c>
      <c r="O398" s="7">
        <v>44540</v>
      </c>
      <c r="P398" t="s">
        <v>145</v>
      </c>
      <c r="Q398">
        <v>70611</v>
      </c>
      <c r="R398" t="s">
        <v>196</v>
      </c>
      <c r="S398">
        <v>24</v>
      </c>
      <c r="T398">
        <v>175</v>
      </c>
      <c r="U398" t="s">
        <v>207</v>
      </c>
    </row>
    <row r="399" spans="1:21" x14ac:dyDescent="0.15">
      <c r="A399" t="s">
        <v>162</v>
      </c>
      <c r="B399" t="s">
        <v>173</v>
      </c>
      <c r="C399" t="s">
        <v>169</v>
      </c>
      <c r="D399" s="9">
        <v>1</v>
      </c>
      <c r="E399" t="s">
        <v>75</v>
      </c>
      <c r="G399">
        <v>57.274999999999999</v>
      </c>
      <c r="H399">
        <v>57.3</v>
      </c>
      <c r="I399" t="s">
        <v>94</v>
      </c>
      <c r="K399">
        <f t="shared" si="12"/>
        <v>57.274999999999999</v>
      </c>
      <c r="L399">
        <f t="shared" si="13"/>
        <v>57.3</v>
      </c>
      <c r="M399" t="s">
        <v>143</v>
      </c>
      <c r="O399" s="7">
        <v>44540</v>
      </c>
      <c r="P399" t="s">
        <v>145</v>
      </c>
      <c r="Q399">
        <v>70611</v>
      </c>
      <c r="R399" t="s">
        <v>196</v>
      </c>
      <c r="S399">
        <v>12</v>
      </c>
      <c r="T399">
        <v>175</v>
      </c>
      <c r="U399" t="s">
        <v>207</v>
      </c>
    </row>
    <row r="400" spans="1:21" x14ac:dyDescent="0.15">
      <c r="A400" t="s">
        <v>162</v>
      </c>
      <c r="B400" t="s">
        <v>173</v>
      </c>
      <c r="C400" t="s">
        <v>169</v>
      </c>
      <c r="D400" s="9">
        <v>1</v>
      </c>
      <c r="E400" t="s">
        <v>75</v>
      </c>
      <c r="G400">
        <v>57.414999999999999</v>
      </c>
      <c r="H400">
        <v>57.45</v>
      </c>
      <c r="I400" t="s">
        <v>94</v>
      </c>
      <c r="K400">
        <f t="shared" si="12"/>
        <v>57.414999999999999</v>
      </c>
      <c r="L400">
        <f t="shared" si="13"/>
        <v>57.45</v>
      </c>
      <c r="M400" t="s">
        <v>143</v>
      </c>
      <c r="O400" s="7">
        <v>44540</v>
      </c>
      <c r="P400" t="s">
        <v>145</v>
      </c>
      <c r="Q400">
        <v>70611</v>
      </c>
      <c r="R400" t="s">
        <v>196</v>
      </c>
      <c r="S400">
        <v>17</v>
      </c>
      <c r="T400">
        <v>175</v>
      </c>
      <c r="U400" t="s">
        <v>207</v>
      </c>
    </row>
    <row r="401" spans="1:21" x14ac:dyDescent="0.15">
      <c r="A401" t="s">
        <v>162</v>
      </c>
      <c r="B401" t="s">
        <v>173</v>
      </c>
      <c r="C401" t="s">
        <v>169</v>
      </c>
      <c r="D401" s="9">
        <v>1</v>
      </c>
      <c r="E401" t="s">
        <v>75</v>
      </c>
      <c r="G401">
        <v>57.45</v>
      </c>
      <c r="H401">
        <v>57.475000000000001</v>
      </c>
      <c r="I401" t="s">
        <v>96</v>
      </c>
      <c r="K401">
        <f t="shared" si="12"/>
        <v>57.45</v>
      </c>
      <c r="L401">
        <f t="shared" si="13"/>
        <v>57.475000000000001</v>
      </c>
      <c r="M401" t="s">
        <v>143</v>
      </c>
      <c r="O401" s="7">
        <v>44540</v>
      </c>
      <c r="P401" t="s">
        <v>145</v>
      </c>
      <c r="Q401">
        <v>70611</v>
      </c>
      <c r="R401" t="s">
        <v>196</v>
      </c>
      <c r="S401">
        <v>13</v>
      </c>
      <c r="T401">
        <v>175</v>
      </c>
      <c r="U401" t="s">
        <v>207</v>
      </c>
    </row>
    <row r="402" spans="1:21" x14ac:dyDescent="0.15">
      <c r="A402" t="s">
        <v>162</v>
      </c>
      <c r="B402" t="s">
        <v>173</v>
      </c>
      <c r="C402" t="s">
        <v>169</v>
      </c>
      <c r="D402" s="9">
        <v>1</v>
      </c>
      <c r="E402" t="s">
        <v>75</v>
      </c>
      <c r="G402">
        <v>61.75</v>
      </c>
      <c r="H402">
        <v>61.8</v>
      </c>
      <c r="I402" t="s">
        <v>94</v>
      </c>
      <c r="K402">
        <f t="shared" si="12"/>
        <v>61.75</v>
      </c>
      <c r="L402">
        <f t="shared" si="13"/>
        <v>61.8</v>
      </c>
      <c r="M402" t="s">
        <v>143</v>
      </c>
      <c r="O402" s="7">
        <v>44540</v>
      </c>
      <c r="P402" t="s">
        <v>145</v>
      </c>
      <c r="Q402">
        <v>70611</v>
      </c>
      <c r="R402" t="s">
        <v>196</v>
      </c>
      <c r="S402">
        <v>32</v>
      </c>
      <c r="T402">
        <v>175</v>
      </c>
      <c r="U402" t="s">
        <v>207</v>
      </c>
    </row>
    <row r="403" spans="1:21" x14ac:dyDescent="0.15">
      <c r="A403" t="s">
        <v>162</v>
      </c>
      <c r="B403" t="s">
        <v>173</v>
      </c>
      <c r="C403" t="s">
        <v>169</v>
      </c>
      <c r="D403" s="9">
        <v>1</v>
      </c>
      <c r="E403" t="s">
        <v>75</v>
      </c>
      <c r="G403">
        <v>61.75</v>
      </c>
      <c r="H403">
        <v>61.8</v>
      </c>
      <c r="I403" t="s">
        <v>98</v>
      </c>
      <c r="K403">
        <f t="shared" si="12"/>
        <v>61.75</v>
      </c>
      <c r="L403">
        <f t="shared" si="13"/>
        <v>61.8</v>
      </c>
      <c r="M403" t="s">
        <v>143</v>
      </c>
      <c r="O403" s="7">
        <v>44540</v>
      </c>
      <c r="P403" t="s">
        <v>145</v>
      </c>
      <c r="Q403">
        <v>70611</v>
      </c>
      <c r="R403" t="s">
        <v>196</v>
      </c>
      <c r="S403">
        <v>32</v>
      </c>
      <c r="T403">
        <v>175</v>
      </c>
      <c r="U403" t="s">
        <v>207</v>
      </c>
    </row>
    <row r="404" spans="1:21" x14ac:dyDescent="0.15">
      <c r="A404" t="s">
        <v>162</v>
      </c>
      <c r="B404" t="s">
        <v>173</v>
      </c>
      <c r="C404" t="s">
        <v>169</v>
      </c>
      <c r="D404" s="9">
        <v>1</v>
      </c>
      <c r="E404" t="s">
        <v>75</v>
      </c>
      <c r="G404">
        <v>62.25</v>
      </c>
      <c r="H404">
        <v>62.3</v>
      </c>
      <c r="I404" t="s">
        <v>94</v>
      </c>
      <c r="K404">
        <f t="shared" si="12"/>
        <v>62.25</v>
      </c>
      <c r="L404">
        <f t="shared" si="13"/>
        <v>62.3</v>
      </c>
      <c r="M404" t="s">
        <v>143</v>
      </c>
      <c r="O404" s="7">
        <v>44540</v>
      </c>
      <c r="P404" t="s">
        <v>145</v>
      </c>
      <c r="Q404">
        <v>70611</v>
      </c>
      <c r="R404" t="s">
        <v>196</v>
      </c>
      <c r="S404">
        <v>24</v>
      </c>
      <c r="T404">
        <v>175</v>
      </c>
      <c r="U404" t="s">
        <v>207</v>
      </c>
    </row>
    <row r="405" spans="1:21" x14ac:dyDescent="0.15">
      <c r="A405" t="s">
        <v>162</v>
      </c>
      <c r="B405" t="s">
        <v>173</v>
      </c>
      <c r="C405" t="s">
        <v>169</v>
      </c>
      <c r="D405" s="9">
        <v>1</v>
      </c>
      <c r="E405" t="s">
        <v>75</v>
      </c>
      <c r="G405">
        <v>63.8</v>
      </c>
      <c r="H405">
        <v>63.924999999999997</v>
      </c>
      <c r="I405" t="s">
        <v>94</v>
      </c>
      <c r="K405">
        <f t="shared" si="12"/>
        <v>63.8</v>
      </c>
      <c r="L405">
        <f t="shared" si="13"/>
        <v>63.924999999999997</v>
      </c>
      <c r="M405" t="s">
        <v>143</v>
      </c>
      <c r="O405" s="7">
        <v>44540</v>
      </c>
      <c r="P405" t="s">
        <v>145</v>
      </c>
      <c r="Q405">
        <v>70611</v>
      </c>
      <c r="R405" t="s">
        <v>196</v>
      </c>
      <c r="S405">
        <v>60</v>
      </c>
      <c r="T405">
        <v>175</v>
      </c>
      <c r="U405" t="s">
        <v>207</v>
      </c>
    </row>
    <row r="406" spans="1:21" x14ac:dyDescent="0.15">
      <c r="A406" t="s">
        <v>162</v>
      </c>
      <c r="B406" t="s">
        <v>173</v>
      </c>
      <c r="C406" t="s">
        <v>169</v>
      </c>
      <c r="D406" s="9">
        <v>1</v>
      </c>
      <c r="E406" t="s">
        <v>76</v>
      </c>
      <c r="F406" t="s">
        <v>82</v>
      </c>
      <c r="G406">
        <v>63.975000000000001</v>
      </c>
      <c r="H406">
        <v>64.3</v>
      </c>
      <c r="I406" t="s">
        <v>96</v>
      </c>
      <c r="K406">
        <f t="shared" si="12"/>
        <v>63.975000000000001</v>
      </c>
      <c r="L406">
        <f t="shared" si="13"/>
        <v>64.3</v>
      </c>
      <c r="M406" t="s">
        <v>28</v>
      </c>
      <c r="O406" s="7">
        <v>44540</v>
      </c>
      <c r="P406" t="s">
        <v>194</v>
      </c>
      <c r="Q406">
        <v>50405</v>
      </c>
      <c r="R406" t="s">
        <v>196</v>
      </c>
      <c r="S406">
        <v>194</v>
      </c>
      <c r="T406">
        <v>175</v>
      </c>
      <c r="U406" t="s">
        <v>207</v>
      </c>
    </row>
    <row r="407" spans="1:21" x14ac:dyDescent="0.15">
      <c r="A407" t="s">
        <v>162</v>
      </c>
      <c r="B407" t="s">
        <v>173</v>
      </c>
      <c r="C407" t="s">
        <v>169</v>
      </c>
      <c r="D407" s="9">
        <v>1</v>
      </c>
      <c r="E407" t="s">
        <v>75</v>
      </c>
      <c r="G407">
        <v>64.256</v>
      </c>
      <c r="H407">
        <v>64.296999999999997</v>
      </c>
      <c r="I407" t="s">
        <v>94</v>
      </c>
      <c r="K407">
        <f t="shared" si="12"/>
        <v>64.256</v>
      </c>
      <c r="L407">
        <f t="shared" si="13"/>
        <v>64.296999999999997</v>
      </c>
      <c r="M407" t="s">
        <v>143</v>
      </c>
      <c r="O407" s="7">
        <v>44540</v>
      </c>
      <c r="P407" t="s">
        <v>145</v>
      </c>
      <c r="Q407">
        <v>70611</v>
      </c>
      <c r="R407" t="s">
        <v>196</v>
      </c>
      <c r="S407">
        <v>37</v>
      </c>
      <c r="T407">
        <v>175</v>
      </c>
      <c r="U407" t="s">
        <v>207</v>
      </c>
    </row>
    <row r="408" spans="1:21" x14ac:dyDescent="0.15">
      <c r="A408" t="s">
        <v>162</v>
      </c>
      <c r="B408" t="s">
        <v>173</v>
      </c>
      <c r="C408" t="s">
        <v>169</v>
      </c>
      <c r="D408" s="9">
        <v>1</v>
      </c>
      <c r="E408" t="s">
        <v>75</v>
      </c>
      <c r="G408">
        <v>64.256</v>
      </c>
      <c r="H408">
        <v>64.296999999999997</v>
      </c>
      <c r="I408" t="s">
        <v>22</v>
      </c>
      <c r="K408">
        <f t="shared" si="12"/>
        <v>64.256</v>
      </c>
      <c r="L408">
        <f t="shared" si="13"/>
        <v>64.296999999999997</v>
      </c>
      <c r="M408" t="s">
        <v>143</v>
      </c>
      <c r="O408" s="7">
        <v>44540</v>
      </c>
      <c r="P408" t="s">
        <v>145</v>
      </c>
      <c r="Q408">
        <v>70611</v>
      </c>
      <c r="R408" t="s">
        <v>196</v>
      </c>
      <c r="S408">
        <v>37</v>
      </c>
      <c r="T408">
        <v>175</v>
      </c>
      <c r="U408" t="s">
        <v>207</v>
      </c>
    </row>
    <row r="409" spans="1:21" x14ac:dyDescent="0.15">
      <c r="A409" t="s">
        <v>162</v>
      </c>
      <c r="B409" t="s">
        <v>173</v>
      </c>
      <c r="C409" t="s">
        <v>169</v>
      </c>
      <c r="D409" s="9">
        <v>1</v>
      </c>
      <c r="E409" t="s">
        <v>75</v>
      </c>
      <c r="G409">
        <v>64.724999999999994</v>
      </c>
      <c r="H409">
        <v>64.849999999999994</v>
      </c>
      <c r="I409" t="s">
        <v>94</v>
      </c>
      <c r="K409">
        <f t="shared" si="12"/>
        <v>64.724999999999994</v>
      </c>
      <c r="L409">
        <f t="shared" si="13"/>
        <v>64.849999999999994</v>
      </c>
      <c r="M409" t="s">
        <v>143</v>
      </c>
      <c r="O409" s="7">
        <v>44540</v>
      </c>
      <c r="P409" t="s">
        <v>145</v>
      </c>
      <c r="Q409">
        <v>70611</v>
      </c>
      <c r="R409" t="s">
        <v>196</v>
      </c>
      <c r="S409">
        <v>60</v>
      </c>
      <c r="T409">
        <v>175</v>
      </c>
      <c r="U409" t="s">
        <v>207</v>
      </c>
    </row>
    <row r="410" spans="1:21" x14ac:dyDescent="0.15">
      <c r="A410" t="s">
        <v>162</v>
      </c>
      <c r="B410" t="s">
        <v>173</v>
      </c>
      <c r="C410" t="s">
        <v>169</v>
      </c>
      <c r="D410" s="9">
        <v>1</v>
      </c>
      <c r="E410" t="s">
        <v>75</v>
      </c>
      <c r="G410">
        <v>65.349999999999994</v>
      </c>
      <c r="H410">
        <v>66</v>
      </c>
      <c r="I410" t="s">
        <v>94</v>
      </c>
      <c r="K410">
        <f t="shared" si="12"/>
        <v>65.349999999999994</v>
      </c>
      <c r="L410">
        <f t="shared" si="13"/>
        <v>66</v>
      </c>
      <c r="M410" t="s">
        <v>143</v>
      </c>
      <c r="O410" s="7">
        <v>44540</v>
      </c>
      <c r="P410" t="s">
        <v>145</v>
      </c>
      <c r="Q410">
        <v>70611</v>
      </c>
      <c r="R410" t="s">
        <v>196</v>
      </c>
      <c r="S410">
        <v>315</v>
      </c>
      <c r="T410">
        <v>175</v>
      </c>
      <c r="U410" t="s">
        <v>207</v>
      </c>
    </row>
    <row r="411" spans="1:21" x14ac:dyDescent="0.15">
      <c r="A411" t="s">
        <v>162</v>
      </c>
      <c r="B411" t="s">
        <v>173</v>
      </c>
      <c r="C411" t="s">
        <v>169</v>
      </c>
      <c r="D411" s="9">
        <v>1</v>
      </c>
      <c r="E411" t="s">
        <v>75</v>
      </c>
      <c r="G411">
        <v>66.25</v>
      </c>
      <c r="H411">
        <v>66.400000000000006</v>
      </c>
      <c r="I411" t="s">
        <v>94</v>
      </c>
      <c r="K411">
        <f t="shared" si="12"/>
        <v>66.25</v>
      </c>
      <c r="L411">
        <f t="shared" si="13"/>
        <v>66.400000000000006</v>
      </c>
      <c r="M411" t="s">
        <v>143</v>
      </c>
      <c r="O411" s="7">
        <v>44540</v>
      </c>
      <c r="P411" t="s">
        <v>145</v>
      </c>
      <c r="Q411">
        <v>70611</v>
      </c>
      <c r="R411" t="s">
        <v>196</v>
      </c>
      <c r="S411">
        <v>73</v>
      </c>
      <c r="T411">
        <v>175</v>
      </c>
      <c r="U411" t="s">
        <v>207</v>
      </c>
    </row>
    <row r="412" spans="1:21" x14ac:dyDescent="0.15">
      <c r="A412" t="s">
        <v>162</v>
      </c>
      <c r="B412" t="s">
        <v>173</v>
      </c>
      <c r="C412" t="s">
        <v>169</v>
      </c>
      <c r="D412" s="9">
        <v>1</v>
      </c>
      <c r="E412" t="s">
        <v>75</v>
      </c>
      <c r="G412">
        <v>67.05</v>
      </c>
      <c r="H412">
        <v>67.209999999999994</v>
      </c>
      <c r="I412" t="s">
        <v>94</v>
      </c>
      <c r="K412">
        <f t="shared" si="12"/>
        <v>67.05</v>
      </c>
      <c r="L412">
        <f t="shared" si="13"/>
        <v>67.209999999999994</v>
      </c>
      <c r="M412" t="s">
        <v>143</v>
      </c>
      <c r="O412" s="7">
        <v>44540</v>
      </c>
      <c r="P412" t="s">
        <v>145</v>
      </c>
      <c r="Q412">
        <v>70611</v>
      </c>
      <c r="R412" t="s">
        <v>196</v>
      </c>
      <c r="S412">
        <v>77</v>
      </c>
      <c r="T412">
        <v>175</v>
      </c>
      <c r="U412" t="s">
        <v>207</v>
      </c>
    </row>
    <row r="413" spans="1:21" x14ac:dyDescent="0.15">
      <c r="A413" t="s">
        <v>162</v>
      </c>
      <c r="B413" t="s">
        <v>173</v>
      </c>
      <c r="C413" t="s">
        <v>169</v>
      </c>
      <c r="D413" s="9">
        <v>1</v>
      </c>
      <c r="E413" t="s">
        <v>75</v>
      </c>
      <c r="G413">
        <v>68</v>
      </c>
      <c r="H413">
        <v>68.61</v>
      </c>
      <c r="I413" t="s">
        <v>94</v>
      </c>
      <c r="K413">
        <f t="shared" si="12"/>
        <v>68</v>
      </c>
      <c r="L413">
        <f t="shared" si="13"/>
        <v>68.61</v>
      </c>
      <c r="M413" t="s">
        <v>143</v>
      </c>
      <c r="O413" s="7">
        <v>44540</v>
      </c>
      <c r="P413" t="s">
        <v>145</v>
      </c>
      <c r="Q413">
        <v>70611</v>
      </c>
      <c r="R413" t="s">
        <v>196</v>
      </c>
      <c r="S413">
        <v>295</v>
      </c>
      <c r="T413">
        <v>175</v>
      </c>
      <c r="U413" t="s">
        <v>207</v>
      </c>
    </row>
    <row r="414" spans="1:21" x14ac:dyDescent="0.15">
      <c r="A414" t="s">
        <v>162</v>
      </c>
      <c r="B414" t="s">
        <v>173</v>
      </c>
      <c r="C414" t="s">
        <v>169</v>
      </c>
      <c r="D414" s="9">
        <v>1</v>
      </c>
      <c r="E414" t="s">
        <v>75</v>
      </c>
      <c r="G414">
        <v>68.61</v>
      </c>
      <c r="H414">
        <v>68.959999999999994</v>
      </c>
      <c r="I414" t="s">
        <v>94</v>
      </c>
      <c r="K414">
        <f t="shared" si="12"/>
        <v>68.61</v>
      </c>
      <c r="L414">
        <f t="shared" si="13"/>
        <v>68.959999999999994</v>
      </c>
      <c r="M414" t="s">
        <v>143</v>
      </c>
      <c r="O414" s="7">
        <v>44540</v>
      </c>
      <c r="P414" t="s">
        <v>145</v>
      </c>
      <c r="Q414">
        <v>70611</v>
      </c>
      <c r="R414" t="s">
        <v>196</v>
      </c>
      <c r="S414">
        <v>170</v>
      </c>
      <c r="T414">
        <v>175</v>
      </c>
      <c r="U414" t="s">
        <v>207</v>
      </c>
    </row>
    <row r="415" spans="1:21" x14ac:dyDescent="0.15">
      <c r="A415" t="s">
        <v>162</v>
      </c>
      <c r="B415" t="s">
        <v>173</v>
      </c>
      <c r="C415" t="s">
        <v>169</v>
      </c>
      <c r="D415" s="9">
        <v>1</v>
      </c>
      <c r="E415" t="s">
        <v>75</v>
      </c>
      <c r="G415">
        <v>69.185000000000002</v>
      </c>
      <c r="H415">
        <v>69.25</v>
      </c>
      <c r="I415" t="s">
        <v>94</v>
      </c>
      <c r="K415">
        <f t="shared" si="12"/>
        <v>69.185000000000002</v>
      </c>
      <c r="L415">
        <f t="shared" si="13"/>
        <v>69.25</v>
      </c>
      <c r="M415" t="s">
        <v>143</v>
      </c>
      <c r="O415" s="7">
        <v>44540</v>
      </c>
      <c r="P415" t="s">
        <v>145</v>
      </c>
      <c r="Q415">
        <v>70611</v>
      </c>
      <c r="R415" t="s">
        <v>196</v>
      </c>
      <c r="S415">
        <v>32</v>
      </c>
      <c r="T415">
        <v>175</v>
      </c>
      <c r="U415" t="s">
        <v>207</v>
      </c>
    </row>
    <row r="416" spans="1:21" x14ac:dyDescent="0.15">
      <c r="A416" t="s">
        <v>162</v>
      </c>
      <c r="B416" t="s">
        <v>173</v>
      </c>
      <c r="C416" t="s">
        <v>169</v>
      </c>
      <c r="D416" s="9">
        <v>1</v>
      </c>
      <c r="E416" t="s">
        <v>75</v>
      </c>
      <c r="G416">
        <v>69.364999999999995</v>
      </c>
      <c r="H416">
        <v>69.489999999999995</v>
      </c>
      <c r="I416" t="s">
        <v>94</v>
      </c>
      <c r="K416">
        <f t="shared" si="12"/>
        <v>69.364999999999995</v>
      </c>
      <c r="L416">
        <f t="shared" si="13"/>
        <v>69.489999999999995</v>
      </c>
      <c r="M416" t="s">
        <v>143</v>
      </c>
      <c r="O416" s="7">
        <v>44540</v>
      </c>
      <c r="P416" t="s">
        <v>145</v>
      </c>
      <c r="Q416">
        <v>70611</v>
      </c>
      <c r="R416" t="s">
        <v>196</v>
      </c>
      <c r="S416">
        <v>78</v>
      </c>
      <c r="T416">
        <v>175</v>
      </c>
      <c r="U416" t="s">
        <v>207</v>
      </c>
    </row>
    <row r="417" spans="1:21" x14ac:dyDescent="0.15">
      <c r="A417" t="s">
        <v>162</v>
      </c>
      <c r="B417" t="s">
        <v>173</v>
      </c>
      <c r="C417" t="s">
        <v>169</v>
      </c>
      <c r="D417" s="9">
        <v>1</v>
      </c>
      <c r="E417" t="s">
        <v>75</v>
      </c>
      <c r="G417">
        <v>69.364999999999995</v>
      </c>
      <c r="H417">
        <v>69.489999999999995</v>
      </c>
      <c r="I417" t="s">
        <v>98</v>
      </c>
      <c r="K417">
        <f t="shared" si="12"/>
        <v>69.364999999999995</v>
      </c>
      <c r="L417">
        <f t="shared" si="13"/>
        <v>69.489999999999995</v>
      </c>
      <c r="M417" t="s">
        <v>143</v>
      </c>
      <c r="O417" s="7">
        <v>44540</v>
      </c>
      <c r="P417" t="s">
        <v>145</v>
      </c>
      <c r="Q417">
        <v>70611</v>
      </c>
      <c r="R417" t="s">
        <v>196</v>
      </c>
      <c r="S417">
        <v>78</v>
      </c>
      <c r="T417">
        <v>175</v>
      </c>
      <c r="U417" t="s">
        <v>207</v>
      </c>
    </row>
    <row r="418" spans="1:21" x14ac:dyDescent="0.15">
      <c r="A418" t="s">
        <v>162</v>
      </c>
      <c r="B418" t="s">
        <v>173</v>
      </c>
      <c r="C418" t="s">
        <v>169</v>
      </c>
      <c r="D418" s="9">
        <v>1</v>
      </c>
      <c r="E418" t="s">
        <v>75</v>
      </c>
      <c r="G418">
        <v>69.575000000000003</v>
      </c>
      <c r="H418">
        <v>69.739999999999995</v>
      </c>
      <c r="I418" t="s">
        <v>94</v>
      </c>
      <c r="K418">
        <f t="shared" si="12"/>
        <v>69.575000000000003</v>
      </c>
      <c r="L418">
        <f t="shared" si="13"/>
        <v>69.739999999999995</v>
      </c>
      <c r="M418" t="s">
        <v>143</v>
      </c>
      <c r="O418" s="7">
        <v>44540</v>
      </c>
      <c r="P418" t="s">
        <v>145</v>
      </c>
      <c r="Q418">
        <v>70611</v>
      </c>
      <c r="R418" t="s">
        <v>196</v>
      </c>
      <c r="S418">
        <v>80</v>
      </c>
      <c r="T418">
        <v>175</v>
      </c>
      <c r="U418" t="s">
        <v>207</v>
      </c>
    </row>
    <row r="419" spans="1:21" x14ac:dyDescent="0.15">
      <c r="A419" t="s">
        <v>162</v>
      </c>
      <c r="B419" t="s">
        <v>173</v>
      </c>
      <c r="C419" t="s">
        <v>169</v>
      </c>
      <c r="D419" s="9">
        <v>1</v>
      </c>
      <c r="E419" t="s">
        <v>75</v>
      </c>
      <c r="G419">
        <v>69.575000000000003</v>
      </c>
      <c r="H419">
        <v>69.599999999999994</v>
      </c>
      <c r="I419" t="s">
        <v>96</v>
      </c>
      <c r="K419">
        <f t="shared" si="12"/>
        <v>69.575000000000003</v>
      </c>
      <c r="L419">
        <f t="shared" si="13"/>
        <v>69.599999999999994</v>
      </c>
      <c r="M419" t="s">
        <v>143</v>
      </c>
      <c r="O419" s="7">
        <v>44540</v>
      </c>
      <c r="P419" t="s">
        <v>145</v>
      </c>
      <c r="Q419">
        <v>70611</v>
      </c>
      <c r="R419" t="s">
        <v>196</v>
      </c>
      <c r="S419">
        <v>12</v>
      </c>
      <c r="T419">
        <v>175</v>
      </c>
      <c r="U419" t="s">
        <v>207</v>
      </c>
    </row>
    <row r="420" spans="1:21" x14ac:dyDescent="0.15">
      <c r="A420" t="s">
        <v>162</v>
      </c>
      <c r="B420" t="s">
        <v>173</v>
      </c>
      <c r="C420" t="s">
        <v>169</v>
      </c>
      <c r="D420" s="9">
        <v>1</v>
      </c>
      <c r="E420" t="s">
        <v>75</v>
      </c>
      <c r="G420">
        <v>69.864999999999995</v>
      </c>
      <c r="H420">
        <v>69.900000000000006</v>
      </c>
      <c r="I420" t="s">
        <v>96</v>
      </c>
      <c r="K420">
        <f t="shared" si="12"/>
        <v>69.864999999999995</v>
      </c>
      <c r="L420">
        <f t="shared" si="13"/>
        <v>69.900000000000006</v>
      </c>
      <c r="M420" t="s">
        <v>143</v>
      </c>
      <c r="O420" s="7">
        <v>44540</v>
      </c>
      <c r="P420" t="s">
        <v>145</v>
      </c>
      <c r="Q420">
        <v>70611</v>
      </c>
      <c r="R420" t="s">
        <v>196</v>
      </c>
      <c r="S420">
        <v>30</v>
      </c>
      <c r="T420">
        <v>175</v>
      </c>
      <c r="U420" t="s">
        <v>207</v>
      </c>
    </row>
    <row r="421" spans="1:21" x14ac:dyDescent="0.15">
      <c r="A421" t="s">
        <v>162</v>
      </c>
      <c r="B421" t="s">
        <v>173</v>
      </c>
      <c r="C421" t="s">
        <v>169</v>
      </c>
      <c r="D421" s="9">
        <v>1</v>
      </c>
      <c r="E421" t="s">
        <v>75</v>
      </c>
      <c r="G421">
        <v>69.864999999999995</v>
      </c>
      <c r="H421">
        <v>69.900000000000006</v>
      </c>
      <c r="I421" t="s">
        <v>94</v>
      </c>
      <c r="K421">
        <f t="shared" si="12"/>
        <v>69.864999999999995</v>
      </c>
      <c r="L421">
        <f t="shared" si="13"/>
        <v>69.900000000000006</v>
      </c>
      <c r="M421" t="s">
        <v>143</v>
      </c>
      <c r="O421" s="7">
        <v>44540</v>
      </c>
      <c r="P421" t="s">
        <v>145</v>
      </c>
      <c r="Q421">
        <v>70611</v>
      </c>
      <c r="R421" t="s">
        <v>196</v>
      </c>
      <c r="S421">
        <v>30</v>
      </c>
      <c r="T421">
        <v>175</v>
      </c>
      <c r="U421" t="s">
        <v>207</v>
      </c>
    </row>
    <row r="422" spans="1:21" x14ac:dyDescent="0.15">
      <c r="A422" t="s">
        <v>162</v>
      </c>
      <c r="B422" t="s">
        <v>173</v>
      </c>
      <c r="C422" t="s">
        <v>169</v>
      </c>
      <c r="D422" s="9">
        <v>1</v>
      </c>
      <c r="E422" t="s">
        <v>75</v>
      </c>
      <c r="G422">
        <v>76.125</v>
      </c>
      <c r="H422">
        <v>76.174999999999997</v>
      </c>
      <c r="I422" t="s">
        <v>96</v>
      </c>
      <c r="K422">
        <f t="shared" si="12"/>
        <v>76.125</v>
      </c>
      <c r="L422">
        <f t="shared" si="13"/>
        <v>76.174999999999997</v>
      </c>
      <c r="M422" t="s">
        <v>143</v>
      </c>
      <c r="O422" s="7">
        <v>44550</v>
      </c>
      <c r="P422" t="s">
        <v>145</v>
      </c>
      <c r="Q422">
        <v>70611</v>
      </c>
      <c r="R422" t="s">
        <v>196</v>
      </c>
      <c r="S422">
        <v>24</v>
      </c>
      <c r="T422">
        <v>175</v>
      </c>
      <c r="U422" t="s">
        <v>207</v>
      </c>
    </row>
    <row r="423" spans="1:21" x14ac:dyDescent="0.15">
      <c r="A423" t="s">
        <v>162</v>
      </c>
      <c r="B423" t="s">
        <v>173</v>
      </c>
      <c r="C423" t="s">
        <v>169</v>
      </c>
      <c r="D423" s="9">
        <v>1</v>
      </c>
      <c r="E423" t="s">
        <v>75</v>
      </c>
      <c r="G423">
        <v>76.17</v>
      </c>
      <c r="H423">
        <v>76.2</v>
      </c>
      <c r="I423" t="s">
        <v>94</v>
      </c>
      <c r="K423">
        <f t="shared" si="12"/>
        <v>76.17</v>
      </c>
      <c r="L423">
        <f t="shared" si="13"/>
        <v>76.2</v>
      </c>
      <c r="M423" t="s">
        <v>143</v>
      </c>
      <c r="O423" s="7">
        <v>44550</v>
      </c>
      <c r="P423" t="s">
        <v>145</v>
      </c>
      <c r="Q423">
        <v>70611</v>
      </c>
      <c r="R423" t="s">
        <v>196</v>
      </c>
      <c r="S423">
        <v>12</v>
      </c>
      <c r="T423">
        <v>175</v>
      </c>
      <c r="U423" t="s">
        <v>207</v>
      </c>
    </row>
    <row r="424" spans="1:21" x14ac:dyDescent="0.15">
      <c r="A424" t="s">
        <v>162</v>
      </c>
      <c r="B424" t="s">
        <v>173</v>
      </c>
      <c r="C424" t="s">
        <v>169</v>
      </c>
      <c r="D424" s="9">
        <v>1</v>
      </c>
      <c r="E424" t="s">
        <v>75</v>
      </c>
      <c r="G424">
        <v>76.349999999999994</v>
      </c>
      <c r="H424">
        <v>76.45</v>
      </c>
      <c r="I424" t="s">
        <v>97</v>
      </c>
      <c r="K424">
        <f t="shared" si="12"/>
        <v>76.349999999999994</v>
      </c>
      <c r="L424">
        <f t="shared" si="13"/>
        <v>76.45</v>
      </c>
      <c r="M424" t="s">
        <v>143</v>
      </c>
      <c r="O424" s="7">
        <v>44550</v>
      </c>
      <c r="P424" t="s">
        <v>145</v>
      </c>
      <c r="Q424">
        <v>70611</v>
      </c>
      <c r="R424" t="s">
        <v>196</v>
      </c>
      <c r="S424">
        <v>38</v>
      </c>
      <c r="T424">
        <v>175</v>
      </c>
      <c r="U424" t="s">
        <v>207</v>
      </c>
    </row>
    <row r="425" spans="1:21" x14ac:dyDescent="0.15">
      <c r="A425" t="s">
        <v>162</v>
      </c>
      <c r="B425" t="s">
        <v>173</v>
      </c>
      <c r="C425" t="s">
        <v>169</v>
      </c>
      <c r="D425" s="9">
        <v>1</v>
      </c>
      <c r="E425" t="s">
        <v>75</v>
      </c>
      <c r="G425">
        <v>76.599999999999994</v>
      </c>
      <c r="H425">
        <v>76.650000000000006</v>
      </c>
      <c r="I425" t="s">
        <v>97</v>
      </c>
      <c r="K425">
        <f t="shared" si="12"/>
        <v>76.599999999999994</v>
      </c>
      <c r="L425">
        <f t="shared" si="13"/>
        <v>76.650000000000006</v>
      </c>
      <c r="M425" t="s">
        <v>143</v>
      </c>
      <c r="O425" s="7">
        <v>44550</v>
      </c>
      <c r="P425" t="s">
        <v>145</v>
      </c>
      <c r="Q425">
        <v>70611</v>
      </c>
      <c r="R425" t="s">
        <v>196</v>
      </c>
      <c r="S425">
        <v>19</v>
      </c>
      <c r="T425">
        <v>175</v>
      </c>
      <c r="U425" t="s">
        <v>207</v>
      </c>
    </row>
    <row r="426" spans="1:21" x14ac:dyDescent="0.15">
      <c r="A426" t="s">
        <v>162</v>
      </c>
      <c r="B426" t="s">
        <v>173</v>
      </c>
      <c r="C426" t="s">
        <v>169</v>
      </c>
      <c r="D426" s="9">
        <v>1</v>
      </c>
      <c r="E426" t="s">
        <v>75</v>
      </c>
      <c r="G426">
        <v>76.739999999999995</v>
      </c>
      <c r="H426">
        <v>76.775000000000006</v>
      </c>
      <c r="I426" t="s">
        <v>94</v>
      </c>
      <c r="K426">
        <f t="shared" si="12"/>
        <v>76.739999999999995</v>
      </c>
      <c r="L426">
        <f t="shared" si="13"/>
        <v>76.775000000000006</v>
      </c>
      <c r="M426" t="s">
        <v>143</v>
      </c>
      <c r="O426" s="7">
        <v>44550</v>
      </c>
      <c r="P426" t="s">
        <v>145</v>
      </c>
      <c r="Q426">
        <v>70611</v>
      </c>
      <c r="R426" t="s">
        <v>196</v>
      </c>
      <c r="S426">
        <v>13</v>
      </c>
      <c r="T426">
        <v>175</v>
      </c>
      <c r="U426" t="s">
        <v>207</v>
      </c>
    </row>
    <row r="427" spans="1:21" x14ac:dyDescent="0.15">
      <c r="A427" t="s">
        <v>162</v>
      </c>
      <c r="B427" t="s">
        <v>173</v>
      </c>
      <c r="C427" t="s">
        <v>169</v>
      </c>
      <c r="D427" s="9">
        <v>1</v>
      </c>
      <c r="E427" t="s">
        <v>75</v>
      </c>
      <c r="G427">
        <v>76.834999999999994</v>
      </c>
      <c r="H427">
        <v>76.88</v>
      </c>
      <c r="I427" t="s">
        <v>96</v>
      </c>
      <c r="K427">
        <f t="shared" si="12"/>
        <v>76.834999999999994</v>
      </c>
      <c r="L427">
        <f t="shared" si="13"/>
        <v>76.88</v>
      </c>
      <c r="M427" t="s">
        <v>143</v>
      </c>
      <c r="O427" s="7">
        <v>44550</v>
      </c>
      <c r="P427" t="s">
        <v>145</v>
      </c>
      <c r="Q427">
        <v>70611</v>
      </c>
      <c r="R427" t="s">
        <v>196</v>
      </c>
      <c r="S427">
        <v>22</v>
      </c>
      <c r="T427">
        <v>175</v>
      </c>
      <c r="U427" t="s">
        <v>207</v>
      </c>
    </row>
    <row r="428" spans="1:21" x14ac:dyDescent="0.15">
      <c r="A428" t="s">
        <v>162</v>
      </c>
      <c r="B428" t="s">
        <v>173</v>
      </c>
      <c r="C428" t="s">
        <v>169</v>
      </c>
      <c r="D428" s="9">
        <v>1</v>
      </c>
      <c r="E428" t="s">
        <v>75</v>
      </c>
      <c r="G428">
        <v>77.05</v>
      </c>
      <c r="H428">
        <v>77.3</v>
      </c>
      <c r="I428" t="s">
        <v>94</v>
      </c>
      <c r="K428">
        <f t="shared" si="12"/>
        <v>77.05</v>
      </c>
      <c r="L428">
        <f t="shared" si="13"/>
        <v>77.3</v>
      </c>
      <c r="M428" t="s">
        <v>143</v>
      </c>
      <c r="O428" s="7">
        <v>44550</v>
      </c>
      <c r="P428" t="s">
        <v>145</v>
      </c>
      <c r="Q428">
        <v>70611</v>
      </c>
      <c r="R428" t="s">
        <v>196</v>
      </c>
      <c r="S428">
        <v>94</v>
      </c>
      <c r="T428">
        <v>175</v>
      </c>
      <c r="U428" t="s">
        <v>207</v>
      </c>
    </row>
    <row r="429" spans="1:21" x14ac:dyDescent="0.15">
      <c r="A429" t="s">
        <v>162</v>
      </c>
      <c r="B429" t="s">
        <v>173</v>
      </c>
      <c r="C429" t="s">
        <v>169</v>
      </c>
      <c r="D429" s="9">
        <v>1</v>
      </c>
      <c r="E429" t="s">
        <v>75</v>
      </c>
      <c r="G429">
        <v>77.599999999999994</v>
      </c>
      <c r="H429">
        <v>77.7</v>
      </c>
      <c r="I429" t="s">
        <v>94</v>
      </c>
      <c r="K429">
        <f t="shared" si="12"/>
        <v>77.599999999999994</v>
      </c>
      <c r="L429">
        <f t="shared" si="13"/>
        <v>77.7</v>
      </c>
      <c r="M429" t="s">
        <v>143</v>
      </c>
      <c r="O429" s="7">
        <v>44550</v>
      </c>
      <c r="P429" t="s">
        <v>145</v>
      </c>
      <c r="Q429">
        <v>70611</v>
      </c>
      <c r="R429" t="s">
        <v>196</v>
      </c>
      <c r="S429">
        <v>38</v>
      </c>
      <c r="T429">
        <v>175</v>
      </c>
      <c r="U429" t="s">
        <v>207</v>
      </c>
    </row>
    <row r="430" spans="1:21" x14ac:dyDescent="0.15">
      <c r="A430" t="s">
        <v>162</v>
      </c>
      <c r="B430" t="s">
        <v>173</v>
      </c>
      <c r="C430" t="s">
        <v>169</v>
      </c>
      <c r="D430" s="9">
        <v>1</v>
      </c>
      <c r="E430" t="s">
        <v>75</v>
      </c>
      <c r="G430">
        <v>77.75</v>
      </c>
      <c r="H430">
        <v>77.95</v>
      </c>
      <c r="I430" t="s">
        <v>94</v>
      </c>
      <c r="K430">
        <f t="shared" si="12"/>
        <v>77.75</v>
      </c>
      <c r="L430">
        <f t="shared" si="13"/>
        <v>77.95</v>
      </c>
      <c r="M430" t="s">
        <v>143</v>
      </c>
      <c r="O430" s="7">
        <v>44550</v>
      </c>
      <c r="P430" t="s">
        <v>145</v>
      </c>
      <c r="Q430">
        <v>70611</v>
      </c>
      <c r="R430" t="s">
        <v>196</v>
      </c>
      <c r="S430">
        <v>75</v>
      </c>
      <c r="T430">
        <v>175</v>
      </c>
      <c r="U430" t="s">
        <v>207</v>
      </c>
    </row>
    <row r="431" spans="1:21" x14ac:dyDescent="0.15">
      <c r="A431" t="s">
        <v>162</v>
      </c>
      <c r="B431" t="s">
        <v>173</v>
      </c>
      <c r="C431" t="s">
        <v>169</v>
      </c>
      <c r="D431" s="9">
        <v>1</v>
      </c>
      <c r="E431" t="s">
        <v>75</v>
      </c>
      <c r="G431">
        <v>78.375</v>
      </c>
      <c r="H431">
        <v>78.599999999999994</v>
      </c>
      <c r="I431" t="s">
        <v>96</v>
      </c>
      <c r="K431">
        <f t="shared" si="12"/>
        <v>78.375</v>
      </c>
      <c r="L431">
        <f t="shared" si="13"/>
        <v>78.599999999999994</v>
      </c>
      <c r="M431" t="s">
        <v>143</v>
      </c>
      <c r="O431" s="7">
        <v>44550</v>
      </c>
      <c r="P431" t="s">
        <v>145</v>
      </c>
      <c r="Q431">
        <v>70611</v>
      </c>
      <c r="R431" t="s">
        <v>196</v>
      </c>
      <c r="S431">
        <v>109</v>
      </c>
      <c r="T431">
        <v>175</v>
      </c>
      <c r="U431" t="s">
        <v>207</v>
      </c>
    </row>
    <row r="432" spans="1:21" x14ac:dyDescent="0.15">
      <c r="A432" t="s">
        <v>162</v>
      </c>
      <c r="B432" t="s">
        <v>173</v>
      </c>
      <c r="C432" t="s">
        <v>169</v>
      </c>
      <c r="D432" s="9">
        <v>1</v>
      </c>
      <c r="E432" t="s">
        <v>75</v>
      </c>
      <c r="G432">
        <v>79.25</v>
      </c>
      <c r="H432">
        <v>79.349999999999994</v>
      </c>
      <c r="I432" t="s">
        <v>96</v>
      </c>
      <c r="K432">
        <f t="shared" si="12"/>
        <v>79.25</v>
      </c>
      <c r="L432">
        <f t="shared" si="13"/>
        <v>79.349999999999994</v>
      </c>
      <c r="M432" t="s">
        <v>143</v>
      </c>
      <c r="O432" s="7">
        <v>44550</v>
      </c>
      <c r="P432" t="s">
        <v>145</v>
      </c>
      <c r="Q432">
        <v>70611</v>
      </c>
      <c r="R432" t="s">
        <v>196</v>
      </c>
      <c r="S432">
        <v>86</v>
      </c>
      <c r="T432">
        <v>175</v>
      </c>
      <c r="U432" t="s">
        <v>207</v>
      </c>
    </row>
    <row r="433" spans="1:21" x14ac:dyDescent="0.15">
      <c r="A433" t="s">
        <v>162</v>
      </c>
      <c r="B433" t="s">
        <v>173</v>
      </c>
      <c r="C433" t="s">
        <v>169</v>
      </c>
      <c r="D433" s="9">
        <v>1</v>
      </c>
      <c r="E433" t="s">
        <v>75</v>
      </c>
      <c r="G433">
        <v>79.25</v>
      </c>
      <c r="H433">
        <v>79.349999999999994</v>
      </c>
      <c r="I433" t="s">
        <v>94</v>
      </c>
      <c r="K433">
        <f t="shared" si="12"/>
        <v>79.25</v>
      </c>
      <c r="L433">
        <f t="shared" si="13"/>
        <v>79.349999999999994</v>
      </c>
      <c r="M433" t="s">
        <v>143</v>
      </c>
      <c r="O433" s="7">
        <v>44550</v>
      </c>
      <c r="P433" t="s">
        <v>145</v>
      </c>
      <c r="Q433">
        <v>70611</v>
      </c>
      <c r="R433" t="s">
        <v>196</v>
      </c>
      <c r="S433">
        <v>86</v>
      </c>
      <c r="T433">
        <v>175</v>
      </c>
      <c r="U433" t="s">
        <v>207</v>
      </c>
    </row>
    <row r="434" spans="1:21" x14ac:dyDescent="0.15">
      <c r="A434" t="s">
        <v>162</v>
      </c>
      <c r="B434" t="s">
        <v>173</v>
      </c>
      <c r="C434" t="s">
        <v>169</v>
      </c>
      <c r="D434" s="9">
        <v>1</v>
      </c>
      <c r="E434" t="s">
        <v>75</v>
      </c>
      <c r="G434">
        <v>79.405000000000001</v>
      </c>
      <c r="H434">
        <v>79.564999999999998</v>
      </c>
      <c r="I434" t="s">
        <v>96</v>
      </c>
      <c r="K434">
        <f t="shared" si="12"/>
        <v>79.405000000000001</v>
      </c>
      <c r="L434">
        <f t="shared" si="13"/>
        <v>79.564999999999998</v>
      </c>
      <c r="M434" t="s">
        <v>143</v>
      </c>
      <c r="O434" s="7">
        <v>44550</v>
      </c>
      <c r="P434" t="s">
        <v>145</v>
      </c>
      <c r="Q434">
        <v>70611</v>
      </c>
      <c r="R434" t="s">
        <v>196</v>
      </c>
      <c r="S434">
        <v>77</v>
      </c>
      <c r="T434">
        <v>175</v>
      </c>
      <c r="U434" t="s">
        <v>207</v>
      </c>
    </row>
    <row r="435" spans="1:21" x14ac:dyDescent="0.15">
      <c r="A435" t="s">
        <v>162</v>
      </c>
      <c r="B435" t="s">
        <v>173</v>
      </c>
      <c r="C435" t="s">
        <v>169</v>
      </c>
      <c r="D435" s="9">
        <v>1</v>
      </c>
      <c r="E435" t="s">
        <v>75</v>
      </c>
      <c r="G435">
        <v>79.900000000000006</v>
      </c>
      <c r="H435">
        <v>80</v>
      </c>
      <c r="I435" t="s">
        <v>96</v>
      </c>
      <c r="K435">
        <f t="shared" si="12"/>
        <v>79.900000000000006</v>
      </c>
      <c r="L435">
        <f t="shared" si="13"/>
        <v>80</v>
      </c>
      <c r="M435" t="s">
        <v>143</v>
      </c>
      <c r="O435" s="7">
        <v>44550</v>
      </c>
      <c r="P435" t="s">
        <v>145</v>
      </c>
      <c r="Q435">
        <v>70611</v>
      </c>
      <c r="R435" t="s">
        <v>196</v>
      </c>
      <c r="S435">
        <v>48</v>
      </c>
      <c r="T435">
        <v>175</v>
      </c>
      <c r="U435" t="s">
        <v>207</v>
      </c>
    </row>
    <row r="436" spans="1:21" x14ac:dyDescent="0.15">
      <c r="A436" t="s">
        <v>162</v>
      </c>
      <c r="B436" t="s">
        <v>173</v>
      </c>
      <c r="C436" t="s">
        <v>169</v>
      </c>
      <c r="D436" s="9">
        <v>1</v>
      </c>
      <c r="E436" t="s">
        <v>75</v>
      </c>
      <c r="G436">
        <v>79.864999999999995</v>
      </c>
      <c r="H436">
        <v>79.89</v>
      </c>
      <c r="I436" t="s">
        <v>94</v>
      </c>
      <c r="K436">
        <f t="shared" si="12"/>
        <v>79.864999999999995</v>
      </c>
      <c r="L436">
        <f t="shared" si="13"/>
        <v>79.89</v>
      </c>
      <c r="M436" t="s">
        <v>143</v>
      </c>
      <c r="O436" s="7">
        <v>44550</v>
      </c>
      <c r="P436" t="s">
        <v>145</v>
      </c>
      <c r="Q436">
        <v>70611</v>
      </c>
      <c r="R436" t="s">
        <v>196</v>
      </c>
      <c r="S436">
        <v>12</v>
      </c>
      <c r="T436">
        <v>175</v>
      </c>
      <c r="U436" t="s">
        <v>207</v>
      </c>
    </row>
    <row r="437" spans="1:21" x14ac:dyDescent="0.15">
      <c r="A437" t="s">
        <v>162</v>
      </c>
      <c r="B437" t="s">
        <v>173</v>
      </c>
      <c r="C437" t="s">
        <v>169</v>
      </c>
      <c r="D437" s="9">
        <v>1</v>
      </c>
      <c r="E437" t="s">
        <v>75</v>
      </c>
      <c r="G437">
        <v>80.474999999999994</v>
      </c>
      <c r="H437">
        <v>80.599999999999994</v>
      </c>
      <c r="I437" t="s">
        <v>96</v>
      </c>
      <c r="K437">
        <f t="shared" si="12"/>
        <v>80.474999999999994</v>
      </c>
      <c r="L437">
        <f t="shared" si="13"/>
        <v>80.599999999999994</v>
      </c>
      <c r="M437" t="s">
        <v>143</v>
      </c>
      <c r="O437" s="7">
        <v>44550</v>
      </c>
      <c r="P437" t="s">
        <v>145</v>
      </c>
      <c r="Q437">
        <v>70611</v>
      </c>
      <c r="R437" t="s">
        <v>196</v>
      </c>
      <c r="S437">
        <v>53</v>
      </c>
      <c r="T437">
        <v>175</v>
      </c>
      <c r="U437" t="s">
        <v>207</v>
      </c>
    </row>
    <row r="438" spans="1:21" x14ac:dyDescent="0.15">
      <c r="A438" t="s">
        <v>162</v>
      </c>
      <c r="B438" t="s">
        <v>173</v>
      </c>
      <c r="C438" t="s">
        <v>169</v>
      </c>
      <c r="D438" s="9">
        <v>1</v>
      </c>
      <c r="E438" t="s">
        <v>75</v>
      </c>
      <c r="G438">
        <v>89</v>
      </c>
      <c r="H438">
        <v>89.534999999999997</v>
      </c>
      <c r="I438" t="s">
        <v>181</v>
      </c>
      <c r="K438">
        <f t="shared" si="12"/>
        <v>89</v>
      </c>
      <c r="L438">
        <f t="shared" si="13"/>
        <v>89.534999999999997</v>
      </c>
      <c r="M438" t="s">
        <v>143</v>
      </c>
      <c r="O438" s="7">
        <v>44546</v>
      </c>
      <c r="P438" t="s">
        <v>145</v>
      </c>
      <c r="Q438">
        <v>70611</v>
      </c>
      <c r="R438" t="s">
        <v>196</v>
      </c>
      <c r="S438">
        <v>259</v>
      </c>
      <c r="T438">
        <v>175</v>
      </c>
      <c r="U438" t="s">
        <v>206</v>
      </c>
    </row>
    <row r="439" spans="1:21" x14ac:dyDescent="0.15">
      <c r="A439" t="s">
        <v>162</v>
      </c>
      <c r="B439" t="s">
        <v>173</v>
      </c>
      <c r="C439" t="s">
        <v>169</v>
      </c>
      <c r="D439" s="9">
        <v>1</v>
      </c>
      <c r="E439" t="s">
        <v>75</v>
      </c>
      <c r="G439">
        <v>89</v>
      </c>
      <c r="H439">
        <v>89.15</v>
      </c>
      <c r="I439" t="s">
        <v>98</v>
      </c>
      <c r="K439">
        <f t="shared" si="12"/>
        <v>89</v>
      </c>
      <c r="L439">
        <f t="shared" si="13"/>
        <v>89.15</v>
      </c>
      <c r="M439" t="s">
        <v>143</v>
      </c>
      <c r="O439" s="7">
        <v>44546</v>
      </c>
      <c r="P439" t="s">
        <v>145</v>
      </c>
      <c r="Q439">
        <v>70611</v>
      </c>
      <c r="R439" t="s">
        <v>196</v>
      </c>
      <c r="S439">
        <v>64</v>
      </c>
      <c r="T439">
        <v>175</v>
      </c>
      <c r="U439" t="s">
        <v>206</v>
      </c>
    </row>
    <row r="440" spans="1:21" x14ac:dyDescent="0.15">
      <c r="A440" t="s">
        <v>162</v>
      </c>
      <c r="B440" t="s">
        <v>173</v>
      </c>
      <c r="C440" t="s">
        <v>169</v>
      </c>
      <c r="D440" s="9">
        <v>1</v>
      </c>
      <c r="E440" t="s">
        <v>75</v>
      </c>
      <c r="G440">
        <v>89.24</v>
      </c>
      <c r="H440">
        <v>89.26</v>
      </c>
      <c r="I440" t="s">
        <v>94</v>
      </c>
      <c r="K440">
        <f t="shared" si="12"/>
        <v>89.24</v>
      </c>
      <c r="L440">
        <f t="shared" si="13"/>
        <v>89.26</v>
      </c>
      <c r="M440" t="s">
        <v>143</v>
      </c>
      <c r="O440" s="7">
        <v>44546</v>
      </c>
      <c r="P440" t="s">
        <v>145</v>
      </c>
      <c r="Q440">
        <v>70611</v>
      </c>
      <c r="R440" t="s">
        <v>196</v>
      </c>
      <c r="S440">
        <v>8</v>
      </c>
      <c r="T440">
        <v>175</v>
      </c>
      <c r="U440" t="s">
        <v>206</v>
      </c>
    </row>
    <row r="441" spans="1:21" x14ac:dyDescent="0.15">
      <c r="A441" t="s">
        <v>162</v>
      </c>
      <c r="B441" t="s">
        <v>173</v>
      </c>
      <c r="C441" t="s">
        <v>169</v>
      </c>
      <c r="D441" s="9">
        <v>1</v>
      </c>
      <c r="E441" t="s">
        <v>75</v>
      </c>
      <c r="G441">
        <v>89.63</v>
      </c>
      <c r="H441">
        <v>89.64</v>
      </c>
      <c r="I441" t="s">
        <v>186</v>
      </c>
      <c r="K441">
        <f t="shared" si="12"/>
        <v>89.63</v>
      </c>
      <c r="L441">
        <f t="shared" si="13"/>
        <v>89.64</v>
      </c>
      <c r="M441" t="s">
        <v>143</v>
      </c>
      <c r="O441" s="7">
        <v>44546</v>
      </c>
      <c r="P441" t="s">
        <v>145</v>
      </c>
      <c r="Q441">
        <v>70611</v>
      </c>
      <c r="R441" t="s">
        <v>196</v>
      </c>
      <c r="S441">
        <v>5</v>
      </c>
      <c r="T441">
        <v>175</v>
      </c>
      <c r="U441" t="s">
        <v>206</v>
      </c>
    </row>
    <row r="442" spans="1:21" x14ac:dyDescent="0.15">
      <c r="A442" t="s">
        <v>162</v>
      </c>
      <c r="B442" t="s">
        <v>173</v>
      </c>
      <c r="C442" t="s">
        <v>169</v>
      </c>
      <c r="D442" s="9">
        <v>1</v>
      </c>
      <c r="E442" t="s">
        <v>75</v>
      </c>
      <c r="G442">
        <v>89.63</v>
      </c>
      <c r="H442">
        <v>89.95</v>
      </c>
      <c r="I442" t="s">
        <v>181</v>
      </c>
      <c r="K442">
        <f t="shared" si="12"/>
        <v>89.63</v>
      </c>
      <c r="L442">
        <f t="shared" si="13"/>
        <v>89.95</v>
      </c>
      <c r="M442" t="s">
        <v>143</v>
      </c>
      <c r="O442" s="7">
        <v>44546</v>
      </c>
      <c r="P442" t="s">
        <v>145</v>
      </c>
      <c r="Q442">
        <v>70611</v>
      </c>
      <c r="R442" t="s">
        <v>196</v>
      </c>
      <c r="S442">
        <v>106</v>
      </c>
      <c r="T442">
        <v>175</v>
      </c>
      <c r="U442" t="s">
        <v>206</v>
      </c>
    </row>
    <row r="443" spans="1:21" x14ac:dyDescent="0.15">
      <c r="A443" t="s">
        <v>162</v>
      </c>
      <c r="B443" t="s">
        <v>173</v>
      </c>
      <c r="C443" t="s">
        <v>169</v>
      </c>
      <c r="D443" s="9">
        <v>1</v>
      </c>
      <c r="E443" t="s">
        <v>75</v>
      </c>
      <c r="G443">
        <v>89.78</v>
      </c>
      <c r="H443">
        <v>89.82</v>
      </c>
      <c r="I443" t="s">
        <v>96</v>
      </c>
      <c r="K443">
        <f t="shared" si="12"/>
        <v>89.78</v>
      </c>
      <c r="L443">
        <f t="shared" si="13"/>
        <v>89.82</v>
      </c>
      <c r="M443" t="s">
        <v>143</v>
      </c>
      <c r="O443" s="7">
        <v>44546</v>
      </c>
      <c r="P443" t="s">
        <v>145</v>
      </c>
      <c r="Q443">
        <v>70611</v>
      </c>
      <c r="R443" t="s">
        <v>196</v>
      </c>
      <c r="S443">
        <v>15</v>
      </c>
      <c r="T443">
        <v>175</v>
      </c>
      <c r="U443" t="s">
        <v>206</v>
      </c>
    </row>
    <row r="444" spans="1:21" x14ac:dyDescent="0.15">
      <c r="A444" t="s">
        <v>162</v>
      </c>
      <c r="B444" t="s">
        <v>173</v>
      </c>
      <c r="C444" t="s">
        <v>169</v>
      </c>
      <c r="D444" s="9">
        <v>1</v>
      </c>
      <c r="E444" t="s">
        <v>75</v>
      </c>
      <c r="G444">
        <v>89.974999999999994</v>
      </c>
      <c r="H444">
        <v>90.01</v>
      </c>
      <c r="I444" t="s">
        <v>94</v>
      </c>
      <c r="K444">
        <f t="shared" si="12"/>
        <v>89.974999999999994</v>
      </c>
      <c r="L444">
        <f t="shared" si="13"/>
        <v>90.01</v>
      </c>
      <c r="M444" t="s">
        <v>143</v>
      </c>
      <c r="O444" s="7">
        <v>44546</v>
      </c>
      <c r="P444" t="s">
        <v>145</v>
      </c>
      <c r="Q444">
        <v>70611</v>
      </c>
      <c r="R444" t="s">
        <v>196</v>
      </c>
      <c r="S444">
        <v>34</v>
      </c>
      <c r="T444">
        <v>175</v>
      </c>
      <c r="U444" t="s">
        <v>206</v>
      </c>
    </row>
    <row r="445" spans="1:21" x14ac:dyDescent="0.15">
      <c r="A445" t="s">
        <v>162</v>
      </c>
      <c r="B445" t="s">
        <v>173</v>
      </c>
      <c r="C445" t="s">
        <v>169</v>
      </c>
      <c r="D445" s="9">
        <v>1</v>
      </c>
      <c r="E445" t="s">
        <v>75</v>
      </c>
      <c r="G445">
        <v>90.025000000000006</v>
      </c>
      <c r="H445">
        <v>90.064999999999998</v>
      </c>
      <c r="I445" t="s">
        <v>181</v>
      </c>
      <c r="K445">
        <f t="shared" si="12"/>
        <v>90.025000000000006</v>
      </c>
      <c r="L445">
        <f t="shared" si="13"/>
        <v>90.064999999999998</v>
      </c>
      <c r="M445" t="s">
        <v>143</v>
      </c>
      <c r="O445" s="7">
        <v>44546</v>
      </c>
      <c r="P445" t="s">
        <v>145</v>
      </c>
      <c r="Q445">
        <v>70611</v>
      </c>
      <c r="R445" t="s">
        <v>196</v>
      </c>
      <c r="S445">
        <v>20</v>
      </c>
      <c r="T445">
        <v>175</v>
      </c>
      <c r="U445" t="s">
        <v>206</v>
      </c>
    </row>
    <row r="446" spans="1:21" x14ac:dyDescent="0.15">
      <c r="A446" t="s">
        <v>162</v>
      </c>
      <c r="B446" t="s">
        <v>173</v>
      </c>
      <c r="C446" t="s">
        <v>169</v>
      </c>
      <c r="D446" s="9">
        <v>1</v>
      </c>
      <c r="E446" t="s">
        <v>75</v>
      </c>
      <c r="G446">
        <v>90.7</v>
      </c>
      <c r="H446">
        <v>91.45</v>
      </c>
      <c r="I446" t="s">
        <v>181</v>
      </c>
      <c r="K446">
        <f t="shared" si="12"/>
        <v>90.7</v>
      </c>
      <c r="L446">
        <f t="shared" si="13"/>
        <v>91.45</v>
      </c>
      <c r="M446" t="s">
        <v>143</v>
      </c>
      <c r="O446" s="7">
        <v>44546</v>
      </c>
      <c r="P446" t="s">
        <v>145</v>
      </c>
      <c r="Q446">
        <v>70611</v>
      </c>
      <c r="R446" t="s">
        <v>196</v>
      </c>
      <c r="S446">
        <v>363</v>
      </c>
      <c r="T446">
        <v>175</v>
      </c>
      <c r="U446" t="s">
        <v>206</v>
      </c>
    </row>
    <row r="447" spans="1:21" x14ac:dyDescent="0.15">
      <c r="A447" t="s">
        <v>162</v>
      </c>
      <c r="B447" t="s">
        <v>173</v>
      </c>
      <c r="C447" t="s">
        <v>169</v>
      </c>
      <c r="D447" s="9">
        <v>1</v>
      </c>
      <c r="E447" t="s">
        <v>75</v>
      </c>
      <c r="G447">
        <v>91.58</v>
      </c>
      <c r="H447">
        <v>92.2</v>
      </c>
      <c r="I447" t="s">
        <v>181</v>
      </c>
      <c r="K447">
        <f t="shared" si="12"/>
        <v>91.58</v>
      </c>
      <c r="L447">
        <f t="shared" si="13"/>
        <v>92.2</v>
      </c>
      <c r="M447" t="s">
        <v>143</v>
      </c>
      <c r="O447" s="7">
        <v>44546</v>
      </c>
      <c r="P447" t="s">
        <v>145</v>
      </c>
      <c r="Q447">
        <v>70611</v>
      </c>
      <c r="R447" t="s">
        <v>196</v>
      </c>
      <c r="S447">
        <v>203</v>
      </c>
      <c r="T447">
        <v>175</v>
      </c>
      <c r="U447" t="s">
        <v>206</v>
      </c>
    </row>
    <row r="448" spans="1:21" x14ac:dyDescent="0.15">
      <c r="A448" t="s">
        <v>162</v>
      </c>
      <c r="B448" t="s">
        <v>173</v>
      </c>
      <c r="C448" t="s">
        <v>169</v>
      </c>
      <c r="D448" s="9">
        <v>1</v>
      </c>
      <c r="E448" t="s">
        <v>75</v>
      </c>
      <c r="G448">
        <v>91.95</v>
      </c>
      <c r="H448">
        <v>92</v>
      </c>
      <c r="I448" t="s">
        <v>94</v>
      </c>
      <c r="K448">
        <f t="shared" si="12"/>
        <v>91.95</v>
      </c>
      <c r="L448">
        <f t="shared" si="13"/>
        <v>92</v>
      </c>
      <c r="M448" t="s">
        <v>143</v>
      </c>
      <c r="O448" s="7">
        <v>44551</v>
      </c>
      <c r="P448" t="s">
        <v>145</v>
      </c>
      <c r="Q448">
        <v>70611</v>
      </c>
      <c r="R448" t="s">
        <v>196</v>
      </c>
      <c r="S448">
        <v>19</v>
      </c>
      <c r="T448">
        <v>175</v>
      </c>
      <c r="U448" t="s">
        <v>206</v>
      </c>
    </row>
    <row r="449" spans="1:21" x14ac:dyDescent="0.15">
      <c r="A449" t="s">
        <v>162</v>
      </c>
      <c r="B449" t="s">
        <v>173</v>
      </c>
      <c r="C449" t="s">
        <v>169</v>
      </c>
      <c r="D449" s="9">
        <v>1</v>
      </c>
      <c r="E449" t="s">
        <v>75</v>
      </c>
      <c r="G449">
        <v>92.38</v>
      </c>
      <c r="H449">
        <v>93</v>
      </c>
      <c r="I449" t="s">
        <v>181</v>
      </c>
      <c r="K449">
        <f t="shared" ref="K449:K512" si="14">MIN(G449:H449)</f>
        <v>92.38</v>
      </c>
      <c r="L449">
        <f t="shared" ref="L449:L512" si="15">MAX(G449:H449)</f>
        <v>93</v>
      </c>
      <c r="M449" t="s">
        <v>143</v>
      </c>
      <c r="O449" s="7">
        <v>44551</v>
      </c>
      <c r="P449" t="s">
        <v>145</v>
      </c>
      <c r="Q449">
        <v>70611</v>
      </c>
      <c r="R449" t="s">
        <v>196</v>
      </c>
      <c r="S449">
        <v>333</v>
      </c>
      <c r="T449">
        <v>175</v>
      </c>
      <c r="U449" t="s">
        <v>206</v>
      </c>
    </row>
    <row r="450" spans="1:21" x14ac:dyDescent="0.15">
      <c r="A450" t="s">
        <v>162</v>
      </c>
      <c r="B450" t="s">
        <v>173</v>
      </c>
      <c r="C450" t="s">
        <v>169</v>
      </c>
      <c r="D450" s="9">
        <v>1</v>
      </c>
      <c r="E450" t="s">
        <v>75</v>
      </c>
      <c r="G450">
        <v>92.75</v>
      </c>
      <c r="H450">
        <v>92.894999999999996</v>
      </c>
      <c r="I450" t="s">
        <v>94</v>
      </c>
      <c r="K450">
        <f t="shared" si="14"/>
        <v>92.75</v>
      </c>
      <c r="L450">
        <f t="shared" si="15"/>
        <v>92.894999999999996</v>
      </c>
      <c r="M450" t="s">
        <v>143</v>
      </c>
      <c r="O450" s="7">
        <v>44551</v>
      </c>
      <c r="P450" t="s">
        <v>145</v>
      </c>
      <c r="Q450">
        <v>70611</v>
      </c>
      <c r="R450" t="s">
        <v>196</v>
      </c>
      <c r="S450">
        <v>55</v>
      </c>
      <c r="T450">
        <v>175</v>
      </c>
      <c r="U450" t="s">
        <v>206</v>
      </c>
    </row>
    <row r="451" spans="1:21" x14ac:dyDescent="0.15">
      <c r="A451" t="s">
        <v>162</v>
      </c>
      <c r="B451" t="s">
        <v>173</v>
      </c>
      <c r="C451" t="s">
        <v>169</v>
      </c>
      <c r="D451" s="9">
        <v>1</v>
      </c>
      <c r="E451" t="s">
        <v>75</v>
      </c>
      <c r="G451">
        <v>92.8</v>
      </c>
      <c r="H451">
        <v>92.93</v>
      </c>
      <c r="I451" t="s">
        <v>98</v>
      </c>
      <c r="K451">
        <f t="shared" si="14"/>
        <v>92.8</v>
      </c>
      <c r="L451">
        <f t="shared" si="15"/>
        <v>92.93</v>
      </c>
      <c r="M451" t="s">
        <v>143</v>
      </c>
      <c r="O451" s="7">
        <v>44551</v>
      </c>
      <c r="P451" t="s">
        <v>145</v>
      </c>
      <c r="Q451">
        <v>70611</v>
      </c>
      <c r="R451" t="s">
        <v>196</v>
      </c>
      <c r="S451">
        <v>56</v>
      </c>
      <c r="T451">
        <v>175</v>
      </c>
      <c r="U451" t="s">
        <v>206</v>
      </c>
    </row>
    <row r="452" spans="1:21" x14ac:dyDescent="0.15">
      <c r="A452" t="s">
        <v>162</v>
      </c>
      <c r="B452" t="s">
        <v>173</v>
      </c>
      <c r="C452" t="s">
        <v>169</v>
      </c>
      <c r="D452" s="9">
        <v>1</v>
      </c>
      <c r="E452" t="s">
        <v>75</v>
      </c>
      <c r="G452">
        <v>93</v>
      </c>
      <c r="H452">
        <v>93.51</v>
      </c>
      <c r="I452" t="s">
        <v>181</v>
      </c>
      <c r="K452">
        <f t="shared" si="14"/>
        <v>93</v>
      </c>
      <c r="L452">
        <f t="shared" si="15"/>
        <v>93.51</v>
      </c>
      <c r="M452" t="s">
        <v>143</v>
      </c>
      <c r="O452" s="7">
        <v>44551</v>
      </c>
      <c r="P452" t="s">
        <v>145</v>
      </c>
      <c r="Q452">
        <v>70611</v>
      </c>
      <c r="R452" t="s">
        <v>196</v>
      </c>
      <c r="S452">
        <v>247</v>
      </c>
      <c r="T452">
        <v>175</v>
      </c>
      <c r="U452" t="s">
        <v>206</v>
      </c>
    </row>
    <row r="453" spans="1:21" x14ac:dyDescent="0.15">
      <c r="A453" t="s">
        <v>162</v>
      </c>
      <c r="B453" t="s">
        <v>173</v>
      </c>
      <c r="C453" t="s">
        <v>169</v>
      </c>
      <c r="D453" s="9">
        <v>1</v>
      </c>
      <c r="E453" t="s">
        <v>75</v>
      </c>
      <c r="G453">
        <v>93.424999999999997</v>
      </c>
      <c r="H453">
        <v>93.495000000000005</v>
      </c>
      <c r="I453" t="s">
        <v>22</v>
      </c>
      <c r="K453">
        <f t="shared" si="14"/>
        <v>93.424999999999997</v>
      </c>
      <c r="L453">
        <f t="shared" si="15"/>
        <v>93.495000000000005</v>
      </c>
      <c r="M453" t="s">
        <v>143</v>
      </c>
      <c r="O453" s="7">
        <v>44553</v>
      </c>
      <c r="P453" t="s">
        <v>145</v>
      </c>
      <c r="Q453">
        <v>70611</v>
      </c>
      <c r="R453" t="s">
        <v>196</v>
      </c>
      <c r="S453">
        <v>34</v>
      </c>
      <c r="T453">
        <v>175</v>
      </c>
      <c r="U453" t="s">
        <v>207</v>
      </c>
    </row>
    <row r="454" spans="1:21" x14ac:dyDescent="0.15">
      <c r="A454" t="s">
        <v>162</v>
      </c>
      <c r="B454" t="s">
        <v>173</v>
      </c>
      <c r="C454" t="s">
        <v>169</v>
      </c>
      <c r="D454" s="9">
        <v>1</v>
      </c>
      <c r="E454" t="s">
        <v>75</v>
      </c>
      <c r="G454">
        <v>93.49</v>
      </c>
      <c r="H454">
        <v>93.51</v>
      </c>
      <c r="I454" t="s">
        <v>94</v>
      </c>
      <c r="K454">
        <f t="shared" si="14"/>
        <v>93.49</v>
      </c>
      <c r="L454">
        <f t="shared" si="15"/>
        <v>93.51</v>
      </c>
      <c r="M454" t="s">
        <v>143</v>
      </c>
      <c r="O454" s="7">
        <v>44551</v>
      </c>
      <c r="P454" t="s">
        <v>145</v>
      </c>
      <c r="Q454">
        <v>70611</v>
      </c>
      <c r="R454" t="s">
        <v>196</v>
      </c>
      <c r="S454">
        <v>8</v>
      </c>
      <c r="T454">
        <v>175</v>
      </c>
      <c r="U454" t="s">
        <v>206</v>
      </c>
    </row>
    <row r="455" spans="1:21" x14ac:dyDescent="0.15">
      <c r="A455" t="s">
        <v>162</v>
      </c>
      <c r="B455" t="s">
        <v>173</v>
      </c>
      <c r="C455" t="s">
        <v>169</v>
      </c>
      <c r="D455" s="9">
        <v>1</v>
      </c>
      <c r="E455" t="s">
        <v>75</v>
      </c>
      <c r="G455">
        <v>93.6</v>
      </c>
      <c r="H455">
        <v>93.7</v>
      </c>
      <c r="I455" t="s">
        <v>94</v>
      </c>
      <c r="K455">
        <f t="shared" si="14"/>
        <v>93.6</v>
      </c>
      <c r="L455">
        <f t="shared" si="15"/>
        <v>93.7</v>
      </c>
      <c r="M455" t="s">
        <v>143</v>
      </c>
      <c r="O455" s="7">
        <v>44551</v>
      </c>
      <c r="P455" t="s">
        <v>145</v>
      </c>
      <c r="Q455">
        <v>70611</v>
      </c>
      <c r="R455" t="s">
        <v>196</v>
      </c>
      <c r="S455">
        <v>43</v>
      </c>
      <c r="T455">
        <v>175</v>
      </c>
      <c r="U455" t="s">
        <v>206</v>
      </c>
    </row>
    <row r="456" spans="1:21" x14ac:dyDescent="0.15">
      <c r="A456" t="s">
        <v>162</v>
      </c>
      <c r="B456" t="s">
        <v>173</v>
      </c>
      <c r="C456" t="s">
        <v>169</v>
      </c>
      <c r="D456" s="9">
        <v>1</v>
      </c>
      <c r="E456" t="s">
        <v>75</v>
      </c>
      <c r="G456">
        <v>93.6</v>
      </c>
      <c r="H456">
        <v>93.7</v>
      </c>
      <c r="I456" t="s">
        <v>181</v>
      </c>
      <c r="K456">
        <f t="shared" si="14"/>
        <v>93.6</v>
      </c>
      <c r="L456">
        <f t="shared" si="15"/>
        <v>93.7</v>
      </c>
      <c r="M456" t="s">
        <v>143</v>
      </c>
      <c r="O456" s="7">
        <v>44551</v>
      </c>
      <c r="P456" t="s">
        <v>145</v>
      </c>
      <c r="Q456">
        <v>70611</v>
      </c>
      <c r="R456" t="s">
        <v>196</v>
      </c>
      <c r="S456">
        <v>43</v>
      </c>
      <c r="T456">
        <v>175</v>
      </c>
      <c r="U456" t="s">
        <v>206</v>
      </c>
    </row>
    <row r="457" spans="1:21" x14ac:dyDescent="0.15">
      <c r="A457" t="s">
        <v>162</v>
      </c>
      <c r="B457" t="s">
        <v>173</v>
      </c>
      <c r="C457" t="s">
        <v>169</v>
      </c>
      <c r="D457" s="9">
        <v>1</v>
      </c>
      <c r="E457" t="s">
        <v>75</v>
      </c>
      <c r="G457">
        <v>93.6</v>
      </c>
      <c r="H457">
        <v>93.7</v>
      </c>
      <c r="I457" t="s">
        <v>98</v>
      </c>
      <c r="K457">
        <f t="shared" si="14"/>
        <v>93.6</v>
      </c>
      <c r="L457">
        <f t="shared" si="15"/>
        <v>93.7</v>
      </c>
      <c r="M457" t="s">
        <v>143</v>
      </c>
      <c r="O457" s="7">
        <v>44551</v>
      </c>
      <c r="P457" t="s">
        <v>145</v>
      </c>
      <c r="Q457">
        <v>70611</v>
      </c>
      <c r="R457" t="s">
        <v>196</v>
      </c>
      <c r="S457">
        <v>43</v>
      </c>
      <c r="T457">
        <v>175</v>
      </c>
      <c r="U457" t="s">
        <v>206</v>
      </c>
    </row>
    <row r="458" spans="1:21" x14ac:dyDescent="0.15">
      <c r="A458" t="s">
        <v>162</v>
      </c>
      <c r="B458" t="s">
        <v>173</v>
      </c>
      <c r="C458" t="s">
        <v>169</v>
      </c>
      <c r="D458" s="9">
        <v>1</v>
      </c>
      <c r="E458" t="s">
        <v>75</v>
      </c>
      <c r="G458">
        <v>93.95</v>
      </c>
      <c r="H458">
        <v>94.25</v>
      </c>
      <c r="I458" t="s">
        <v>187</v>
      </c>
      <c r="K458">
        <f t="shared" si="14"/>
        <v>93.95</v>
      </c>
      <c r="L458">
        <f t="shared" si="15"/>
        <v>94.25</v>
      </c>
      <c r="M458" t="s">
        <v>143</v>
      </c>
      <c r="O458" s="7">
        <v>44553</v>
      </c>
      <c r="P458" t="s">
        <v>145</v>
      </c>
      <c r="Q458">
        <v>70611</v>
      </c>
      <c r="R458" t="s">
        <v>196</v>
      </c>
      <c r="S458">
        <v>129</v>
      </c>
      <c r="T458">
        <v>175</v>
      </c>
      <c r="U458" t="s">
        <v>206</v>
      </c>
    </row>
    <row r="459" spans="1:21" x14ac:dyDescent="0.15">
      <c r="A459" t="s">
        <v>162</v>
      </c>
      <c r="B459" t="s">
        <v>173</v>
      </c>
      <c r="C459" t="s">
        <v>169</v>
      </c>
      <c r="D459" s="9">
        <v>1</v>
      </c>
      <c r="E459" t="s">
        <v>75</v>
      </c>
      <c r="G459">
        <v>93.7</v>
      </c>
      <c r="H459">
        <v>94.8</v>
      </c>
      <c r="I459" t="s">
        <v>181</v>
      </c>
      <c r="K459">
        <f t="shared" si="14"/>
        <v>93.7</v>
      </c>
      <c r="L459">
        <f t="shared" si="15"/>
        <v>94.8</v>
      </c>
      <c r="M459" t="s">
        <v>143</v>
      </c>
      <c r="O459" s="7">
        <v>44551</v>
      </c>
      <c r="P459" t="s">
        <v>145</v>
      </c>
      <c r="Q459">
        <v>70611</v>
      </c>
      <c r="R459" t="s">
        <v>196</v>
      </c>
      <c r="S459">
        <v>532</v>
      </c>
      <c r="T459">
        <v>175</v>
      </c>
      <c r="U459" t="s">
        <v>206</v>
      </c>
    </row>
    <row r="460" spans="1:21" x14ac:dyDescent="0.15">
      <c r="A460" t="s">
        <v>162</v>
      </c>
      <c r="B460" t="s">
        <v>173</v>
      </c>
      <c r="C460" t="s">
        <v>169</v>
      </c>
      <c r="D460" s="9">
        <v>1</v>
      </c>
      <c r="E460" t="s">
        <v>75</v>
      </c>
      <c r="G460">
        <v>81.575000000000003</v>
      </c>
      <c r="H460">
        <v>81.64</v>
      </c>
      <c r="I460" t="s">
        <v>96</v>
      </c>
      <c r="K460">
        <f t="shared" si="14"/>
        <v>81.575000000000003</v>
      </c>
      <c r="L460">
        <f t="shared" si="15"/>
        <v>81.64</v>
      </c>
      <c r="M460" t="s">
        <v>143</v>
      </c>
      <c r="O460" s="7">
        <v>44550</v>
      </c>
      <c r="P460" t="s">
        <v>145</v>
      </c>
      <c r="Q460">
        <v>70611</v>
      </c>
      <c r="R460" t="s">
        <v>196</v>
      </c>
      <c r="S460">
        <v>32</v>
      </c>
      <c r="T460">
        <v>175</v>
      </c>
      <c r="U460" t="s">
        <v>207</v>
      </c>
    </row>
    <row r="461" spans="1:21" x14ac:dyDescent="0.15">
      <c r="A461" t="s">
        <v>162</v>
      </c>
      <c r="B461" t="s">
        <v>173</v>
      </c>
      <c r="C461" t="s">
        <v>169</v>
      </c>
      <c r="D461" s="9">
        <v>1</v>
      </c>
      <c r="E461" t="s">
        <v>75</v>
      </c>
      <c r="G461">
        <v>81.7</v>
      </c>
      <c r="H461">
        <v>81.8</v>
      </c>
      <c r="I461" t="s">
        <v>96</v>
      </c>
      <c r="K461">
        <f t="shared" si="14"/>
        <v>81.7</v>
      </c>
      <c r="L461">
        <f t="shared" si="15"/>
        <v>81.8</v>
      </c>
      <c r="M461" t="s">
        <v>143</v>
      </c>
      <c r="O461" s="7">
        <v>44550</v>
      </c>
      <c r="P461" t="s">
        <v>145</v>
      </c>
      <c r="Q461">
        <v>70611</v>
      </c>
      <c r="R461" t="s">
        <v>196</v>
      </c>
      <c r="S461">
        <v>86</v>
      </c>
      <c r="T461">
        <v>175</v>
      </c>
      <c r="U461" t="s">
        <v>207</v>
      </c>
    </row>
    <row r="462" spans="1:21" x14ac:dyDescent="0.15">
      <c r="A462" t="s">
        <v>162</v>
      </c>
      <c r="B462" t="s">
        <v>173</v>
      </c>
      <c r="C462" t="s">
        <v>169</v>
      </c>
      <c r="D462" s="9">
        <v>1</v>
      </c>
      <c r="E462" t="s">
        <v>75</v>
      </c>
      <c r="G462">
        <v>81.7</v>
      </c>
      <c r="H462">
        <v>81.8</v>
      </c>
      <c r="I462" t="s">
        <v>94</v>
      </c>
      <c r="K462">
        <f t="shared" si="14"/>
        <v>81.7</v>
      </c>
      <c r="L462">
        <f t="shared" si="15"/>
        <v>81.8</v>
      </c>
      <c r="M462" t="s">
        <v>143</v>
      </c>
      <c r="O462" s="7">
        <v>44550</v>
      </c>
      <c r="P462" t="s">
        <v>145</v>
      </c>
      <c r="Q462">
        <v>70611</v>
      </c>
      <c r="R462" t="s">
        <v>196</v>
      </c>
      <c r="S462">
        <v>86</v>
      </c>
      <c r="T462">
        <v>175</v>
      </c>
      <c r="U462" t="s">
        <v>207</v>
      </c>
    </row>
    <row r="463" spans="1:21" x14ac:dyDescent="0.15">
      <c r="A463" t="s">
        <v>162</v>
      </c>
      <c r="B463" t="s">
        <v>173</v>
      </c>
      <c r="C463" t="s">
        <v>169</v>
      </c>
      <c r="D463" s="9">
        <v>1</v>
      </c>
      <c r="E463" t="s">
        <v>75</v>
      </c>
      <c r="G463">
        <v>81.8</v>
      </c>
      <c r="H463">
        <v>81.84</v>
      </c>
      <c r="I463" t="s">
        <v>94</v>
      </c>
      <c r="K463">
        <f t="shared" si="14"/>
        <v>81.8</v>
      </c>
      <c r="L463">
        <f t="shared" si="15"/>
        <v>81.84</v>
      </c>
      <c r="M463" t="s">
        <v>143</v>
      </c>
      <c r="O463" s="7">
        <v>44550</v>
      </c>
      <c r="P463" t="s">
        <v>145</v>
      </c>
      <c r="Q463">
        <v>70611</v>
      </c>
      <c r="R463" t="s">
        <v>196</v>
      </c>
      <c r="S463">
        <v>22</v>
      </c>
      <c r="T463">
        <v>175</v>
      </c>
      <c r="U463" t="s">
        <v>207</v>
      </c>
    </row>
    <row r="464" spans="1:21" x14ac:dyDescent="0.15">
      <c r="A464" t="s">
        <v>162</v>
      </c>
      <c r="B464" t="s">
        <v>173</v>
      </c>
      <c r="C464" t="s">
        <v>169</v>
      </c>
      <c r="D464" s="9">
        <v>1</v>
      </c>
      <c r="E464" t="s">
        <v>75</v>
      </c>
      <c r="G464">
        <v>81.84</v>
      </c>
      <c r="H464">
        <v>81.96</v>
      </c>
      <c r="I464" t="s">
        <v>94</v>
      </c>
      <c r="K464">
        <f t="shared" si="14"/>
        <v>81.84</v>
      </c>
      <c r="L464">
        <f t="shared" si="15"/>
        <v>81.96</v>
      </c>
      <c r="M464" t="s">
        <v>143</v>
      </c>
      <c r="O464" s="7">
        <v>44550</v>
      </c>
      <c r="P464" t="s">
        <v>145</v>
      </c>
      <c r="Q464">
        <v>70611</v>
      </c>
      <c r="R464" t="s">
        <v>196</v>
      </c>
      <c r="S464">
        <v>45</v>
      </c>
      <c r="T464">
        <v>175</v>
      </c>
      <c r="U464" t="s">
        <v>207</v>
      </c>
    </row>
    <row r="465" spans="1:21" x14ac:dyDescent="0.15">
      <c r="A465" t="s">
        <v>162</v>
      </c>
      <c r="B465" t="s">
        <v>173</v>
      </c>
      <c r="C465" t="s">
        <v>169</v>
      </c>
      <c r="D465" s="9">
        <v>1</v>
      </c>
      <c r="E465" t="s">
        <v>75</v>
      </c>
      <c r="G465">
        <v>82.075000000000003</v>
      </c>
      <c r="H465">
        <v>82.2</v>
      </c>
      <c r="I465" t="s">
        <v>94</v>
      </c>
      <c r="K465">
        <f t="shared" si="14"/>
        <v>82.075000000000003</v>
      </c>
      <c r="L465">
        <f t="shared" si="15"/>
        <v>82.2</v>
      </c>
      <c r="M465" t="s">
        <v>143</v>
      </c>
      <c r="O465" s="7">
        <v>44552</v>
      </c>
      <c r="P465" t="s">
        <v>145</v>
      </c>
      <c r="Q465">
        <v>70611</v>
      </c>
      <c r="R465" t="s">
        <v>196</v>
      </c>
      <c r="S465">
        <v>48</v>
      </c>
      <c r="T465">
        <v>175</v>
      </c>
      <c r="U465" t="s">
        <v>207</v>
      </c>
    </row>
    <row r="466" spans="1:21" x14ac:dyDescent="0.15">
      <c r="A466" t="s">
        <v>162</v>
      </c>
      <c r="B466" t="s">
        <v>173</v>
      </c>
      <c r="C466" t="s">
        <v>169</v>
      </c>
      <c r="D466" s="9">
        <v>1</v>
      </c>
      <c r="E466" t="s">
        <v>75</v>
      </c>
      <c r="G466">
        <v>82.174999999999997</v>
      </c>
      <c r="H466">
        <v>82.25</v>
      </c>
      <c r="I466" t="s">
        <v>96</v>
      </c>
      <c r="K466">
        <f t="shared" si="14"/>
        <v>82.174999999999997</v>
      </c>
      <c r="L466">
        <f t="shared" si="15"/>
        <v>82.25</v>
      </c>
      <c r="M466" t="s">
        <v>143</v>
      </c>
      <c r="O466" s="7">
        <v>44552</v>
      </c>
      <c r="P466" t="s">
        <v>145</v>
      </c>
      <c r="Q466">
        <v>70611</v>
      </c>
      <c r="R466" t="s">
        <v>196</v>
      </c>
      <c r="S466">
        <v>36</v>
      </c>
      <c r="T466">
        <v>175</v>
      </c>
      <c r="U466" t="s">
        <v>207</v>
      </c>
    </row>
    <row r="467" spans="1:21" x14ac:dyDescent="0.15">
      <c r="A467" t="s">
        <v>162</v>
      </c>
      <c r="B467" t="s">
        <v>173</v>
      </c>
      <c r="C467" t="s">
        <v>169</v>
      </c>
      <c r="D467" s="9">
        <v>1</v>
      </c>
      <c r="E467" t="s">
        <v>75</v>
      </c>
      <c r="G467">
        <v>82.5</v>
      </c>
      <c r="H467">
        <v>82.525000000000006</v>
      </c>
      <c r="I467" t="s">
        <v>94</v>
      </c>
      <c r="K467">
        <f t="shared" si="14"/>
        <v>82.5</v>
      </c>
      <c r="L467">
        <f t="shared" si="15"/>
        <v>82.525000000000006</v>
      </c>
      <c r="M467" t="s">
        <v>143</v>
      </c>
      <c r="O467" s="7">
        <v>44552</v>
      </c>
      <c r="P467" t="s">
        <v>145</v>
      </c>
      <c r="Q467">
        <v>70611</v>
      </c>
      <c r="R467" t="s">
        <v>196</v>
      </c>
      <c r="S467">
        <v>12</v>
      </c>
      <c r="T467">
        <v>175</v>
      </c>
      <c r="U467" t="s">
        <v>207</v>
      </c>
    </row>
    <row r="468" spans="1:21" x14ac:dyDescent="0.15">
      <c r="A468" t="s">
        <v>162</v>
      </c>
      <c r="B468" t="s">
        <v>173</v>
      </c>
      <c r="C468" t="s">
        <v>169</v>
      </c>
      <c r="D468" s="9">
        <v>1</v>
      </c>
      <c r="E468" t="s">
        <v>75</v>
      </c>
      <c r="G468">
        <v>82.75</v>
      </c>
      <c r="H468">
        <v>82.78</v>
      </c>
      <c r="I468" t="s">
        <v>94</v>
      </c>
      <c r="K468">
        <f t="shared" si="14"/>
        <v>82.75</v>
      </c>
      <c r="L468">
        <f t="shared" si="15"/>
        <v>82.78</v>
      </c>
      <c r="M468" t="s">
        <v>143</v>
      </c>
      <c r="O468" s="7">
        <v>44552</v>
      </c>
      <c r="P468" t="s">
        <v>145</v>
      </c>
      <c r="Q468">
        <v>70611</v>
      </c>
      <c r="R468" t="s">
        <v>196</v>
      </c>
      <c r="S468">
        <v>14</v>
      </c>
      <c r="T468">
        <v>175</v>
      </c>
      <c r="U468" t="s">
        <v>207</v>
      </c>
    </row>
    <row r="469" spans="1:21" x14ac:dyDescent="0.15">
      <c r="A469" t="s">
        <v>162</v>
      </c>
      <c r="B469" t="s">
        <v>173</v>
      </c>
      <c r="C469" t="s">
        <v>169</v>
      </c>
      <c r="D469" s="9">
        <v>1</v>
      </c>
      <c r="E469" t="s">
        <v>75</v>
      </c>
      <c r="G469">
        <v>82.95</v>
      </c>
      <c r="H469">
        <v>83.03</v>
      </c>
      <c r="I469" t="s">
        <v>94</v>
      </c>
      <c r="K469">
        <f t="shared" si="14"/>
        <v>82.95</v>
      </c>
      <c r="L469">
        <f t="shared" si="15"/>
        <v>83.03</v>
      </c>
      <c r="M469" t="s">
        <v>143</v>
      </c>
      <c r="O469" s="7">
        <v>44552</v>
      </c>
      <c r="P469" t="s">
        <v>145</v>
      </c>
      <c r="Q469">
        <v>70611</v>
      </c>
      <c r="R469" t="s">
        <v>196</v>
      </c>
      <c r="S469">
        <v>30</v>
      </c>
      <c r="T469">
        <v>175</v>
      </c>
      <c r="U469" t="s">
        <v>207</v>
      </c>
    </row>
    <row r="470" spans="1:21" x14ac:dyDescent="0.15">
      <c r="A470" t="s">
        <v>162</v>
      </c>
      <c r="B470" t="s">
        <v>173</v>
      </c>
      <c r="C470" t="s">
        <v>169</v>
      </c>
      <c r="D470" s="9">
        <v>1</v>
      </c>
      <c r="E470" t="s">
        <v>75</v>
      </c>
      <c r="G470">
        <v>83.03</v>
      </c>
      <c r="H470">
        <v>83.055000000000007</v>
      </c>
      <c r="I470" t="s">
        <v>94</v>
      </c>
      <c r="K470">
        <f t="shared" si="14"/>
        <v>83.03</v>
      </c>
      <c r="L470">
        <f t="shared" si="15"/>
        <v>83.055000000000007</v>
      </c>
      <c r="M470" t="s">
        <v>143</v>
      </c>
      <c r="O470" s="7">
        <v>44552</v>
      </c>
      <c r="P470" t="s">
        <v>145</v>
      </c>
      <c r="Q470">
        <v>70611</v>
      </c>
      <c r="R470" t="s">
        <v>196</v>
      </c>
      <c r="S470">
        <v>10</v>
      </c>
      <c r="T470">
        <v>175</v>
      </c>
      <c r="U470" t="s">
        <v>207</v>
      </c>
    </row>
    <row r="471" spans="1:21" x14ac:dyDescent="0.15">
      <c r="A471" t="s">
        <v>162</v>
      </c>
      <c r="B471" t="s">
        <v>173</v>
      </c>
      <c r="C471" t="s">
        <v>169</v>
      </c>
      <c r="D471" s="9">
        <v>1</v>
      </c>
      <c r="E471" t="s">
        <v>75</v>
      </c>
      <c r="G471">
        <v>83.14</v>
      </c>
      <c r="H471">
        <v>83.16</v>
      </c>
      <c r="I471" t="s">
        <v>94</v>
      </c>
      <c r="K471">
        <f t="shared" si="14"/>
        <v>83.14</v>
      </c>
      <c r="L471">
        <f t="shared" si="15"/>
        <v>83.16</v>
      </c>
      <c r="M471" t="s">
        <v>143</v>
      </c>
      <c r="O471" s="7">
        <v>44552</v>
      </c>
      <c r="P471" t="s">
        <v>145</v>
      </c>
      <c r="Q471">
        <v>70611</v>
      </c>
      <c r="R471" t="s">
        <v>196</v>
      </c>
      <c r="S471">
        <v>10</v>
      </c>
      <c r="T471">
        <v>175</v>
      </c>
      <c r="U471" t="s">
        <v>207</v>
      </c>
    </row>
    <row r="472" spans="1:21" x14ac:dyDescent="0.15">
      <c r="A472" t="s">
        <v>162</v>
      </c>
      <c r="B472" t="s">
        <v>173</v>
      </c>
      <c r="C472" t="s">
        <v>169</v>
      </c>
      <c r="D472" s="9">
        <v>1</v>
      </c>
      <c r="E472" t="s">
        <v>75</v>
      </c>
      <c r="G472">
        <v>83.375</v>
      </c>
      <c r="H472">
        <v>83.4</v>
      </c>
      <c r="I472" t="s">
        <v>94</v>
      </c>
      <c r="K472">
        <f t="shared" si="14"/>
        <v>83.375</v>
      </c>
      <c r="L472">
        <f t="shared" si="15"/>
        <v>83.4</v>
      </c>
      <c r="M472" t="s">
        <v>143</v>
      </c>
      <c r="O472" s="7">
        <v>44552</v>
      </c>
      <c r="P472" t="s">
        <v>145</v>
      </c>
      <c r="Q472">
        <v>70611</v>
      </c>
      <c r="R472" t="s">
        <v>196</v>
      </c>
      <c r="S472">
        <v>10</v>
      </c>
      <c r="T472">
        <v>175</v>
      </c>
      <c r="U472" t="s">
        <v>207</v>
      </c>
    </row>
    <row r="473" spans="1:21" x14ac:dyDescent="0.15">
      <c r="A473" t="s">
        <v>162</v>
      </c>
      <c r="B473" t="s">
        <v>173</v>
      </c>
      <c r="C473" t="s">
        <v>169</v>
      </c>
      <c r="D473" s="9">
        <v>1</v>
      </c>
      <c r="E473" t="s">
        <v>75</v>
      </c>
      <c r="G473">
        <v>83.474999999999994</v>
      </c>
      <c r="H473">
        <v>83.54</v>
      </c>
      <c r="I473" t="s">
        <v>96</v>
      </c>
      <c r="K473">
        <f t="shared" si="14"/>
        <v>83.474999999999994</v>
      </c>
      <c r="L473">
        <f t="shared" si="15"/>
        <v>83.54</v>
      </c>
      <c r="M473" t="s">
        <v>143</v>
      </c>
      <c r="O473" s="7">
        <v>44552</v>
      </c>
      <c r="P473" t="s">
        <v>145</v>
      </c>
      <c r="Q473">
        <v>70611</v>
      </c>
      <c r="R473" t="s">
        <v>196</v>
      </c>
      <c r="S473">
        <v>32</v>
      </c>
      <c r="T473">
        <v>175</v>
      </c>
      <c r="U473" t="s">
        <v>207</v>
      </c>
    </row>
    <row r="474" spans="1:21" x14ac:dyDescent="0.15">
      <c r="A474" t="s">
        <v>162</v>
      </c>
      <c r="B474" t="s">
        <v>173</v>
      </c>
      <c r="C474" t="s">
        <v>169</v>
      </c>
      <c r="D474" s="9">
        <v>1</v>
      </c>
      <c r="E474" t="s">
        <v>75</v>
      </c>
      <c r="G474">
        <v>83.54</v>
      </c>
      <c r="H474">
        <v>83.575000000000003</v>
      </c>
      <c r="I474" t="s">
        <v>96</v>
      </c>
      <c r="K474">
        <f t="shared" si="14"/>
        <v>83.54</v>
      </c>
      <c r="L474">
        <f t="shared" si="15"/>
        <v>83.575000000000003</v>
      </c>
      <c r="M474" t="s">
        <v>143</v>
      </c>
      <c r="O474" s="7">
        <v>44552</v>
      </c>
      <c r="P474" t="s">
        <v>145</v>
      </c>
      <c r="Q474">
        <v>70611</v>
      </c>
      <c r="R474" t="s">
        <v>196</v>
      </c>
      <c r="S474">
        <v>30</v>
      </c>
      <c r="T474">
        <v>175</v>
      </c>
      <c r="U474" t="s">
        <v>207</v>
      </c>
    </row>
    <row r="475" spans="1:21" x14ac:dyDescent="0.15">
      <c r="A475" t="s">
        <v>162</v>
      </c>
      <c r="B475" t="s">
        <v>173</v>
      </c>
      <c r="C475" t="s">
        <v>169</v>
      </c>
      <c r="D475" s="9">
        <v>1</v>
      </c>
      <c r="E475" t="s">
        <v>75</v>
      </c>
      <c r="G475">
        <v>83.54</v>
      </c>
      <c r="H475">
        <v>83.575000000000003</v>
      </c>
      <c r="I475" t="s">
        <v>94</v>
      </c>
      <c r="K475">
        <f t="shared" si="14"/>
        <v>83.54</v>
      </c>
      <c r="L475">
        <f t="shared" si="15"/>
        <v>83.575000000000003</v>
      </c>
      <c r="M475" t="s">
        <v>143</v>
      </c>
      <c r="O475" s="7">
        <v>44552</v>
      </c>
      <c r="P475" t="s">
        <v>145</v>
      </c>
      <c r="Q475">
        <v>70611</v>
      </c>
      <c r="R475" t="s">
        <v>196</v>
      </c>
      <c r="S475">
        <v>30</v>
      </c>
      <c r="T475">
        <v>175</v>
      </c>
      <c r="U475" t="s">
        <v>207</v>
      </c>
    </row>
    <row r="476" spans="1:21" x14ac:dyDescent="0.15">
      <c r="A476" t="s">
        <v>162</v>
      </c>
      <c r="B476" t="s">
        <v>173</v>
      </c>
      <c r="C476" t="s">
        <v>169</v>
      </c>
      <c r="D476" s="9">
        <v>1</v>
      </c>
      <c r="E476" t="s">
        <v>75</v>
      </c>
      <c r="G476">
        <v>83.575000000000003</v>
      </c>
      <c r="H476">
        <v>83.625</v>
      </c>
      <c r="I476" t="s">
        <v>96</v>
      </c>
      <c r="K476">
        <f t="shared" si="14"/>
        <v>83.575000000000003</v>
      </c>
      <c r="L476">
        <f t="shared" si="15"/>
        <v>83.625</v>
      </c>
      <c r="M476" t="s">
        <v>143</v>
      </c>
      <c r="O476" s="7">
        <v>44552</v>
      </c>
      <c r="P476" t="s">
        <v>145</v>
      </c>
      <c r="Q476">
        <v>70611</v>
      </c>
      <c r="R476" t="s">
        <v>196</v>
      </c>
      <c r="S476">
        <v>70</v>
      </c>
      <c r="T476">
        <v>175</v>
      </c>
      <c r="U476" t="s">
        <v>207</v>
      </c>
    </row>
    <row r="477" spans="1:21" x14ac:dyDescent="0.15">
      <c r="A477" t="s">
        <v>162</v>
      </c>
      <c r="B477" t="s">
        <v>173</v>
      </c>
      <c r="C477" t="s">
        <v>169</v>
      </c>
      <c r="D477" s="9">
        <v>1</v>
      </c>
      <c r="E477" t="s">
        <v>75</v>
      </c>
      <c r="G477">
        <v>83.575000000000003</v>
      </c>
      <c r="H477">
        <v>83.625</v>
      </c>
      <c r="I477" t="s">
        <v>94</v>
      </c>
      <c r="K477">
        <f t="shared" si="14"/>
        <v>83.575000000000003</v>
      </c>
      <c r="L477">
        <f t="shared" si="15"/>
        <v>83.625</v>
      </c>
      <c r="M477" t="s">
        <v>143</v>
      </c>
      <c r="O477" s="7">
        <v>44552</v>
      </c>
      <c r="P477" t="s">
        <v>145</v>
      </c>
      <c r="Q477">
        <v>70611</v>
      </c>
      <c r="R477" t="s">
        <v>196</v>
      </c>
      <c r="S477">
        <v>70</v>
      </c>
      <c r="T477">
        <v>175</v>
      </c>
      <c r="U477" t="s">
        <v>207</v>
      </c>
    </row>
    <row r="478" spans="1:21" x14ac:dyDescent="0.15">
      <c r="A478" t="s">
        <v>162</v>
      </c>
      <c r="B478" t="s">
        <v>173</v>
      </c>
      <c r="C478" t="s">
        <v>169</v>
      </c>
      <c r="D478" s="9">
        <v>1</v>
      </c>
      <c r="E478" t="s">
        <v>75</v>
      </c>
      <c r="G478">
        <v>83.575000000000003</v>
      </c>
      <c r="H478">
        <v>83.625</v>
      </c>
      <c r="I478" t="s">
        <v>98</v>
      </c>
      <c r="K478">
        <f t="shared" si="14"/>
        <v>83.575000000000003</v>
      </c>
      <c r="L478">
        <f t="shared" si="15"/>
        <v>83.625</v>
      </c>
      <c r="M478" t="s">
        <v>143</v>
      </c>
      <c r="O478" s="7">
        <v>44552</v>
      </c>
      <c r="P478" t="s">
        <v>145</v>
      </c>
      <c r="Q478">
        <v>70611</v>
      </c>
      <c r="R478" t="s">
        <v>196</v>
      </c>
      <c r="S478">
        <v>70</v>
      </c>
      <c r="T478">
        <v>175</v>
      </c>
      <c r="U478" t="s">
        <v>207</v>
      </c>
    </row>
    <row r="479" spans="1:21" x14ac:dyDescent="0.15">
      <c r="A479" t="s">
        <v>162</v>
      </c>
      <c r="B479" t="s">
        <v>173</v>
      </c>
      <c r="C479" t="s">
        <v>169</v>
      </c>
      <c r="D479" s="9">
        <v>1</v>
      </c>
      <c r="E479" t="s">
        <v>75</v>
      </c>
      <c r="G479">
        <v>83.7</v>
      </c>
      <c r="H479">
        <v>83.85</v>
      </c>
      <c r="I479" t="s">
        <v>94</v>
      </c>
      <c r="K479">
        <f t="shared" si="14"/>
        <v>83.7</v>
      </c>
      <c r="L479">
        <f t="shared" si="15"/>
        <v>83.85</v>
      </c>
      <c r="M479" t="s">
        <v>143</v>
      </c>
      <c r="O479" s="7">
        <v>44552</v>
      </c>
      <c r="P479" t="s">
        <v>145</v>
      </c>
      <c r="Q479">
        <v>70611</v>
      </c>
      <c r="R479" t="s">
        <v>196</v>
      </c>
      <c r="S479">
        <v>113</v>
      </c>
      <c r="T479">
        <v>175</v>
      </c>
      <c r="U479" t="s">
        <v>207</v>
      </c>
    </row>
    <row r="480" spans="1:21" x14ac:dyDescent="0.15">
      <c r="A480" t="s">
        <v>162</v>
      </c>
      <c r="B480" t="s">
        <v>173</v>
      </c>
      <c r="C480" t="s">
        <v>169</v>
      </c>
      <c r="D480" s="9">
        <v>1</v>
      </c>
      <c r="E480" t="s">
        <v>75</v>
      </c>
      <c r="G480">
        <v>83.7</v>
      </c>
      <c r="H480">
        <v>83.85</v>
      </c>
      <c r="I480" t="s">
        <v>98</v>
      </c>
      <c r="K480">
        <f t="shared" si="14"/>
        <v>83.7</v>
      </c>
      <c r="L480">
        <f t="shared" si="15"/>
        <v>83.85</v>
      </c>
      <c r="M480" t="s">
        <v>143</v>
      </c>
      <c r="O480" s="7">
        <v>44552</v>
      </c>
      <c r="P480" t="s">
        <v>145</v>
      </c>
      <c r="Q480">
        <v>70611</v>
      </c>
      <c r="R480" t="s">
        <v>196</v>
      </c>
      <c r="S480">
        <v>113</v>
      </c>
      <c r="T480">
        <v>175</v>
      </c>
      <c r="U480" t="s">
        <v>207</v>
      </c>
    </row>
    <row r="481" spans="1:21" x14ac:dyDescent="0.15">
      <c r="A481" t="s">
        <v>162</v>
      </c>
      <c r="B481" t="s">
        <v>173</v>
      </c>
      <c r="C481" t="s">
        <v>169</v>
      </c>
      <c r="D481" s="9">
        <v>1</v>
      </c>
      <c r="E481" t="s">
        <v>75</v>
      </c>
      <c r="G481">
        <v>83.85</v>
      </c>
      <c r="H481">
        <v>83.99</v>
      </c>
      <c r="I481" t="s">
        <v>94</v>
      </c>
      <c r="K481">
        <f t="shared" si="14"/>
        <v>83.85</v>
      </c>
      <c r="L481">
        <f t="shared" si="15"/>
        <v>83.99</v>
      </c>
      <c r="M481" t="s">
        <v>143</v>
      </c>
      <c r="O481" s="7">
        <v>44552</v>
      </c>
      <c r="P481" t="s">
        <v>145</v>
      </c>
      <c r="Q481">
        <v>70611</v>
      </c>
      <c r="R481" t="s">
        <v>196</v>
      </c>
      <c r="S481">
        <v>60</v>
      </c>
      <c r="T481">
        <v>175</v>
      </c>
      <c r="U481" t="s">
        <v>207</v>
      </c>
    </row>
    <row r="482" spans="1:21" x14ac:dyDescent="0.15">
      <c r="A482" t="s">
        <v>162</v>
      </c>
      <c r="B482" t="s">
        <v>173</v>
      </c>
      <c r="C482" t="s">
        <v>169</v>
      </c>
      <c r="D482" s="9">
        <v>1</v>
      </c>
      <c r="E482" t="s">
        <v>75</v>
      </c>
      <c r="G482">
        <v>84.2</v>
      </c>
      <c r="H482">
        <v>84.43</v>
      </c>
      <c r="I482" t="s">
        <v>94</v>
      </c>
      <c r="K482">
        <f t="shared" si="14"/>
        <v>84.2</v>
      </c>
      <c r="L482">
        <f t="shared" si="15"/>
        <v>84.43</v>
      </c>
      <c r="M482" t="s">
        <v>143</v>
      </c>
      <c r="O482" s="7">
        <v>44552</v>
      </c>
      <c r="P482" t="s">
        <v>145</v>
      </c>
      <c r="Q482">
        <v>70611</v>
      </c>
      <c r="R482" t="s">
        <v>196</v>
      </c>
      <c r="S482">
        <v>86</v>
      </c>
      <c r="T482">
        <v>175</v>
      </c>
      <c r="U482" t="s">
        <v>207</v>
      </c>
    </row>
    <row r="483" spans="1:21" x14ac:dyDescent="0.15">
      <c r="A483" t="s">
        <v>162</v>
      </c>
      <c r="B483" t="s">
        <v>173</v>
      </c>
      <c r="C483" t="s">
        <v>169</v>
      </c>
      <c r="D483" s="9">
        <v>1</v>
      </c>
      <c r="E483" t="s">
        <v>75</v>
      </c>
      <c r="G483">
        <v>84.534999999999997</v>
      </c>
      <c r="H483">
        <v>84.7</v>
      </c>
      <c r="I483" t="s">
        <v>94</v>
      </c>
      <c r="K483">
        <f t="shared" si="14"/>
        <v>84.534999999999997</v>
      </c>
      <c r="L483">
        <f t="shared" si="15"/>
        <v>84.7</v>
      </c>
      <c r="M483" t="s">
        <v>143</v>
      </c>
      <c r="O483" s="7">
        <v>44552</v>
      </c>
      <c r="P483" t="s">
        <v>145</v>
      </c>
      <c r="Q483">
        <v>70611</v>
      </c>
      <c r="R483" t="s">
        <v>196</v>
      </c>
      <c r="S483">
        <v>62</v>
      </c>
      <c r="T483">
        <v>175</v>
      </c>
      <c r="U483" t="s">
        <v>207</v>
      </c>
    </row>
    <row r="484" spans="1:21" x14ac:dyDescent="0.15">
      <c r="A484" t="s">
        <v>162</v>
      </c>
      <c r="B484" t="s">
        <v>173</v>
      </c>
      <c r="C484" t="s">
        <v>169</v>
      </c>
      <c r="D484" s="9">
        <v>1</v>
      </c>
      <c r="E484" t="s">
        <v>75</v>
      </c>
      <c r="G484">
        <v>86</v>
      </c>
      <c r="H484">
        <v>86.025000000000006</v>
      </c>
      <c r="I484" t="s">
        <v>94</v>
      </c>
      <c r="K484">
        <f t="shared" si="14"/>
        <v>86</v>
      </c>
      <c r="L484">
        <f t="shared" si="15"/>
        <v>86.025000000000006</v>
      </c>
      <c r="M484" t="s">
        <v>143</v>
      </c>
      <c r="O484" s="7">
        <v>44552</v>
      </c>
      <c r="P484" t="s">
        <v>145</v>
      </c>
      <c r="Q484">
        <v>70611</v>
      </c>
      <c r="R484" t="s">
        <v>196</v>
      </c>
      <c r="S484">
        <v>10</v>
      </c>
      <c r="T484">
        <v>175</v>
      </c>
      <c r="U484" t="s">
        <v>207</v>
      </c>
    </row>
    <row r="485" spans="1:21" x14ac:dyDescent="0.15">
      <c r="A485" t="s">
        <v>162</v>
      </c>
      <c r="B485" t="s">
        <v>173</v>
      </c>
      <c r="C485" t="s">
        <v>169</v>
      </c>
      <c r="D485" s="9">
        <v>1</v>
      </c>
      <c r="E485" t="s">
        <v>75</v>
      </c>
      <c r="G485">
        <v>86.6</v>
      </c>
      <c r="H485">
        <v>86.65</v>
      </c>
      <c r="I485" t="s">
        <v>188</v>
      </c>
      <c r="K485">
        <f t="shared" si="14"/>
        <v>86.6</v>
      </c>
      <c r="L485">
        <f t="shared" si="15"/>
        <v>86.65</v>
      </c>
      <c r="M485" t="s">
        <v>143</v>
      </c>
      <c r="O485" s="7">
        <v>44552</v>
      </c>
      <c r="P485" t="s">
        <v>145</v>
      </c>
      <c r="Q485">
        <v>70611</v>
      </c>
      <c r="R485" t="s">
        <v>196</v>
      </c>
      <c r="S485">
        <v>10</v>
      </c>
      <c r="T485">
        <v>175</v>
      </c>
      <c r="U485" t="s">
        <v>207</v>
      </c>
    </row>
    <row r="486" spans="1:21" x14ac:dyDescent="0.15">
      <c r="A486" t="s">
        <v>162</v>
      </c>
      <c r="B486" t="s">
        <v>173</v>
      </c>
      <c r="C486" t="s">
        <v>169</v>
      </c>
      <c r="D486" s="9">
        <v>1</v>
      </c>
      <c r="E486" t="s">
        <v>75</v>
      </c>
      <c r="G486">
        <v>88.2</v>
      </c>
      <c r="H486">
        <v>88.275000000000006</v>
      </c>
      <c r="I486" t="s">
        <v>94</v>
      </c>
      <c r="K486">
        <f t="shared" si="14"/>
        <v>88.2</v>
      </c>
      <c r="L486">
        <f t="shared" si="15"/>
        <v>88.275000000000006</v>
      </c>
      <c r="M486" t="s">
        <v>143</v>
      </c>
      <c r="O486" s="7">
        <v>44552</v>
      </c>
      <c r="P486" t="s">
        <v>145</v>
      </c>
      <c r="Q486">
        <v>70611</v>
      </c>
      <c r="R486" t="s">
        <v>196</v>
      </c>
      <c r="S486">
        <v>28</v>
      </c>
      <c r="T486">
        <v>175</v>
      </c>
      <c r="U486" t="s">
        <v>206</v>
      </c>
    </row>
    <row r="487" spans="1:21" x14ac:dyDescent="0.15">
      <c r="A487" t="s">
        <v>162</v>
      </c>
      <c r="B487" t="s">
        <v>173</v>
      </c>
      <c r="C487" t="s">
        <v>169</v>
      </c>
      <c r="D487" s="9">
        <v>1</v>
      </c>
      <c r="E487" t="s">
        <v>75</v>
      </c>
      <c r="G487">
        <v>88.54</v>
      </c>
      <c r="H487">
        <v>88.575000000000003</v>
      </c>
      <c r="I487" t="s">
        <v>181</v>
      </c>
      <c r="K487">
        <f t="shared" si="14"/>
        <v>88.54</v>
      </c>
      <c r="L487">
        <f t="shared" si="15"/>
        <v>88.575000000000003</v>
      </c>
      <c r="M487" t="s">
        <v>143</v>
      </c>
      <c r="O487" s="7">
        <v>44552</v>
      </c>
      <c r="P487" t="s">
        <v>145</v>
      </c>
      <c r="Q487">
        <v>70611</v>
      </c>
      <c r="R487" t="s">
        <v>196</v>
      </c>
      <c r="S487">
        <v>26</v>
      </c>
      <c r="T487">
        <v>175</v>
      </c>
      <c r="U487" t="s">
        <v>206</v>
      </c>
    </row>
    <row r="488" spans="1:21" x14ac:dyDescent="0.15">
      <c r="A488" t="s">
        <v>162</v>
      </c>
      <c r="B488" t="s">
        <v>173</v>
      </c>
      <c r="C488" t="s">
        <v>169</v>
      </c>
      <c r="D488" s="9">
        <v>1</v>
      </c>
      <c r="E488" t="s">
        <v>75</v>
      </c>
      <c r="G488">
        <v>88.54</v>
      </c>
      <c r="H488">
        <v>88.575000000000003</v>
      </c>
      <c r="I488" t="s">
        <v>186</v>
      </c>
      <c r="K488">
        <f t="shared" si="14"/>
        <v>88.54</v>
      </c>
      <c r="L488">
        <f t="shared" si="15"/>
        <v>88.575000000000003</v>
      </c>
      <c r="M488" t="s">
        <v>143</v>
      </c>
      <c r="O488" s="7">
        <v>44552</v>
      </c>
      <c r="P488" t="s">
        <v>145</v>
      </c>
      <c r="Q488">
        <v>70611</v>
      </c>
      <c r="R488" t="s">
        <v>196</v>
      </c>
      <c r="S488">
        <v>26</v>
      </c>
      <c r="T488">
        <v>175</v>
      </c>
      <c r="U488" t="s">
        <v>206</v>
      </c>
    </row>
    <row r="489" spans="1:21" x14ac:dyDescent="0.15">
      <c r="A489" t="s">
        <v>162</v>
      </c>
      <c r="B489" t="s">
        <v>173</v>
      </c>
      <c r="C489" t="s">
        <v>169</v>
      </c>
      <c r="D489" s="9">
        <v>1</v>
      </c>
      <c r="E489" t="s">
        <v>76</v>
      </c>
      <c r="F489" t="s">
        <v>78</v>
      </c>
      <c r="G489">
        <v>86.65</v>
      </c>
      <c r="H489">
        <v>87</v>
      </c>
      <c r="I489" t="s">
        <v>94</v>
      </c>
      <c r="K489">
        <f t="shared" si="14"/>
        <v>86.65</v>
      </c>
      <c r="L489">
        <f t="shared" si="15"/>
        <v>87</v>
      </c>
      <c r="M489" t="s">
        <v>143</v>
      </c>
      <c r="O489" s="7">
        <v>44552</v>
      </c>
      <c r="P489" t="s">
        <v>145</v>
      </c>
      <c r="Q489">
        <v>70611</v>
      </c>
      <c r="R489" t="s">
        <v>196</v>
      </c>
      <c r="S489">
        <v>132</v>
      </c>
      <c r="T489">
        <v>175</v>
      </c>
      <c r="U489" t="s">
        <v>207</v>
      </c>
    </row>
    <row r="490" spans="1:21" x14ac:dyDescent="0.15">
      <c r="A490" t="s">
        <v>162</v>
      </c>
      <c r="B490" t="s">
        <v>173</v>
      </c>
      <c r="C490" t="s">
        <v>169</v>
      </c>
      <c r="D490" s="9">
        <v>1</v>
      </c>
      <c r="E490" t="s">
        <v>74</v>
      </c>
      <c r="G490">
        <v>92.4</v>
      </c>
      <c r="H490">
        <v>92.26</v>
      </c>
      <c r="I490" t="s">
        <v>182</v>
      </c>
      <c r="K490">
        <f t="shared" si="14"/>
        <v>92.26</v>
      </c>
      <c r="L490">
        <f t="shared" si="15"/>
        <v>92.4</v>
      </c>
      <c r="M490" t="s">
        <v>143</v>
      </c>
      <c r="O490" s="7">
        <v>44545</v>
      </c>
      <c r="P490" t="s">
        <v>145</v>
      </c>
      <c r="Q490">
        <v>70611</v>
      </c>
      <c r="R490" t="s">
        <v>196</v>
      </c>
      <c r="S490">
        <v>68</v>
      </c>
      <c r="T490">
        <v>175</v>
      </c>
      <c r="U490" t="s">
        <v>206</v>
      </c>
    </row>
    <row r="491" spans="1:21" x14ac:dyDescent="0.15">
      <c r="A491" t="s">
        <v>162</v>
      </c>
      <c r="B491" t="s">
        <v>173</v>
      </c>
      <c r="C491" t="s">
        <v>169</v>
      </c>
      <c r="D491" s="9">
        <v>1</v>
      </c>
      <c r="E491" t="s">
        <v>74</v>
      </c>
      <c r="G491">
        <v>92.15</v>
      </c>
      <c r="H491">
        <v>92</v>
      </c>
      <c r="I491" t="s">
        <v>182</v>
      </c>
      <c r="K491">
        <f t="shared" si="14"/>
        <v>92</v>
      </c>
      <c r="L491">
        <f t="shared" si="15"/>
        <v>92.15</v>
      </c>
      <c r="M491" t="s">
        <v>143</v>
      </c>
      <c r="O491" s="7">
        <v>44545</v>
      </c>
      <c r="P491" t="s">
        <v>145</v>
      </c>
      <c r="Q491">
        <v>70611</v>
      </c>
      <c r="R491" t="s">
        <v>196</v>
      </c>
      <c r="S491">
        <v>72</v>
      </c>
      <c r="T491">
        <v>175</v>
      </c>
      <c r="U491" t="s">
        <v>206</v>
      </c>
    </row>
    <row r="492" spans="1:21" x14ac:dyDescent="0.15">
      <c r="A492" t="s">
        <v>162</v>
      </c>
      <c r="B492" t="s">
        <v>173</v>
      </c>
      <c r="C492" t="s">
        <v>169</v>
      </c>
      <c r="D492" s="9">
        <v>1</v>
      </c>
      <c r="E492" t="s">
        <v>74</v>
      </c>
      <c r="G492">
        <v>91.4</v>
      </c>
      <c r="H492">
        <v>91.375</v>
      </c>
      <c r="I492" t="s">
        <v>92</v>
      </c>
      <c r="K492">
        <f t="shared" si="14"/>
        <v>91.375</v>
      </c>
      <c r="L492">
        <f t="shared" si="15"/>
        <v>91.4</v>
      </c>
      <c r="M492" t="s">
        <v>143</v>
      </c>
      <c r="O492" s="7">
        <v>44545</v>
      </c>
      <c r="P492" t="s">
        <v>145</v>
      </c>
      <c r="Q492">
        <v>70611</v>
      </c>
      <c r="R492" t="s">
        <v>196</v>
      </c>
      <c r="S492">
        <v>10</v>
      </c>
      <c r="T492">
        <v>175</v>
      </c>
      <c r="U492" t="s">
        <v>206</v>
      </c>
    </row>
    <row r="493" spans="1:21" x14ac:dyDescent="0.15">
      <c r="A493" t="s">
        <v>162</v>
      </c>
      <c r="B493" t="s">
        <v>173</v>
      </c>
      <c r="C493" t="s">
        <v>169</v>
      </c>
      <c r="D493" s="9">
        <v>1</v>
      </c>
      <c r="E493" t="s">
        <v>74</v>
      </c>
      <c r="G493">
        <v>90.4</v>
      </c>
      <c r="H493">
        <v>90.3</v>
      </c>
      <c r="I493" t="s">
        <v>182</v>
      </c>
      <c r="K493">
        <f t="shared" si="14"/>
        <v>90.3</v>
      </c>
      <c r="L493">
        <f t="shared" si="15"/>
        <v>90.4</v>
      </c>
      <c r="M493" t="s">
        <v>143</v>
      </c>
      <c r="O493" s="7">
        <v>44545</v>
      </c>
      <c r="P493" t="s">
        <v>145</v>
      </c>
      <c r="Q493">
        <v>70611</v>
      </c>
      <c r="R493" t="s">
        <v>196</v>
      </c>
      <c r="S493">
        <v>48</v>
      </c>
      <c r="T493">
        <v>175</v>
      </c>
      <c r="U493" t="s">
        <v>206</v>
      </c>
    </row>
    <row r="494" spans="1:21" x14ac:dyDescent="0.15">
      <c r="A494" t="s">
        <v>162</v>
      </c>
      <c r="B494" t="s">
        <v>173</v>
      </c>
      <c r="C494" t="s">
        <v>169</v>
      </c>
      <c r="D494" s="9">
        <v>1</v>
      </c>
      <c r="E494" t="s">
        <v>74</v>
      </c>
      <c r="G494">
        <v>90.3</v>
      </c>
      <c r="H494">
        <v>90.09</v>
      </c>
      <c r="I494" t="s">
        <v>182</v>
      </c>
      <c r="K494">
        <f t="shared" si="14"/>
        <v>90.09</v>
      </c>
      <c r="L494">
        <f t="shared" si="15"/>
        <v>90.3</v>
      </c>
      <c r="M494" t="s">
        <v>143</v>
      </c>
      <c r="O494" s="7">
        <v>44545</v>
      </c>
      <c r="P494" t="s">
        <v>145</v>
      </c>
      <c r="Q494">
        <v>70611</v>
      </c>
      <c r="R494" t="s">
        <v>196</v>
      </c>
      <c r="S494">
        <v>102</v>
      </c>
      <c r="T494">
        <v>175</v>
      </c>
      <c r="U494" t="s">
        <v>206</v>
      </c>
    </row>
    <row r="495" spans="1:21" x14ac:dyDescent="0.15">
      <c r="A495" t="s">
        <v>162</v>
      </c>
      <c r="B495" t="s">
        <v>173</v>
      </c>
      <c r="C495" t="s">
        <v>169</v>
      </c>
      <c r="D495" s="9">
        <v>1</v>
      </c>
      <c r="E495" t="s">
        <v>74</v>
      </c>
      <c r="G495">
        <v>90.064999999999998</v>
      </c>
      <c r="H495">
        <v>90.04</v>
      </c>
      <c r="I495" t="s">
        <v>92</v>
      </c>
      <c r="K495">
        <f t="shared" si="14"/>
        <v>90.04</v>
      </c>
      <c r="L495">
        <f t="shared" si="15"/>
        <v>90.064999999999998</v>
      </c>
      <c r="M495" t="s">
        <v>143</v>
      </c>
      <c r="O495" s="7">
        <v>44545</v>
      </c>
      <c r="P495" t="s">
        <v>145</v>
      </c>
      <c r="Q495">
        <v>70611</v>
      </c>
      <c r="R495" t="s">
        <v>196</v>
      </c>
      <c r="S495">
        <v>12</v>
      </c>
      <c r="T495">
        <v>175</v>
      </c>
      <c r="U495" t="s">
        <v>206</v>
      </c>
    </row>
    <row r="496" spans="1:21" x14ac:dyDescent="0.15">
      <c r="A496" t="s">
        <v>162</v>
      </c>
      <c r="B496" t="s">
        <v>173</v>
      </c>
      <c r="C496" t="s">
        <v>169</v>
      </c>
      <c r="D496" s="9">
        <v>1</v>
      </c>
      <c r="E496" t="s">
        <v>74</v>
      </c>
      <c r="G496">
        <v>90.064999999999998</v>
      </c>
      <c r="H496">
        <v>90.04</v>
      </c>
      <c r="I496" t="s">
        <v>182</v>
      </c>
      <c r="K496">
        <f t="shared" si="14"/>
        <v>90.04</v>
      </c>
      <c r="L496">
        <f t="shared" si="15"/>
        <v>90.064999999999998</v>
      </c>
      <c r="M496" t="s">
        <v>143</v>
      </c>
      <c r="O496" s="7">
        <v>44545</v>
      </c>
      <c r="P496" t="s">
        <v>145</v>
      </c>
      <c r="Q496">
        <v>70611</v>
      </c>
      <c r="R496" t="s">
        <v>196</v>
      </c>
      <c r="S496">
        <v>12</v>
      </c>
      <c r="T496">
        <v>175</v>
      </c>
      <c r="U496" t="s">
        <v>206</v>
      </c>
    </row>
    <row r="497" spans="1:21" x14ac:dyDescent="0.15">
      <c r="A497" t="s">
        <v>162</v>
      </c>
      <c r="B497" t="s">
        <v>173</v>
      </c>
      <c r="C497" t="s">
        <v>169</v>
      </c>
      <c r="D497" s="9">
        <v>1</v>
      </c>
      <c r="E497" t="s">
        <v>74</v>
      </c>
      <c r="G497">
        <v>90.064999999999998</v>
      </c>
      <c r="H497">
        <v>90.04</v>
      </c>
      <c r="I497" t="s">
        <v>93</v>
      </c>
      <c r="K497">
        <f t="shared" si="14"/>
        <v>90.04</v>
      </c>
      <c r="L497">
        <f t="shared" si="15"/>
        <v>90.064999999999998</v>
      </c>
      <c r="M497" t="s">
        <v>143</v>
      </c>
      <c r="O497" s="7">
        <v>44545</v>
      </c>
      <c r="P497" t="s">
        <v>145</v>
      </c>
      <c r="Q497">
        <v>70611</v>
      </c>
      <c r="R497" t="s">
        <v>196</v>
      </c>
      <c r="S497">
        <v>12</v>
      </c>
      <c r="T497">
        <v>175</v>
      </c>
      <c r="U497" t="s">
        <v>206</v>
      </c>
    </row>
    <row r="498" spans="1:21" x14ac:dyDescent="0.15">
      <c r="A498" t="s">
        <v>162</v>
      </c>
      <c r="B498" t="s">
        <v>173</v>
      </c>
      <c r="C498" t="s">
        <v>169</v>
      </c>
      <c r="D498" s="9">
        <v>1</v>
      </c>
      <c r="E498" t="s">
        <v>74</v>
      </c>
      <c r="G498">
        <v>90</v>
      </c>
      <c r="H498">
        <v>89.72</v>
      </c>
      <c r="I498" t="s">
        <v>182</v>
      </c>
      <c r="K498">
        <f t="shared" si="14"/>
        <v>89.72</v>
      </c>
      <c r="L498">
        <f t="shared" si="15"/>
        <v>90</v>
      </c>
      <c r="M498" t="s">
        <v>143</v>
      </c>
      <c r="O498" s="7">
        <v>44545</v>
      </c>
      <c r="P498" t="s">
        <v>145</v>
      </c>
      <c r="Q498">
        <v>70611</v>
      </c>
      <c r="R498" t="s">
        <v>196</v>
      </c>
      <c r="S498">
        <v>136</v>
      </c>
      <c r="T498">
        <v>175</v>
      </c>
      <c r="U498" t="s">
        <v>206</v>
      </c>
    </row>
    <row r="499" spans="1:21" x14ac:dyDescent="0.15">
      <c r="A499" t="s">
        <v>162</v>
      </c>
      <c r="B499" t="s">
        <v>173</v>
      </c>
      <c r="C499" t="s">
        <v>169</v>
      </c>
      <c r="D499" s="9">
        <v>1</v>
      </c>
      <c r="E499" t="s">
        <v>74</v>
      </c>
      <c r="G499">
        <v>89.515000000000001</v>
      </c>
      <c r="H499">
        <v>89.45</v>
      </c>
      <c r="I499" t="s">
        <v>92</v>
      </c>
      <c r="K499">
        <f t="shared" si="14"/>
        <v>89.45</v>
      </c>
      <c r="L499">
        <f t="shared" si="15"/>
        <v>89.515000000000001</v>
      </c>
      <c r="M499" t="s">
        <v>143</v>
      </c>
      <c r="O499" s="7">
        <v>44545</v>
      </c>
      <c r="P499" t="s">
        <v>145</v>
      </c>
      <c r="Q499">
        <v>70611</v>
      </c>
      <c r="R499" t="s">
        <v>196</v>
      </c>
      <c r="S499">
        <v>77</v>
      </c>
      <c r="T499">
        <v>175</v>
      </c>
      <c r="U499" t="s">
        <v>206</v>
      </c>
    </row>
    <row r="500" spans="1:21" x14ac:dyDescent="0.15">
      <c r="A500" t="s">
        <v>162</v>
      </c>
      <c r="B500" t="s">
        <v>173</v>
      </c>
      <c r="C500" t="s">
        <v>169</v>
      </c>
      <c r="D500" s="9">
        <v>1</v>
      </c>
      <c r="E500" t="s">
        <v>74</v>
      </c>
      <c r="G500">
        <v>89.515000000000001</v>
      </c>
      <c r="H500">
        <v>89.45</v>
      </c>
      <c r="I500" t="s">
        <v>182</v>
      </c>
      <c r="K500">
        <f t="shared" si="14"/>
        <v>89.45</v>
      </c>
      <c r="L500">
        <f t="shared" si="15"/>
        <v>89.515000000000001</v>
      </c>
      <c r="M500" t="s">
        <v>143</v>
      </c>
      <c r="O500" s="7">
        <v>44545</v>
      </c>
      <c r="P500" t="s">
        <v>145</v>
      </c>
      <c r="Q500">
        <v>70611</v>
      </c>
      <c r="R500" t="s">
        <v>196</v>
      </c>
      <c r="S500">
        <v>77</v>
      </c>
      <c r="T500">
        <v>175</v>
      </c>
      <c r="U500" t="s">
        <v>206</v>
      </c>
    </row>
    <row r="501" spans="1:21" x14ac:dyDescent="0.15">
      <c r="A501" t="s">
        <v>162</v>
      </c>
      <c r="B501" t="s">
        <v>173</v>
      </c>
      <c r="C501" t="s">
        <v>169</v>
      </c>
      <c r="D501" s="9">
        <v>1</v>
      </c>
      <c r="E501" t="s">
        <v>74</v>
      </c>
      <c r="G501">
        <v>89.515000000000001</v>
      </c>
      <c r="H501">
        <v>89.45</v>
      </c>
      <c r="I501" t="s">
        <v>209</v>
      </c>
      <c r="K501">
        <f t="shared" si="14"/>
        <v>89.45</v>
      </c>
      <c r="L501">
        <f t="shared" si="15"/>
        <v>89.515000000000001</v>
      </c>
      <c r="M501" t="s">
        <v>143</v>
      </c>
      <c r="O501" s="7">
        <v>44545</v>
      </c>
      <c r="P501" t="s">
        <v>145</v>
      </c>
      <c r="Q501">
        <v>70611</v>
      </c>
      <c r="R501" t="s">
        <v>196</v>
      </c>
      <c r="S501">
        <v>77</v>
      </c>
      <c r="T501">
        <v>175</v>
      </c>
      <c r="U501" t="s">
        <v>206</v>
      </c>
    </row>
    <row r="502" spans="1:21" x14ac:dyDescent="0.15">
      <c r="A502" t="s">
        <v>162</v>
      </c>
      <c r="B502" t="s">
        <v>173</v>
      </c>
      <c r="C502" t="s">
        <v>169</v>
      </c>
      <c r="D502" s="9">
        <v>1</v>
      </c>
      <c r="E502" t="s">
        <v>74</v>
      </c>
      <c r="G502">
        <v>89.45</v>
      </c>
      <c r="H502">
        <v>89.314999999999998</v>
      </c>
      <c r="I502" t="s">
        <v>93</v>
      </c>
      <c r="K502">
        <f t="shared" si="14"/>
        <v>89.314999999999998</v>
      </c>
      <c r="L502">
        <f t="shared" si="15"/>
        <v>89.45</v>
      </c>
      <c r="M502" t="s">
        <v>143</v>
      </c>
      <c r="O502" s="7">
        <v>44545</v>
      </c>
      <c r="P502" t="s">
        <v>145</v>
      </c>
      <c r="Q502">
        <v>70611</v>
      </c>
      <c r="R502" t="s">
        <v>196</v>
      </c>
      <c r="S502">
        <v>131</v>
      </c>
      <c r="T502">
        <v>175</v>
      </c>
      <c r="U502" t="s">
        <v>206</v>
      </c>
    </row>
    <row r="503" spans="1:21" x14ac:dyDescent="0.15">
      <c r="A503" t="s">
        <v>162</v>
      </c>
      <c r="B503" t="s">
        <v>173</v>
      </c>
      <c r="C503" t="s">
        <v>169</v>
      </c>
      <c r="D503" s="9">
        <v>1</v>
      </c>
      <c r="E503" t="s">
        <v>74</v>
      </c>
      <c r="G503">
        <v>89.45</v>
      </c>
      <c r="H503">
        <v>89.314999999999998</v>
      </c>
      <c r="I503" t="s">
        <v>189</v>
      </c>
      <c r="K503">
        <f t="shared" si="14"/>
        <v>89.314999999999998</v>
      </c>
      <c r="L503">
        <f t="shared" si="15"/>
        <v>89.45</v>
      </c>
      <c r="M503" t="s">
        <v>143</v>
      </c>
      <c r="O503" s="7">
        <v>44545</v>
      </c>
      <c r="P503" t="s">
        <v>145</v>
      </c>
      <c r="Q503">
        <v>70611</v>
      </c>
      <c r="R503" t="s">
        <v>196</v>
      </c>
      <c r="S503">
        <v>131</v>
      </c>
      <c r="T503">
        <v>175</v>
      </c>
      <c r="U503" t="s">
        <v>206</v>
      </c>
    </row>
    <row r="504" spans="1:21" x14ac:dyDescent="0.15">
      <c r="A504" t="s">
        <v>162</v>
      </c>
      <c r="B504" t="s">
        <v>173</v>
      </c>
      <c r="C504" t="s">
        <v>169</v>
      </c>
      <c r="D504" s="9">
        <v>1</v>
      </c>
      <c r="E504" t="s">
        <v>74</v>
      </c>
      <c r="G504">
        <v>89.21</v>
      </c>
      <c r="H504">
        <v>89.194999999999993</v>
      </c>
      <c r="I504" t="s">
        <v>189</v>
      </c>
      <c r="K504">
        <f t="shared" si="14"/>
        <v>89.194999999999993</v>
      </c>
      <c r="L504">
        <f t="shared" si="15"/>
        <v>89.21</v>
      </c>
      <c r="M504" t="s">
        <v>143</v>
      </c>
      <c r="O504" s="7">
        <v>44545</v>
      </c>
      <c r="P504" t="s">
        <v>145</v>
      </c>
      <c r="Q504">
        <v>70611</v>
      </c>
      <c r="R504" t="s">
        <v>196</v>
      </c>
      <c r="S504">
        <v>8</v>
      </c>
      <c r="T504">
        <v>175</v>
      </c>
      <c r="U504" t="s">
        <v>206</v>
      </c>
    </row>
    <row r="505" spans="1:21" x14ac:dyDescent="0.15">
      <c r="A505" t="s">
        <v>162</v>
      </c>
      <c r="B505" t="s">
        <v>173</v>
      </c>
      <c r="C505" t="s">
        <v>169</v>
      </c>
      <c r="D505" s="9">
        <v>1</v>
      </c>
      <c r="E505" t="s">
        <v>74</v>
      </c>
      <c r="G505">
        <v>89.1</v>
      </c>
      <c r="H505">
        <v>89.075000000000003</v>
      </c>
      <c r="I505" t="s">
        <v>189</v>
      </c>
      <c r="K505">
        <f t="shared" si="14"/>
        <v>89.075000000000003</v>
      </c>
      <c r="L505">
        <f t="shared" si="15"/>
        <v>89.1</v>
      </c>
      <c r="M505" t="s">
        <v>143</v>
      </c>
      <c r="O505" s="7">
        <v>44545</v>
      </c>
      <c r="P505" t="s">
        <v>145</v>
      </c>
      <c r="Q505">
        <v>70611</v>
      </c>
      <c r="R505" t="s">
        <v>196</v>
      </c>
      <c r="S505">
        <v>12</v>
      </c>
      <c r="T505">
        <v>175</v>
      </c>
      <c r="U505" t="s">
        <v>206</v>
      </c>
    </row>
    <row r="506" spans="1:21" x14ac:dyDescent="0.15">
      <c r="A506" t="s">
        <v>162</v>
      </c>
      <c r="B506" t="s">
        <v>173</v>
      </c>
      <c r="C506" t="s">
        <v>169</v>
      </c>
      <c r="D506" s="9">
        <v>1</v>
      </c>
      <c r="E506" t="s">
        <v>74</v>
      </c>
      <c r="G506">
        <v>89.05</v>
      </c>
      <c r="H506">
        <v>89.025000000000006</v>
      </c>
      <c r="I506" t="s">
        <v>93</v>
      </c>
      <c r="K506">
        <f t="shared" si="14"/>
        <v>89.025000000000006</v>
      </c>
      <c r="L506">
        <f t="shared" si="15"/>
        <v>89.05</v>
      </c>
      <c r="M506" t="s">
        <v>143</v>
      </c>
      <c r="O506" s="7">
        <v>44545</v>
      </c>
      <c r="P506" t="s">
        <v>145</v>
      </c>
      <c r="Q506">
        <v>70611</v>
      </c>
      <c r="R506" t="s">
        <v>196</v>
      </c>
      <c r="S506">
        <v>10</v>
      </c>
      <c r="T506">
        <v>175</v>
      </c>
      <c r="U506" t="s">
        <v>206</v>
      </c>
    </row>
    <row r="507" spans="1:21" x14ac:dyDescent="0.15">
      <c r="A507" t="s">
        <v>162</v>
      </c>
      <c r="B507" t="s">
        <v>173</v>
      </c>
      <c r="C507" t="s">
        <v>169</v>
      </c>
      <c r="D507" s="9">
        <v>1</v>
      </c>
      <c r="E507" t="s">
        <v>74</v>
      </c>
      <c r="G507">
        <v>89.075000000000003</v>
      </c>
      <c r="H507">
        <v>88.55</v>
      </c>
      <c r="I507" t="s">
        <v>189</v>
      </c>
      <c r="K507">
        <f t="shared" si="14"/>
        <v>88.55</v>
      </c>
      <c r="L507">
        <f t="shared" si="15"/>
        <v>89.075000000000003</v>
      </c>
      <c r="M507" t="s">
        <v>143</v>
      </c>
      <c r="O507" s="7">
        <v>44545</v>
      </c>
      <c r="P507" t="s">
        <v>145</v>
      </c>
      <c r="Q507">
        <v>70611</v>
      </c>
      <c r="R507" t="s">
        <v>196</v>
      </c>
      <c r="S507">
        <v>254</v>
      </c>
      <c r="T507">
        <v>175</v>
      </c>
      <c r="U507" t="s">
        <v>206</v>
      </c>
    </row>
    <row r="508" spans="1:21" x14ac:dyDescent="0.15">
      <c r="A508" t="s">
        <v>162</v>
      </c>
      <c r="B508" t="s">
        <v>173</v>
      </c>
      <c r="C508" t="s">
        <v>169</v>
      </c>
      <c r="D508" s="9">
        <v>1</v>
      </c>
      <c r="E508" t="s">
        <v>74</v>
      </c>
      <c r="G508">
        <v>88.74</v>
      </c>
      <c r="H508">
        <v>88.69</v>
      </c>
      <c r="I508" t="s">
        <v>91</v>
      </c>
      <c r="K508">
        <f t="shared" si="14"/>
        <v>88.69</v>
      </c>
      <c r="L508">
        <f t="shared" si="15"/>
        <v>88.74</v>
      </c>
      <c r="M508" t="s">
        <v>143</v>
      </c>
      <c r="O508" s="7">
        <v>44545</v>
      </c>
      <c r="P508" t="s">
        <v>145</v>
      </c>
      <c r="Q508">
        <v>70611</v>
      </c>
      <c r="R508" t="s">
        <v>196</v>
      </c>
      <c r="S508">
        <v>46</v>
      </c>
      <c r="T508">
        <v>175</v>
      </c>
      <c r="U508" t="s">
        <v>206</v>
      </c>
    </row>
    <row r="509" spans="1:21" x14ac:dyDescent="0.15">
      <c r="A509" t="s">
        <v>162</v>
      </c>
      <c r="B509" t="s">
        <v>173</v>
      </c>
      <c r="C509" t="s">
        <v>169</v>
      </c>
      <c r="D509" s="9">
        <v>1</v>
      </c>
      <c r="E509" t="s">
        <v>74</v>
      </c>
      <c r="G509">
        <v>88.74</v>
      </c>
      <c r="H509">
        <v>88.69</v>
      </c>
      <c r="I509" t="s">
        <v>92</v>
      </c>
      <c r="K509">
        <f t="shared" si="14"/>
        <v>88.69</v>
      </c>
      <c r="L509">
        <f t="shared" si="15"/>
        <v>88.74</v>
      </c>
      <c r="M509" t="s">
        <v>143</v>
      </c>
      <c r="O509" s="7">
        <v>44545</v>
      </c>
      <c r="P509" t="s">
        <v>145</v>
      </c>
      <c r="Q509">
        <v>70611</v>
      </c>
      <c r="R509" t="s">
        <v>196</v>
      </c>
      <c r="S509">
        <v>46</v>
      </c>
      <c r="T509">
        <v>175</v>
      </c>
      <c r="U509" t="s">
        <v>206</v>
      </c>
    </row>
    <row r="510" spans="1:21" x14ac:dyDescent="0.15">
      <c r="A510" t="s">
        <v>162</v>
      </c>
      <c r="B510" t="s">
        <v>173</v>
      </c>
      <c r="C510" t="s">
        <v>169</v>
      </c>
      <c r="D510" s="9">
        <v>1</v>
      </c>
      <c r="E510" t="s">
        <v>74</v>
      </c>
      <c r="G510">
        <v>88.49</v>
      </c>
      <c r="H510">
        <v>88.37</v>
      </c>
      <c r="I510" t="s">
        <v>91</v>
      </c>
      <c r="K510">
        <f t="shared" si="14"/>
        <v>88.37</v>
      </c>
      <c r="L510">
        <f t="shared" si="15"/>
        <v>88.49</v>
      </c>
      <c r="M510" t="s">
        <v>143</v>
      </c>
      <c r="O510" s="7">
        <v>44545</v>
      </c>
      <c r="P510" t="s">
        <v>145</v>
      </c>
      <c r="Q510">
        <v>70611</v>
      </c>
      <c r="R510" t="s">
        <v>196</v>
      </c>
      <c r="S510">
        <v>52</v>
      </c>
      <c r="T510">
        <v>175</v>
      </c>
      <c r="U510" t="s">
        <v>206</v>
      </c>
    </row>
    <row r="511" spans="1:21" x14ac:dyDescent="0.15">
      <c r="A511" t="s">
        <v>162</v>
      </c>
      <c r="B511" t="s">
        <v>173</v>
      </c>
      <c r="C511" t="s">
        <v>169</v>
      </c>
      <c r="D511" s="9">
        <v>1</v>
      </c>
      <c r="E511" t="s">
        <v>74</v>
      </c>
      <c r="G511">
        <v>88.43</v>
      </c>
      <c r="H511">
        <v>88.36</v>
      </c>
      <c r="I511" t="s">
        <v>189</v>
      </c>
      <c r="K511">
        <f t="shared" si="14"/>
        <v>88.36</v>
      </c>
      <c r="L511">
        <f t="shared" si="15"/>
        <v>88.43</v>
      </c>
      <c r="M511" t="s">
        <v>143</v>
      </c>
      <c r="O511" s="7">
        <v>44545</v>
      </c>
      <c r="P511" t="s">
        <v>145</v>
      </c>
      <c r="Q511">
        <v>70611</v>
      </c>
      <c r="R511" t="s">
        <v>196</v>
      </c>
      <c r="S511">
        <v>34</v>
      </c>
      <c r="T511">
        <v>175</v>
      </c>
      <c r="U511" t="s">
        <v>206</v>
      </c>
    </row>
    <row r="512" spans="1:21" x14ac:dyDescent="0.15">
      <c r="A512" t="s">
        <v>162</v>
      </c>
      <c r="B512" t="s">
        <v>173</v>
      </c>
      <c r="C512" t="s">
        <v>169</v>
      </c>
      <c r="D512" s="9">
        <v>1</v>
      </c>
      <c r="E512" t="s">
        <v>74</v>
      </c>
      <c r="G512">
        <v>88.26</v>
      </c>
      <c r="H512">
        <v>88.18</v>
      </c>
      <c r="I512" t="s">
        <v>92</v>
      </c>
      <c r="K512">
        <f t="shared" si="14"/>
        <v>88.18</v>
      </c>
      <c r="L512">
        <f t="shared" si="15"/>
        <v>88.26</v>
      </c>
      <c r="M512" t="s">
        <v>143</v>
      </c>
      <c r="O512" s="7">
        <v>44545</v>
      </c>
      <c r="P512" t="s">
        <v>145</v>
      </c>
      <c r="Q512">
        <v>70611</v>
      </c>
      <c r="R512" t="s">
        <v>196</v>
      </c>
      <c r="S512">
        <v>39</v>
      </c>
      <c r="T512">
        <v>175</v>
      </c>
      <c r="U512" t="s">
        <v>207</v>
      </c>
    </row>
    <row r="513" spans="1:21" x14ac:dyDescent="0.15">
      <c r="A513" t="s">
        <v>162</v>
      </c>
      <c r="B513" t="s">
        <v>173</v>
      </c>
      <c r="C513" t="s">
        <v>169</v>
      </c>
      <c r="D513" s="9">
        <v>1</v>
      </c>
      <c r="E513" t="s">
        <v>74</v>
      </c>
      <c r="G513">
        <v>85.66</v>
      </c>
      <c r="H513">
        <v>85.635000000000005</v>
      </c>
      <c r="I513" t="s">
        <v>92</v>
      </c>
      <c r="K513">
        <f t="shared" ref="K513:K576" si="16">MIN(G513:H513)</f>
        <v>85.635000000000005</v>
      </c>
      <c r="L513">
        <f t="shared" ref="L513:L576" si="17">MAX(G513:H513)</f>
        <v>85.66</v>
      </c>
      <c r="M513" t="s">
        <v>143</v>
      </c>
      <c r="O513" s="7">
        <v>44544</v>
      </c>
      <c r="P513" t="s">
        <v>145</v>
      </c>
      <c r="Q513">
        <v>70611</v>
      </c>
      <c r="R513" t="s">
        <v>196</v>
      </c>
      <c r="S513">
        <v>12</v>
      </c>
      <c r="T513">
        <v>175</v>
      </c>
      <c r="U513" t="s">
        <v>207</v>
      </c>
    </row>
    <row r="514" spans="1:21" x14ac:dyDescent="0.15">
      <c r="A514" t="s">
        <v>162</v>
      </c>
      <c r="B514" t="s">
        <v>173</v>
      </c>
      <c r="C514" t="s">
        <v>169</v>
      </c>
      <c r="D514" s="9">
        <v>1</v>
      </c>
      <c r="E514" t="s">
        <v>76</v>
      </c>
      <c r="F514" t="s">
        <v>77</v>
      </c>
      <c r="G514">
        <v>84.42</v>
      </c>
      <c r="H514">
        <v>84.025000000000006</v>
      </c>
      <c r="I514" t="s">
        <v>91</v>
      </c>
      <c r="K514">
        <f t="shared" si="16"/>
        <v>84.025000000000006</v>
      </c>
      <c r="L514">
        <f t="shared" si="17"/>
        <v>84.42</v>
      </c>
      <c r="M514" t="s">
        <v>28</v>
      </c>
      <c r="O514" s="7">
        <v>44544</v>
      </c>
      <c r="P514" t="s">
        <v>194</v>
      </c>
      <c r="Q514">
        <v>50405</v>
      </c>
      <c r="R514" t="s">
        <v>196</v>
      </c>
      <c r="S514">
        <v>173</v>
      </c>
      <c r="T514">
        <v>175</v>
      </c>
      <c r="U514" t="s">
        <v>207</v>
      </c>
    </row>
    <row r="515" spans="1:21" x14ac:dyDescent="0.15">
      <c r="A515" t="s">
        <v>162</v>
      </c>
      <c r="B515" t="s">
        <v>173</v>
      </c>
      <c r="C515" t="s">
        <v>169</v>
      </c>
      <c r="D515" s="9">
        <v>1</v>
      </c>
      <c r="E515" t="s">
        <v>74</v>
      </c>
      <c r="G515">
        <v>83.12</v>
      </c>
      <c r="H515">
        <v>82.93</v>
      </c>
      <c r="I515" t="s">
        <v>92</v>
      </c>
      <c r="K515">
        <f t="shared" si="16"/>
        <v>82.93</v>
      </c>
      <c r="L515">
        <f t="shared" si="17"/>
        <v>83.12</v>
      </c>
      <c r="M515" t="s">
        <v>143</v>
      </c>
      <c r="O515" s="7">
        <v>44544</v>
      </c>
      <c r="P515" t="s">
        <v>145</v>
      </c>
      <c r="Q515">
        <v>70611</v>
      </c>
      <c r="R515" t="s">
        <v>196</v>
      </c>
      <c r="S515">
        <v>92</v>
      </c>
      <c r="T515">
        <v>175</v>
      </c>
      <c r="U515" t="s">
        <v>207</v>
      </c>
    </row>
    <row r="516" spans="1:21" x14ac:dyDescent="0.15">
      <c r="A516" t="s">
        <v>162</v>
      </c>
      <c r="B516" t="s">
        <v>173</v>
      </c>
      <c r="C516" t="s">
        <v>169</v>
      </c>
      <c r="D516" s="9">
        <v>1</v>
      </c>
      <c r="E516" t="s">
        <v>74</v>
      </c>
      <c r="G516">
        <v>82.9</v>
      </c>
      <c r="H516">
        <v>82.85</v>
      </c>
      <c r="I516" t="s">
        <v>92</v>
      </c>
      <c r="K516">
        <f t="shared" si="16"/>
        <v>82.85</v>
      </c>
      <c r="L516">
        <f t="shared" si="17"/>
        <v>82.9</v>
      </c>
      <c r="M516" t="s">
        <v>143</v>
      </c>
      <c r="O516" s="7">
        <v>44544</v>
      </c>
      <c r="P516" t="s">
        <v>145</v>
      </c>
      <c r="Q516">
        <v>70611</v>
      </c>
      <c r="R516" t="s">
        <v>196</v>
      </c>
      <c r="S516">
        <v>24</v>
      </c>
      <c r="T516">
        <v>175</v>
      </c>
      <c r="U516" t="s">
        <v>207</v>
      </c>
    </row>
    <row r="517" spans="1:21" x14ac:dyDescent="0.15">
      <c r="A517" t="s">
        <v>162</v>
      </c>
      <c r="B517" t="s">
        <v>173</v>
      </c>
      <c r="C517" t="s">
        <v>169</v>
      </c>
      <c r="D517" s="9">
        <v>1</v>
      </c>
      <c r="E517" t="s">
        <v>74</v>
      </c>
      <c r="G517">
        <v>82.3</v>
      </c>
      <c r="H517">
        <v>82.275000000000006</v>
      </c>
      <c r="I517" t="s">
        <v>92</v>
      </c>
      <c r="K517">
        <f t="shared" si="16"/>
        <v>82.275000000000006</v>
      </c>
      <c r="L517">
        <f t="shared" si="17"/>
        <v>82.3</v>
      </c>
      <c r="M517" t="s">
        <v>143</v>
      </c>
      <c r="O517" s="7">
        <v>44544</v>
      </c>
      <c r="P517" t="s">
        <v>145</v>
      </c>
      <c r="Q517">
        <v>70611</v>
      </c>
      <c r="R517" t="s">
        <v>196</v>
      </c>
      <c r="S517">
        <v>12</v>
      </c>
      <c r="T517">
        <v>175</v>
      </c>
      <c r="U517" t="s">
        <v>207</v>
      </c>
    </row>
    <row r="518" spans="1:21" x14ac:dyDescent="0.15">
      <c r="A518" t="s">
        <v>162</v>
      </c>
      <c r="B518" t="s">
        <v>173</v>
      </c>
      <c r="C518" t="s">
        <v>169</v>
      </c>
      <c r="D518" s="9">
        <v>1</v>
      </c>
      <c r="E518" t="s">
        <v>74</v>
      </c>
      <c r="G518">
        <v>82.125</v>
      </c>
      <c r="H518">
        <v>82.075000000000003</v>
      </c>
      <c r="I518" t="s">
        <v>92</v>
      </c>
      <c r="K518">
        <f t="shared" si="16"/>
        <v>82.075000000000003</v>
      </c>
      <c r="L518">
        <f t="shared" si="17"/>
        <v>82.125</v>
      </c>
      <c r="M518" t="s">
        <v>143</v>
      </c>
      <c r="O518" s="7">
        <v>44544</v>
      </c>
      <c r="P518" t="s">
        <v>145</v>
      </c>
      <c r="Q518">
        <v>70611</v>
      </c>
      <c r="R518" t="s">
        <v>196</v>
      </c>
      <c r="S518">
        <v>24</v>
      </c>
      <c r="T518">
        <v>175</v>
      </c>
      <c r="U518" t="s">
        <v>207</v>
      </c>
    </row>
    <row r="519" spans="1:21" x14ac:dyDescent="0.15">
      <c r="A519" t="s">
        <v>162</v>
      </c>
      <c r="B519" t="s">
        <v>173</v>
      </c>
      <c r="C519" t="s">
        <v>169</v>
      </c>
      <c r="D519" s="9">
        <v>1</v>
      </c>
      <c r="E519" t="s">
        <v>74</v>
      </c>
      <c r="G519">
        <v>81.95</v>
      </c>
      <c r="H519">
        <v>81.924999999999997</v>
      </c>
      <c r="I519" t="s">
        <v>92</v>
      </c>
      <c r="K519">
        <f t="shared" si="16"/>
        <v>81.924999999999997</v>
      </c>
      <c r="L519">
        <f t="shared" si="17"/>
        <v>81.95</v>
      </c>
      <c r="M519" t="s">
        <v>143</v>
      </c>
      <c r="O519" s="7">
        <v>44544</v>
      </c>
      <c r="P519" t="s">
        <v>145</v>
      </c>
      <c r="Q519">
        <v>70611</v>
      </c>
      <c r="R519" t="s">
        <v>196</v>
      </c>
      <c r="S519">
        <v>12</v>
      </c>
      <c r="T519">
        <v>175</v>
      </c>
      <c r="U519" t="s">
        <v>207</v>
      </c>
    </row>
    <row r="520" spans="1:21" x14ac:dyDescent="0.15">
      <c r="A520" t="s">
        <v>162</v>
      </c>
      <c r="B520" t="s">
        <v>173</v>
      </c>
      <c r="C520" t="s">
        <v>169</v>
      </c>
      <c r="D520" s="9">
        <v>1</v>
      </c>
      <c r="E520" t="s">
        <v>74</v>
      </c>
      <c r="G520">
        <v>81.849999999999994</v>
      </c>
      <c r="H520">
        <v>81.8</v>
      </c>
      <c r="I520" t="s">
        <v>92</v>
      </c>
      <c r="K520">
        <f t="shared" si="16"/>
        <v>81.8</v>
      </c>
      <c r="L520">
        <f t="shared" si="17"/>
        <v>81.849999999999994</v>
      </c>
      <c r="M520" t="s">
        <v>143</v>
      </c>
      <c r="O520" s="7">
        <v>44544</v>
      </c>
      <c r="P520" t="s">
        <v>145</v>
      </c>
      <c r="Q520">
        <v>70611</v>
      </c>
      <c r="R520" t="s">
        <v>196</v>
      </c>
      <c r="S520">
        <v>24</v>
      </c>
      <c r="T520">
        <v>175</v>
      </c>
      <c r="U520" t="s">
        <v>207</v>
      </c>
    </row>
    <row r="521" spans="1:21" x14ac:dyDescent="0.15">
      <c r="A521" t="s">
        <v>162</v>
      </c>
      <c r="B521" t="s">
        <v>173</v>
      </c>
      <c r="C521" t="s">
        <v>169</v>
      </c>
      <c r="D521" s="9">
        <v>1</v>
      </c>
      <c r="E521" t="s">
        <v>74</v>
      </c>
      <c r="G521">
        <v>80.7</v>
      </c>
      <c r="H521">
        <v>80.599999999999994</v>
      </c>
      <c r="I521" t="s">
        <v>92</v>
      </c>
      <c r="K521">
        <f t="shared" si="16"/>
        <v>80.599999999999994</v>
      </c>
      <c r="L521">
        <f t="shared" si="17"/>
        <v>80.7</v>
      </c>
      <c r="M521" t="s">
        <v>143</v>
      </c>
      <c r="O521" s="7">
        <v>44544</v>
      </c>
      <c r="P521" t="s">
        <v>145</v>
      </c>
      <c r="Q521">
        <v>70611</v>
      </c>
      <c r="R521" t="s">
        <v>196</v>
      </c>
      <c r="S521">
        <v>48</v>
      </c>
      <c r="T521">
        <v>175</v>
      </c>
      <c r="U521" t="s">
        <v>207</v>
      </c>
    </row>
    <row r="522" spans="1:21" x14ac:dyDescent="0.15">
      <c r="A522" t="s">
        <v>162</v>
      </c>
      <c r="B522" t="s">
        <v>173</v>
      </c>
      <c r="C522" t="s">
        <v>169</v>
      </c>
      <c r="D522" s="9">
        <v>1</v>
      </c>
      <c r="E522" t="s">
        <v>74</v>
      </c>
      <c r="G522">
        <v>80.5</v>
      </c>
      <c r="H522">
        <v>80.400000000000006</v>
      </c>
      <c r="I522" t="s">
        <v>92</v>
      </c>
      <c r="K522">
        <f t="shared" si="16"/>
        <v>80.400000000000006</v>
      </c>
      <c r="L522">
        <f t="shared" si="17"/>
        <v>80.5</v>
      </c>
      <c r="M522" t="s">
        <v>143</v>
      </c>
      <c r="O522" s="7">
        <v>44544</v>
      </c>
      <c r="P522" t="s">
        <v>145</v>
      </c>
      <c r="Q522">
        <v>70611</v>
      </c>
      <c r="R522" t="s">
        <v>196</v>
      </c>
      <c r="S522">
        <v>48</v>
      </c>
      <c r="T522">
        <v>175</v>
      </c>
      <c r="U522" t="s">
        <v>207</v>
      </c>
    </row>
    <row r="523" spans="1:21" x14ac:dyDescent="0.15">
      <c r="A523" t="s">
        <v>162</v>
      </c>
      <c r="B523" t="s">
        <v>173</v>
      </c>
      <c r="C523" t="s">
        <v>169</v>
      </c>
      <c r="D523" s="9">
        <v>1</v>
      </c>
      <c r="E523" t="s">
        <v>74</v>
      </c>
      <c r="G523">
        <v>79.474999999999994</v>
      </c>
      <c r="H523">
        <v>79.45</v>
      </c>
      <c r="I523" t="s">
        <v>92</v>
      </c>
      <c r="K523">
        <f t="shared" si="16"/>
        <v>79.45</v>
      </c>
      <c r="L523">
        <f t="shared" si="17"/>
        <v>79.474999999999994</v>
      </c>
      <c r="M523" t="s">
        <v>143</v>
      </c>
      <c r="O523" s="7">
        <v>44544</v>
      </c>
      <c r="P523" t="s">
        <v>145</v>
      </c>
      <c r="Q523">
        <v>70611</v>
      </c>
      <c r="R523" t="s">
        <v>196</v>
      </c>
      <c r="S523">
        <v>12</v>
      </c>
      <c r="T523">
        <v>175</v>
      </c>
      <c r="U523" t="s">
        <v>207</v>
      </c>
    </row>
    <row r="524" spans="1:21" x14ac:dyDescent="0.15">
      <c r="A524" t="s">
        <v>162</v>
      </c>
      <c r="B524" t="s">
        <v>173</v>
      </c>
      <c r="C524" t="s">
        <v>169</v>
      </c>
      <c r="D524" s="9">
        <v>1</v>
      </c>
      <c r="E524" t="s">
        <v>74</v>
      </c>
      <c r="G524">
        <v>79.474999999999994</v>
      </c>
      <c r="H524">
        <v>79.45</v>
      </c>
      <c r="I524" t="s">
        <v>93</v>
      </c>
      <c r="K524">
        <f t="shared" si="16"/>
        <v>79.45</v>
      </c>
      <c r="L524">
        <f t="shared" si="17"/>
        <v>79.474999999999994</v>
      </c>
      <c r="M524" t="s">
        <v>143</v>
      </c>
      <c r="O524" s="7">
        <v>44544</v>
      </c>
      <c r="P524" t="s">
        <v>145</v>
      </c>
      <c r="Q524">
        <v>70611</v>
      </c>
      <c r="R524" t="s">
        <v>196</v>
      </c>
      <c r="S524">
        <v>12</v>
      </c>
      <c r="T524">
        <v>175</v>
      </c>
      <c r="U524" t="s">
        <v>207</v>
      </c>
    </row>
    <row r="525" spans="1:21" x14ac:dyDescent="0.15">
      <c r="A525" t="s">
        <v>162</v>
      </c>
      <c r="B525" t="s">
        <v>173</v>
      </c>
      <c r="C525" t="s">
        <v>169</v>
      </c>
      <c r="D525" s="9">
        <v>1</v>
      </c>
      <c r="E525" t="s">
        <v>76</v>
      </c>
      <c r="F525" t="s">
        <v>77</v>
      </c>
      <c r="G525">
        <v>77.75</v>
      </c>
      <c r="H525">
        <v>77.724999999999994</v>
      </c>
      <c r="I525" t="s">
        <v>91</v>
      </c>
      <c r="K525">
        <f t="shared" si="16"/>
        <v>77.724999999999994</v>
      </c>
      <c r="L525">
        <f t="shared" si="17"/>
        <v>77.75</v>
      </c>
      <c r="M525" t="s">
        <v>100</v>
      </c>
      <c r="O525" s="7">
        <v>44544</v>
      </c>
      <c r="P525" t="s">
        <v>145</v>
      </c>
      <c r="Q525">
        <v>70611</v>
      </c>
      <c r="R525" t="s">
        <v>196</v>
      </c>
      <c r="S525">
        <v>13</v>
      </c>
      <c r="T525">
        <v>175</v>
      </c>
      <c r="U525" t="s">
        <v>207</v>
      </c>
    </row>
    <row r="526" spans="1:21" x14ac:dyDescent="0.15">
      <c r="A526" t="s">
        <v>162</v>
      </c>
      <c r="B526" t="s">
        <v>173</v>
      </c>
      <c r="C526" t="s">
        <v>169</v>
      </c>
      <c r="D526" s="9">
        <v>1</v>
      </c>
      <c r="E526" t="s">
        <v>74</v>
      </c>
      <c r="G526">
        <v>77.765000000000001</v>
      </c>
      <c r="H526">
        <v>77.739999999999995</v>
      </c>
      <c r="I526" t="s">
        <v>92</v>
      </c>
      <c r="K526">
        <f t="shared" si="16"/>
        <v>77.739999999999995</v>
      </c>
      <c r="L526">
        <f t="shared" si="17"/>
        <v>77.765000000000001</v>
      </c>
      <c r="M526" t="s">
        <v>143</v>
      </c>
      <c r="O526" s="7">
        <v>44544</v>
      </c>
      <c r="P526" t="s">
        <v>145</v>
      </c>
      <c r="Q526">
        <v>70611</v>
      </c>
      <c r="R526" t="s">
        <v>196</v>
      </c>
      <c r="S526">
        <v>12</v>
      </c>
      <c r="T526">
        <v>175</v>
      </c>
      <c r="U526" t="s">
        <v>207</v>
      </c>
    </row>
    <row r="527" spans="1:21" x14ac:dyDescent="0.15">
      <c r="A527" t="s">
        <v>162</v>
      </c>
      <c r="B527" t="s">
        <v>173</v>
      </c>
      <c r="C527" t="s">
        <v>169</v>
      </c>
      <c r="D527" s="9">
        <v>1</v>
      </c>
      <c r="E527" t="s">
        <v>74</v>
      </c>
      <c r="G527">
        <v>77.53</v>
      </c>
      <c r="H527">
        <v>77.5</v>
      </c>
      <c r="I527" t="s">
        <v>92</v>
      </c>
      <c r="K527">
        <f t="shared" si="16"/>
        <v>77.5</v>
      </c>
      <c r="L527">
        <f t="shared" si="17"/>
        <v>77.53</v>
      </c>
      <c r="M527" t="s">
        <v>143</v>
      </c>
      <c r="O527" s="7">
        <v>44544</v>
      </c>
      <c r="P527" t="s">
        <v>145</v>
      </c>
      <c r="Q527">
        <v>70611</v>
      </c>
      <c r="R527" t="s">
        <v>196</v>
      </c>
      <c r="S527">
        <v>15</v>
      </c>
      <c r="T527">
        <v>175</v>
      </c>
      <c r="U527" t="s">
        <v>207</v>
      </c>
    </row>
    <row r="528" spans="1:21" x14ac:dyDescent="0.15">
      <c r="A528" t="s">
        <v>162</v>
      </c>
      <c r="B528" t="s">
        <v>173</v>
      </c>
      <c r="C528" t="s">
        <v>169</v>
      </c>
      <c r="D528" s="9">
        <v>1</v>
      </c>
      <c r="E528" t="s">
        <v>74</v>
      </c>
      <c r="G528">
        <v>77.400000000000006</v>
      </c>
      <c r="H528">
        <v>77.290000000000006</v>
      </c>
      <c r="I528" t="s">
        <v>92</v>
      </c>
      <c r="K528">
        <f t="shared" si="16"/>
        <v>77.290000000000006</v>
      </c>
      <c r="L528">
        <f t="shared" si="17"/>
        <v>77.400000000000006</v>
      </c>
      <c r="M528" t="s">
        <v>143</v>
      </c>
      <c r="O528" s="7">
        <v>44544</v>
      </c>
      <c r="P528" t="s">
        <v>145</v>
      </c>
      <c r="Q528">
        <v>70611</v>
      </c>
      <c r="R528" t="s">
        <v>196</v>
      </c>
      <c r="S528">
        <v>53</v>
      </c>
      <c r="T528">
        <v>175</v>
      </c>
      <c r="U528" t="s">
        <v>207</v>
      </c>
    </row>
    <row r="529" spans="1:21" x14ac:dyDescent="0.15">
      <c r="A529" t="s">
        <v>162</v>
      </c>
      <c r="B529" t="s">
        <v>173</v>
      </c>
      <c r="C529" t="s">
        <v>169</v>
      </c>
      <c r="D529" s="9">
        <v>1</v>
      </c>
      <c r="E529" t="s">
        <v>74</v>
      </c>
      <c r="G529">
        <v>77.099999999999994</v>
      </c>
      <c r="H529">
        <v>76.95</v>
      </c>
      <c r="I529" t="s">
        <v>92</v>
      </c>
      <c r="K529">
        <f t="shared" si="16"/>
        <v>76.95</v>
      </c>
      <c r="L529">
        <f t="shared" si="17"/>
        <v>77.099999999999994</v>
      </c>
      <c r="M529" t="s">
        <v>143</v>
      </c>
      <c r="O529" s="7">
        <v>44544</v>
      </c>
      <c r="P529" t="s">
        <v>145</v>
      </c>
      <c r="Q529">
        <v>70611</v>
      </c>
      <c r="R529" t="s">
        <v>196</v>
      </c>
      <c r="S529">
        <v>68</v>
      </c>
      <c r="T529">
        <v>175</v>
      </c>
      <c r="U529" t="s">
        <v>207</v>
      </c>
    </row>
    <row r="530" spans="1:21" x14ac:dyDescent="0.15">
      <c r="A530" t="s">
        <v>162</v>
      </c>
      <c r="B530" t="s">
        <v>173</v>
      </c>
      <c r="C530" t="s">
        <v>169</v>
      </c>
      <c r="D530" s="9">
        <v>1</v>
      </c>
      <c r="E530" t="s">
        <v>74</v>
      </c>
      <c r="G530">
        <v>76.56</v>
      </c>
      <c r="H530">
        <v>76.5</v>
      </c>
      <c r="I530" t="s">
        <v>92</v>
      </c>
      <c r="K530">
        <f t="shared" si="16"/>
        <v>76.5</v>
      </c>
      <c r="L530">
        <f t="shared" si="17"/>
        <v>76.56</v>
      </c>
      <c r="M530" t="s">
        <v>143</v>
      </c>
      <c r="O530" s="7">
        <v>44544</v>
      </c>
      <c r="P530" t="s">
        <v>145</v>
      </c>
      <c r="Q530">
        <v>70611</v>
      </c>
      <c r="R530" t="s">
        <v>196</v>
      </c>
      <c r="S530">
        <v>29</v>
      </c>
      <c r="T530">
        <v>175</v>
      </c>
      <c r="U530" t="s">
        <v>207</v>
      </c>
    </row>
    <row r="531" spans="1:21" x14ac:dyDescent="0.15">
      <c r="A531" t="s">
        <v>162</v>
      </c>
      <c r="B531" t="s">
        <v>173</v>
      </c>
      <c r="C531" t="s">
        <v>169</v>
      </c>
      <c r="D531" s="9">
        <v>1</v>
      </c>
      <c r="E531" t="s">
        <v>74</v>
      </c>
      <c r="G531">
        <v>76.375</v>
      </c>
      <c r="H531">
        <v>76.325000000000003</v>
      </c>
      <c r="I531" t="s">
        <v>92</v>
      </c>
      <c r="K531">
        <f t="shared" si="16"/>
        <v>76.325000000000003</v>
      </c>
      <c r="L531">
        <f t="shared" si="17"/>
        <v>76.375</v>
      </c>
      <c r="M531" t="s">
        <v>143</v>
      </c>
      <c r="O531" s="7">
        <v>44544</v>
      </c>
      <c r="P531" t="s">
        <v>145</v>
      </c>
      <c r="Q531">
        <v>70611</v>
      </c>
      <c r="R531" t="s">
        <v>196</v>
      </c>
      <c r="S531">
        <v>24</v>
      </c>
      <c r="T531">
        <v>175</v>
      </c>
      <c r="U531" t="s">
        <v>207</v>
      </c>
    </row>
    <row r="532" spans="1:21" x14ac:dyDescent="0.15">
      <c r="A532" t="s">
        <v>162</v>
      </c>
      <c r="B532" t="s">
        <v>173</v>
      </c>
      <c r="C532" t="s">
        <v>169</v>
      </c>
      <c r="D532" s="9">
        <v>1</v>
      </c>
      <c r="E532" t="s">
        <v>74</v>
      </c>
      <c r="G532">
        <v>71.814999999999998</v>
      </c>
      <c r="H532">
        <v>71.790000000000006</v>
      </c>
      <c r="I532" t="s">
        <v>91</v>
      </c>
      <c r="K532">
        <f t="shared" si="16"/>
        <v>71.790000000000006</v>
      </c>
      <c r="L532">
        <f t="shared" si="17"/>
        <v>71.814999999999998</v>
      </c>
      <c r="M532" t="s">
        <v>143</v>
      </c>
      <c r="O532" s="7">
        <v>44544</v>
      </c>
      <c r="P532" t="s">
        <v>145</v>
      </c>
      <c r="Q532">
        <v>70611</v>
      </c>
      <c r="R532" t="s">
        <v>196</v>
      </c>
      <c r="S532">
        <v>10</v>
      </c>
      <c r="T532">
        <v>175</v>
      </c>
      <c r="U532" t="s">
        <v>207</v>
      </c>
    </row>
    <row r="533" spans="1:21" x14ac:dyDescent="0.15">
      <c r="A533" t="s">
        <v>162</v>
      </c>
      <c r="B533" t="s">
        <v>173</v>
      </c>
      <c r="C533" t="s">
        <v>169</v>
      </c>
      <c r="D533" s="9">
        <v>1</v>
      </c>
      <c r="E533" t="s">
        <v>74</v>
      </c>
      <c r="G533">
        <v>71.55</v>
      </c>
      <c r="H533">
        <v>71.5</v>
      </c>
      <c r="I533" t="s">
        <v>92</v>
      </c>
      <c r="K533">
        <f t="shared" si="16"/>
        <v>71.5</v>
      </c>
      <c r="L533">
        <f t="shared" si="17"/>
        <v>71.55</v>
      </c>
      <c r="M533" t="s">
        <v>143</v>
      </c>
      <c r="O533" s="7">
        <v>44544</v>
      </c>
      <c r="P533" t="s">
        <v>145</v>
      </c>
      <c r="Q533">
        <v>70611</v>
      </c>
      <c r="R533" t="s">
        <v>196</v>
      </c>
      <c r="S533">
        <v>24</v>
      </c>
      <c r="T533">
        <v>175</v>
      </c>
      <c r="U533" t="s">
        <v>207</v>
      </c>
    </row>
    <row r="534" spans="1:21" x14ac:dyDescent="0.15">
      <c r="A534" t="s">
        <v>162</v>
      </c>
      <c r="B534" t="s">
        <v>173</v>
      </c>
      <c r="C534" t="s">
        <v>169</v>
      </c>
      <c r="D534" s="9">
        <v>1</v>
      </c>
      <c r="E534" t="s">
        <v>74</v>
      </c>
      <c r="G534">
        <v>71.474999999999994</v>
      </c>
      <c r="H534">
        <v>71.45</v>
      </c>
      <c r="I534" t="s">
        <v>92</v>
      </c>
      <c r="K534">
        <f t="shared" si="16"/>
        <v>71.45</v>
      </c>
      <c r="L534">
        <f t="shared" si="17"/>
        <v>71.474999999999994</v>
      </c>
      <c r="M534" t="s">
        <v>143</v>
      </c>
      <c r="O534" s="7">
        <v>44544</v>
      </c>
      <c r="P534" t="s">
        <v>145</v>
      </c>
      <c r="Q534">
        <v>70611</v>
      </c>
      <c r="R534" t="s">
        <v>196</v>
      </c>
      <c r="S534">
        <v>12</v>
      </c>
      <c r="T534">
        <v>175</v>
      </c>
      <c r="U534" t="s">
        <v>207</v>
      </c>
    </row>
    <row r="535" spans="1:21" x14ac:dyDescent="0.15">
      <c r="A535" t="s">
        <v>162</v>
      </c>
      <c r="B535" t="s">
        <v>173</v>
      </c>
      <c r="C535" t="s">
        <v>169</v>
      </c>
      <c r="D535" s="9">
        <v>1</v>
      </c>
      <c r="E535" t="s">
        <v>76</v>
      </c>
      <c r="F535" t="s">
        <v>77</v>
      </c>
      <c r="G535">
        <v>69.474999999999994</v>
      </c>
      <c r="H535">
        <v>69.2</v>
      </c>
      <c r="J535" t="s">
        <v>23</v>
      </c>
      <c r="K535">
        <f t="shared" si="16"/>
        <v>69.2</v>
      </c>
      <c r="L535">
        <f t="shared" si="17"/>
        <v>69.474999999999994</v>
      </c>
      <c r="M535" t="s">
        <v>28</v>
      </c>
      <c r="O535" s="7">
        <v>44547</v>
      </c>
      <c r="P535" t="s">
        <v>194</v>
      </c>
      <c r="Q535">
        <v>50405</v>
      </c>
      <c r="R535" t="s">
        <v>196</v>
      </c>
      <c r="S535">
        <v>180</v>
      </c>
      <c r="T535">
        <v>175</v>
      </c>
      <c r="U535" t="s">
        <v>207</v>
      </c>
    </row>
    <row r="536" spans="1:21" x14ac:dyDescent="0.15">
      <c r="A536" t="s">
        <v>162</v>
      </c>
      <c r="B536" t="s">
        <v>173</v>
      </c>
      <c r="C536" t="s">
        <v>169</v>
      </c>
      <c r="D536" s="9">
        <v>1</v>
      </c>
      <c r="E536" t="s">
        <v>76</v>
      </c>
      <c r="F536" t="s">
        <v>89</v>
      </c>
      <c r="G536">
        <v>68.599999999999994</v>
      </c>
      <c r="H536">
        <v>68.540000000000006</v>
      </c>
      <c r="J536" t="s">
        <v>23</v>
      </c>
      <c r="K536">
        <f t="shared" si="16"/>
        <v>68.540000000000006</v>
      </c>
      <c r="L536">
        <f t="shared" si="17"/>
        <v>68.599999999999994</v>
      </c>
      <c r="M536" t="s">
        <v>100</v>
      </c>
      <c r="O536" s="7">
        <v>44547</v>
      </c>
      <c r="P536" t="s">
        <v>145</v>
      </c>
      <c r="Q536">
        <v>43611</v>
      </c>
      <c r="R536" t="s">
        <v>196</v>
      </c>
      <c r="S536">
        <v>27</v>
      </c>
      <c r="T536">
        <v>175</v>
      </c>
      <c r="U536" t="s">
        <v>207</v>
      </c>
    </row>
    <row r="537" spans="1:21" x14ac:dyDescent="0.15">
      <c r="A537" t="s">
        <v>162</v>
      </c>
      <c r="B537" t="s">
        <v>173</v>
      </c>
      <c r="C537" t="s">
        <v>169</v>
      </c>
      <c r="D537" s="9">
        <v>1</v>
      </c>
      <c r="E537" t="s">
        <v>74</v>
      </c>
      <c r="G537">
        <v>68.415000000000006</v>
      </c>
      <c r="H537">
        <v>68.275000000000006</v>
      </c>
      <c r="I537" t="s">
        <v>92</v>
      </c>
      <c r="K537">
        <f t="shared" si="16"/>
        <v>68.275000000000006</v>
      </c>
      <c r="L537">
        <f t="shared" si="17"/>
        <v>68.415000000000006</v>
      </c>
      <c r="M537" t="s">
        <v>143</v>
      </c>
      <c r="O537" s="7">
        <v>44547</v>
      </c>
      <c r="P537" t="s">
        <v>145</v>
      </c>
      <c r="Q537">
        <v>70611</v>
      </c>
      <c r="R537" t="s">
        <v>196</v>
      </c>
      <c r="S537">
        <v>68</v>
      </c>
      <c r="T537">
        <v>175</v>
      </c>
      <c r="U537" t="s">
        <v>207</v>
      </c>
    </row>
    <row r="538" spans="1:21" x14ac:dyDescent="0.15">
      <c r="A538" t="s">
        <v>162</v>
      </c>
      <c r="B538" t="s">
        <v>173</v>
      </c>
      <c r="C538" t="s">
        <v>169</v>
      </c>
      <c r="D538" s="9">
        <v>1</v>
      </c>
      <c r="E538" t="s">
        <v>76</v>
      </c>
      <c r="F538" t="s">
        <v>77</v>
      </c>
      <c r="G538">
        <v>68.185000000000002</v>
      </c>
      <c r="H538">
        <v>68.16</v>
      </c>
      <c r="I538" t="s">
        <v>91</v>
      </c>
      <c r="K538">
        <f t="shared" si="16"/>
        <v>68.16</v>
      </c>
      <c r="L538">
        <f t="shared" si="17"/>
        <v>68.185000000000002</v>
      </c>
      <c r="M538" t="s">
        <v>100</v>
      </c>
      <c r="O538" s="7">
        <v>44547</v>
      </c>
      <c r="P538" t="s">
        <v>145</v>
      </c>
      <c r="Q538">
        <v>43611</v>
      </c>
      <c r="R538" t="s">
        <v>196</v>
      </c>
      <c r="S538">
        <v>14</v>
      </c>
      <c r="T538">
        <v>175</v>
      </c>
      <c r="U538" t="s">
        <v>207</v>
      </c>
    </row>
    <row r="539" spans="1:21" x14ac:dyDescent="0.15">
      <c r="A539" t="s">
        <v>162</v>
      </c>
      <c r="B539" t="s">
        <v>173</v>
      </c>
      <c r="C539" t="s">
        <v>169</v>
      </c>
      <c r="D539" s="9">
        <v>1</v>
      </c>
      <c r="E539" t="s">
        <v>74</v>
      </c>
      <c r="G539">
        <v>68.025000000000006</v>
      </c>
      <c r="H539">
        <v>68</v>
      </c>
      <c r="I539" t="s">
        <v>92</v>
      </c>
      <c r="K539">
        <f t="shared" si="16"/>
        <v>68</v>
      </c>
      <c r="L539">
        <f t="shared" si="17"/>
        <v>68.025000000000006</v>
      </c>
      <c r="M539" t="s">
        <v>143</v>
      </c>
      <c r="O539" s="7">
        <v>44547</v>
      </c>
      <c r="P539" t="s">
        <v>145</v>
      </c>
      <c r="Q539">
        <v>70611</v>
      </c>
      <c r="R539" t="s">
        <v>196</v>
      </c>
      <c r="S539">
        <v>12</v>
      </c>
      <c r="T539">
        <v>175</v>
      </c>
      <c r="U539" t="s">
        <v>207</v>
      </c>
    </row>
    <row r="540" spans="1:21" x14ac:dyDescent="0.15">
      <c r="A540" t="s">
        <v>162</v>
      </c>
      <c r="B540" t="s">
        <v>173</v>
      </c>
      <c r="C540" t="s">
        <v>169</v>
      </c>
      <c r="D540" s="9">
        <v>1</v>
      </c>
      <c r="E540" t="s">
        <v>74</v>
      </c>
      <c r="G540">
        <v>67.724999999999994</v>
      </c>
      <c r="H540">
        <v>67.7</v>
      </c>
      <c r="I540" t="s">
        <v>92</v>
      </c>
      <c r="K540">
        <f t="shared" si="16"/>
        <v>67.7</v>
      </c>
      <c r="L540">
        <f t="shared" si="17"/>
        <v>67.724999999999994</v>
      </c>
      <c r="M540" t="s">
        <v>143</v>
      </c>
      <c r="O540" s="7">
        <v>44547</v>
      </c>
      <c r="P540" t="s">
        <v>145</v>
      </c>
      <c r="Q540">
        <v>70611</v>
      </c>
      <c r="R540" t="s">
        <v>196</v>
      </c>
      <c r="S540">
        <v>12</v>
      </c>
      <c r="T540">
        <v>175</v>
      </c>
      <c r="U540" t="s">
        <v>207</v>
      </c>
    </row>
    <row r="541" spans="1:21" x14ac:dyDescent="0.15">
      <c r="A541" t="s">
        <v>162</v>
      </c>
      <c r="B541" t="s">
        <v>173</v>
      </c>
      <c r="C541" t="s">
        <v>169</v>
      </c>
      <c r="D541" s="9">
        <v>1</v>
      </c>
      <c r="E541" t="s">
        <v>74</v>
      </c>
      <c r="G541">
        <v>67.655000000000001</v>
      </c>
      <c r="H541">
        <v>67.614999999999995</v>
      </c>
      <c r="I541" t="s">
        <v>92</v>
      </c>
      <c r="K541">
        <f t="shared" si="16"/>
        <v>67.614999999999995</v>
      </c>
      <c r="L541">
        <f t="shared" si="17"/>
        <v>67.655000000000001</v>
      </c>
      <c r="M541" t="s">
        <v>143</v>
      </c>
      <c r="O541" s="7">
        <v>44547</v>
      </c>
      <c r="P541" t="s">
        <v>145</v>
      </c>
      <c r="Q541">
        <v>70611</v>
      </c>
      <c r="R541" t="s">
        <v>196</v>
      </c>
      <c r="S541">
        <v>20</v>
      </c>
      <c r="T541">
        <v>175</v>
      </c>
      <c r="U541" t="s">
        <v>207</v>
      </c>
    </row>
    <row r="542" spans="1:21" x14ac:dyDescent="0.15">
      <c r="A542" t="s">
        <v>162</v>
      </c>
      <c r="B542" t="s">
        <v>173</v>
      </c>
      <c r="C542" t="s">
        <v>169</v>
      </c>
      <c r="D542" s="9">
        <v>1</v>
      </c>
      <c r="E542" t="s">
        <v>74</v>
      </c>
      <c r="G542">
        <v>67.564999999999998</v>
      </c>
      <c r="H542">
        <v>67.504999999999995</v>
      </c>
      <c r="I542" t="s">
        <v>92</v>
      </c>
      <c r="K542">
        <f t="shared" si="16"/>
        <v>67.504999999999995</v>
      </c>
      <c r="L542">
        <f t="shared" si="17"/>
        <v>67.564999999999998</v>
      </c>
      <c r="M542" t="s">
        <v>143</v>
      </c>
      <c r="O542" s="7">
        <v>44547</v>
      </c>
      <c r="P542" t="s">
        <v>145</v>
      </c>
      <c r="Q542">
        <v>70611</v>
      </c>
      <c r="R542" t="s">
        <v>196</v>
      </c>
      <c r="S542">
        <v>29</v>
      </c>
      <c r="T542">
        <v>175</v>
      </c>
      <c r="U542" t="s">
        <v>207</v>
      </c>
    </row>
    <row r="543" spans="1:21" x14ac:dyDescent="0.15">
      <c r="A543" t="s">
        <v>162</v>
      </c>
      <c r="B543" t="s">
        <v>173</v>
      </c>
      <c r="C543" t="s">
        <v>169</v>
      </c>
      <c r="D543" s="9">
        <v>1</v>
      </c>
      <c r="E543" t="s">
        <v>74</v>
      </c>
      <c r="G543">
        <v>66.334999999999994</v>
      </c>
      <c r="H543">
        <v>66.284999999999997</v>
      </c>
      <c r="I543" t="s">
        <v>92</v>
      </c>
      <c r="K543">
        <f t="shared" si="16"/>
        <v>66.284999999999997</v>
      </c>
      <c r="L543">
        <f t="shared" si="17"/>
        <v>66.334999999999994</v>
      </c>
      <c r="M543" t="s">
        <v>143</v>
      </c>
      <c r="O543" s="7">
        <v>44547</v>
      </c>
      <c r="P543" t="s">
        <v>145</v>
      </c>
      <c r="Q543">
        <v>70611</v>
      </c>
      <c r="R543" t="s">
        <v>196</v>
      </c>
      <c r="S543">
        <v>24</v>
      </c>
      <c r="T543">
        <v>175</v>
      </c>
      <c r="U543" t="s">
        <v>207</v>
      </c>
    </row>
    <row r="544" spans="1:21" x14ac:dyDescent="0.15">
      <c r="A544" t="s">
        <v>162</v>
      </c>
      <c r="B544" t="s">
        <v>173</v>
      </c>
      <c r="C544" t="s">
        <v>169</v>
      </c>
      <c r="D544" s="9">
        <v>1</v>
      </c>
      <c r="E544" t="s">
        <v>74</v>
      </c>
      <c r="G544">
        <v>66.224999999999994</v>
      </c>
      <c r="H544">
        <v>66.099999999999994</v>
      </c>
      <c r="I544" t="s">
        <v>92</v>
      </c>
      <c r="K544">
        <f t="shared" si="16"/>
        <v>66.099999999999994</v>
      </c>
      <c r="L544">
        <f t="shared" si="17"/>
        <v>66.224999999999994</v>
      </c>
      <c r="M544" t="s">
        <v>143</v>
      </c>
      <c r="O544" s="7">
        <v>44547</v>
      </c>
      <c r="P544" t="s">
        <v>145</v>
      </c>
      <c r="Q544">
        <v>70611</v>
      </c>
      <c r="R544" t="s">
        <v>196</v>
      </c>
      <c r="S544">
        <v>60</v>
      </c>
      <c r="T544">
        <v>175</v>
      </c>
      <c r="U544" t="s">
        <v>207</v>
      </c>
    </row>
    <row r="545" spans="1:21" x14ac:dyDescent="0.15">
      <c r="A545" t="s">
        <v>162</v>
      </c>
      <c r="B545" t="s">
        <v>173</v>
      </c>
      <c r="C545" t="s">
        <v>169</v>
      </c>
      <c r="D545" s="9">
        <v>1</v>
      </c>
      <c r="E545" t="s">
        <v>74</v>
      </c>
      <c r="G545">
        <v>65.7</v>
      </c>
      <c r="H545">
        <v>65.36</v>
      </c>
      <c r="I545" t="s">
        <v>92</v>
      </c>
      <c r="K545">
        <f t="shared" si="16"/>
        <v>65.36</v>
      </c>
      <c r="L545">
        <f t="shared" si="17"/>
        <v>65.7</v>
      </c>
      <c r="M545" t="s">
        <v>143</v>
      </c>
      <c r="O545" s="7">
        <v>44547</v>
      </c>
      <c r="P545" t="s">
        <v>145</v>
      </c>
      <c r="Q545">
        <v>70611</v>
      </c>
      <c r="R545" t="s">
        <v>196</v>
      </c>
      <c r="S545">
        <v>165</v>
      </c>
      <c r="T545">
        <v>175</v>
      </c>
      <c r="U545" t="s">
        <v>207</v>
      </c>
    </row>
    <row r="546" spans="1:21" x14ac:dyDescent="0.15">
      <c r="A546" t="s">
        <v>162</v>
      </c>
      <c r="B546" t="s">
        <v>173</v>
      </c>
      <c r="C546" t="s">
        <v>169</v>
      </c>
      <c r="D546" s="9">
        <v>1</v>
      </c>
      <c r="E546" t="s">
        <v>74</v>
      </c>
      <c r="G546">
        <v>64.474999999999994</v>
      </c>
      <c r="H546">
        <v>64.45</v>
      </c>
      <c r="I546" t="s">
        <v>92</v>
      </c>
      <c r="K546">
        <f t="shared" si="16"/>
        <v>64.45</v>
      </c>
      <c r="L546">
        <f t="shared" si="17"/>
        <v>64.474999999999994</v>
      </c>
      <c r="M546" t="s">
        <v>143</v>
      </c>
      <c r="O546" s="7">
        <v>44547</v>
      </c>
      <c r="P546" t="s">
        <v>145</v>
      </c>
      <c r="Q546">
        <v>70611</v>
      </c>
      <c r="R546" t="s">
        <v>196</v>
      </c>
      <c r="S546">
        <v>12</v>
      </c>
      <c r="T546">
        <v>175</v>
      </c>
      <c r="U546" t="s">
        <v>207</v>
      </c>
    </row>
    <row r="547" spans="1:21" x14ac:dyDescent="0.15">
      <c r="A547" t="s">
        <v>162</v>
      </c>
      <c r="B547" t="s">
        <v>173</v>
      </c>
      <c r="C547" t="s">
        <v>169</v>
      </c>
      <c r="D547" s="9">
        <v>1</v>
      </c>
      <c r="E547" t="s">
        <v>74</v>
      </c>
      <c r="G547">
        <v>64.275000000000006</v>
      </c>
      <c r="H547">
        <v>64.224999999999994</v>
      </c>
      <c r="I547" t="s">
        <v>92</v>
      </c>
      <c r="K547">
        <f t="shared" si="16"/>
        <v>64.224999999999994</v>
      </c>
      <c r="L547">
        <f t="shared" si="17"/>
        <v>64.275000000000006</v>
      </c>
      <c r="M547" t="s">
        <v>143</v>
      </c>
      <c r="O547" s="7">
        <v>44547</v>
      </c>
      <c r="P547" t="s">
        <v>145</v>
      </c>
      <c r="Q547">
        <v>70611</v>
      </c>
      <c r="R547" t="s">
        <v>196</v>
      </c>
      <c r="S547">
        <v>24</v>
      </c>
      <c r="T547">
        <v>175</v>
      </c>
      <c r="U547" t="s">
        <v>207</v>
      </c>
    </row>
    <row r="548" spans="1:21" x14ac:dyDescent="0.15">
      <c r="A548" t="s">
        <v>162</v>
      </c>
      <c r="B548" t="s">
        <v>173</v>
      </c>
      <c r="C548" t="s">
        <v>169</v>
      </c>
      <c r="D548" s="9">
        <v>1</v>
      </c>
      <c r="E548" t="s">
        <v>74</v>
      </c>
      <c r="G548">
        <v>64.275000000000006</v>
      </c>
      <c r="H548">
        <v>64.239999999999995</v>
      </c>
      <c r="I548" t="s">
        <v>95</v>
      </c>
      <c r="K548">
        <f t="shared" si="16"/>
        <v>64.239999999999995</v>
      </c>
      <c r="L548">
        <f t="shared" si="17"/>
        <v>64.275000000000006</v>
      </c>
      <c r="M548" t="s">
        <v>143</v>
      </c>
      <c r="O548" s="7">
        <v>44547</v>
      </c>
      <c r="P548" t="s">
        <v>145</v>
      </c>
      <c r="Q548">
        <v>70611</v>
      </c>
      <c r="R548" t="s">
        <v>196</v>
      </c>
      <c r="S548">
        <v>17</v>
      </c>
      <c r="T548">
        <v>175</v>
      </c>
      <c r="U548" t="s">
        <v>207</v>
      </c>
    </row>
    <row r="549" spans="1:21" x14ac:dyDescent="0.15">
      <c r="A549" t="s">
        <v>162</v>
      </c>
      <c r="B549" t="s">
        <v>173</v>
      </c>
      <c r="C549" t="s">
        <v>169</v>
      </c>
      <c r="D549" s="9">
        <v>1</v>
      </c>
      <c r="E549" t="s">
        <v>74</v>
      </c>
      <c r="G549">
        <v>64.224999999999994</v>
      </c>
      <c r="H549">
        <v>63.784999999999997</v>
      </c>
      <c r="I549" t="s">
        <v>92</v>
      </c>
      <c r="K549">
        <f t="shared" si="16"/>
        <v>63.784999999999997</v>
      </c>
      <c r="L549">
        <f t="shared" si="17"/>
        <v>64.224999999999994</v>
      </c>
      <c r="M549" t="s">
        <v>143</v>
      </c>
      <c r="O549" s="7">
        <v>44547</v>
      </c>
      <c r="P549" t="s">
        <v>145</v>
      </c>
      <c r="Q549">
        <v>70611</v>
      </c>
      <c r="R549" t="s">
        <v>196</v>
      </c>
      <c r="S549">
        <v>213</v>
      </c>
      <c r="T549">
        <v>175</v>
      </c>
      <c r="U549" t="s">
        <v>207</v>
      </c>
    </row>
    <row r="550" spans="1:21" x14ac:dyDescent="0.15">
      <c r="A550" t="s">
        <v>162</v>
      </c>
      <c r="B550" t="s">
        <v>173</v>
      </c>
      <c r="C550" t="s">
        <v>169</v>
      </c>
      <c r="D550" s="9">
        <v>1</v>
      </c>
      <c r="E550" t="s">
        <v>74</v>
      </c>
      <c r="G550">
        <v>63.015000000000001</v>
      </c>
      <c r="H550">
        <v>62.4</v>
      </c>
      <c r="I550" t="s">
        <v>92</v>
      </c>
      <c r="K550">
        <f t="shared" si="16"/>
        <v>62.4</v>
      </c>
      <c r="L550">
        <f t="shared" si="17"/>
        <v>63.015000000000001</v>
      </c>
      <c r="M550" t="s">
        <v>143</v>
      </c>
      <c r="O550" s="7">
        <v>44547</v>
      </c>
      <c r="P550" t="s">
        <v>145</v>
      </c>
      <c r="Q550">
        <v>70611</v>
      </c>
      <c r="R550" t="s">
        <v>196</v>
      </c>
      <c r="S550">
        <v>298</v>
      </c>
      <c r="T550">
        <v>175</v>
      </c>
      <c r="U550" t="s">
        <v>207</v>
      </c>
    </row>
    <row r="551" spans="1:21" x14ac:dyDescent="0.15">
      <c r="A551" t="s">
        <v>162</v>
      </c>
      <c r="B551" t="s">
        <v>173</v>
      </c>
      <c r="C551" t="s">
        <v>169</v>
      </c>
      <c r="D551" s="9">
        <v>1</v>
      </c>
      <c r="E551" t="s">
        <v>74</v>
      </c>
      <c r="G551">
        <v>62.25</v>
      </c>
      <c r="H551">
        <v>62.2</v>
      </c>
      <c r="I551" t="s">
        <v>92</v>
      </c>
      <c r="K551">
        <f t="shared" si="16"/>
        <v>62.2</v>
      </c>
      <c r="L551">
        <f t="shared" si="17"/>
        <v>62.25</v>
      </c>
      <c r="M551" t="s">
        <v>143</v>
      </c>
      <c r="O551" s="7">
        <v>44547</v>
      </c>
      <c r="P551" t="s">
        <v>145</v>
      </c>
      <c r="Q551">
        <v>70611</v>
      </c>
      <c r="R551" t="s">
        <v>196</v>
      </c>
      <c r="S551">
        <v>24</v>
      </c>
      <c r="T551">
        <v>175</v>
      </c>
      <c r="U551" t="s">
        <v>207</v>
      </c>
    </row>
    <row r="552" spans="1:21" x14ac:dyDescent="0.15">
      <c r="A552" t="s">
        <v>162</v>
      </c>
      <c r="B552" t="s">
        <v>173</v>
      </c>
      <c r="C552" t="s">
        <v>169</v>
      </c>
      <c r="D552" s="9">
        <v>1</v>
      </c>
      <c r="E552" t="s">
        <v>76</v>
      </c>
      <c r="F552" t="s">
        <v>170</v>
      </c>
      <c r="G552">
        <v>62.24</v>
      </c>
      <c r="H552">
        <v>62.005000000000003</v>
      </c>
      <c r="I552" t="s">
        <v>91</v>
      </c>
      <c r="K552">
        <f t="shared" si="16"/>
        <v>62.005000000000003</v>
      </c>
      <c r="L552">
        <f t="shared" si="17"/>
        <v>62.24</v>
      </c>
      <c r="M552" t="s">
        <v>100</v>
      </c>
      <c r="O552" s="7">
        <v>44547</v>
      </c>
      <c r="P552" t="s">
        <v>145</v>
      </c>
      <c r="Q552">
        <v>43611</v>
      </c>
      <c r="R552" t="s">
        <v>196</v>
      </c>
      <c r="S552">
        <v>118</v>
      </c>
      <c r="T552">
        <v>175</v>
      </c>
      <c r="U552" t="s">
        <v>207</v>
      </c>
    </row>
    <row r="553" spans="1:21" x14ac:dyDescent="0.15">
      <c r="A553" t="s">
        <v>162</v>
      </c>
      <c r="B553" t="s">
        <v>173</v>
      </c>
      <c r="C553" t="s">
        <v>169</v>
      </c>
      <c r="D553" s="9">
        <v>1</v>
      </c>
      <c r="E553" t="s">
        <v>74</v>
      </c>
      <c r="G553">
        <v>60.35</v>
      </c>
      <c r="H553">
        <v>59.9</v>
      </c>
      <c r="I553" t="s">
        <v>91</v>
      </c>
      <c r="K553">
        <f t="shared" si="16"/>
        <v>59.9</v>
      </c>
      <c r="L553">
        <f t="shared" si="17"/>
        <v>60.35</v>
      </c>
      <c r="M553" t="s">
        <v>143</v>
      </c>
      <c r="O553" s="7">
        <v>44547</v>
      </c>
      <c r="P553" t="s">
        <v>145</v>
      </c>
      <c r="Q553">
        <v>70611</v>
      </c>
      <c r="R553" t="s">
        <v>196</v>
      </c>
      <c r="S553">
        <v>242</v>
      </c>
      <c r="T553">
        <v>175</v>
      </c>
      <c r="U553" t="s">
        <v>207</v>
      </c>
    </row>
    <row r="554" spans="1:21" x14ac:dyDescent="0.15">
      <c r="A554" t="s">
        <v>162</v>
      </c>
      <c r="B554" t="s">
        <v>173</v>
      </c>
      <c r="C554" t="s">
        <v>169</v>
      </c>
      <c r="D554" s="9">
        <v>1</v>
      </c>
      <c r="E554" t="s">
        <v>74</v>
      </c>
      <c r="G554">
        <v>59.9</v>
      </c>
      <c r="H554">
        <v>59.8</v>
      </c>
      <c r="I554" t="s">
        <v>91</v>
      </c>
      <c r="K554">
        <f t="shared" si="16"/>
        <v>59.8</v>
      </c>
      <c r="L554">
        <f t="shared" si="17"/>
        <v>59.9</v>
      </c>
      <c r="M554" t="s">
        <v>143</v>
      </c>
      <c r="O554" s="7">
        <v>44547</v>
      </c>
      <c r="P554" t="s">
        <v>145</v>
      </c>
      <c r="Q554">
        <v>70611</v>
      </c>
      <c r="R554" t="s">
        <v>196</v>
      </c>
      <c r="S554">
        <v>54</v>
      </c>
      <c r="T554">
        <v>175</v>
      </c>
      <c r="U554" t="s">
        <v>207</v>
      </c>
    </row>
    <row r="555" spans="1:21" x14ac:dyDescent="0.15">
      <c r="A555" t="s">
        <v>162</v>
      </c>
      <c r="B555" t="s">
        <v>173</v>
      </c>
      <c r="C555" t="s">
        <v>169</v>
      </c>
      <c r="D555" s="9">
        <v>1</v>
      </c>
      <c r="E555" t="s">
        <v>74</v>
      </c>
      <c r="G555">
        <v>59.8</v>
      </c>
      <c r="H555">
        <v>59.7</v>
      </c>
      <c r="I555" t="s">
        <v>91</v>
      </c>
      <c r="K555">
        <f t="shared" si="16"/>
        <v>59.7</v>
      </c>
      <c r="L555">
        <f t="shared" si="17"/>
        <v>59.8</v>
      </c>
      <c r="M555" t="s">
        <v>143</v>
      </c>
      <c r="O555" s="7">
        <v>44547</v>
      </c>
      <c r="P555" t="s">
        <v>145</v>
      </c>
      <c r="Q555">
        <v>70611</v>
      </c>
      <c r="R555" t="s">
        <v>196</v>
      </c>
      <c r="S555">
        <v>54</v>
      </c>
      <c r="T555">
        <v>175</v>
      </c>
      <c r="U555" t="s">
        <v>207</v>
      </c>
    </row>
    <row r="556" spans="1:21" x14ac:dyDescent="0.15">
      <c r="A556" t="s">
        <v>162</v>
      </c>
      <c r="B556" t="s">
        <v>173</v>
      </c>
      <c r="C556" t="s">
        <v>169</v>
      </c>
      <c r="D556" s="9">
        <v>1</v>
      </c>
      <c r="E556" t="s">
        <v>76</v>
      </c>
      <c r="F556" t="s">
        <v>86</v>
      </c>
      <c r="G556">
        <v>59.674999999999997</v>
      </c>
      <c r="H556">
        <v>59.64</v>
      </c>
      <c r="I556" t="s">
        <v>91</v>
      </c>
      <c r="K556">
        <f t="shared" si="16"/>
        <v>59.64</v>
      </c>
      <c r="L556">
        <f t="shared" si="17"/>
        <v>59.674999999999997</v>
      </c>
      <c r="M556" t="s">
        <v>100</v>
      </c>
      <c r="O556" s="7">
        <v>44547</v>
      </c>
      <c r="P556" t="s">
        <v>145</v>
      </c>
      <c r="Q556">
        <v>43611</v>
      </c>
      <c r="R556" t="s">
        <v>196</v>
      </c>
      <c r="S556">
        <v>18</v>
      </c>
      <c r="T556">
        <v>175</v>
      </c>
      <c r="U556" t="s">
        <v>207</v>
      </c>
    </row>
    <row r="557" spans="1:21" x14ac:dyDescent="0.15">
      <c r="A557" t="s">
        <v>162</v>
      </c>
      <c r="B557" t="s">
        <v>173</v>
      </c>
      <c r="C557" t="s">
        <v>169</v>
      </c>
      <c r="D557" s="9">
        <v>1</v>
      </c>
      <c r="E557" t="s">
        <v>74</v>
      </c>
      <c r="G557">
        <v>59.435000000000002</v>
      </c>
      <c r="H557">
        <v>59.365000000000002</v>
      </c>
      <c r="I557" t="s">
        <v>92</v>
      </c>
      <c r="K557">
        <f t="shared" si="16"/>
        <v>59.365000000000002</v>
      </c>
      <c r="L557">
        <f t="shared" si="17"/>
        <v>59.435000000000002</v>
      </c>
      <c r="M557" t="s">
        <v>143</v>
      </c>
      <c r="O557" s="7">
        <v>44547</v>
      </c>
      <c r="P557" t="s">
        <v>145</v>
      </c>
      <c r="Q557">
        <v>70611</v>
      </c>
      <c r="R557" t="s">
        <v>196</v>
      </c>
      <c r="S557">
        <v>34</v>
      </c>
      <c r="T557">
        <v>175</v>
      </c>
      <c r="U557" t="s">
        <v>207</v>
      </c>
    </row>
    <row r="558" spans="1:21" x14ac:dyDescent="0.15">
      <c r="A558" t="s">
        <v>162</v>
      </c>
      <c r="B558" t="s">
        <v>173</v>
      </c>
      <c r="C558" t="s">
        <v>169</v>
      </c>
      <c r="D558" s="9">
        <v>1</v>
      </c>
      <c r="E558" t="s">
        <v>74</v>
      </c>
      <c r="G558">
        <v>58.765000000000001</v>
      </c>
      <c r="H558">
        <v>58.25</v>
      </c>
      <c r="I558" t="s">
        <v>92</v>
      </c>
      <c r="K558">
        <f t="shared" si="16"/>
        <v>58.25</v>
      </c>
      <c r="L558">
        <f t="shared" si="17"/>
        <v>58.765000000000001</v>
      </c>
      <c r="M558" t="s">
        <v>143</v>
      </c>
      <c r="O558" s="7">
        <v>44547</v>
      </c>
      <c r="P558" t="s">
        <v>145</v>
      </c>
      <c r="Q558">
        <v>70611</v>
      </c>
      <c r="R558" t="s">
        <v>196</v>
      </c>
      <c r="S558">
        <v>250</v>
      </c>
      <c r="T558">
        <v>175</v>
      </c>
      <c r="U558" t="s">
        <v>207</v>
      </c>
    </row>
    <row r="559" spans="1:21" x14ac:dyDescent="0.15">
      <c r="A559" t="s">
        <v>162</v>
      </c>
      <c r="B559" t="s">
        <v>173</v>
      </c>
      <c r="C559" t="s">
        <v>169</v>
      </c>
      <c r="D559" s="9">
        <v>1</v>
      </c>
      <c r="E559" t="s">
        <v>74</v>
      </c>
      <c r="G559">
        <v>56.844999999999999</v>
      </c>
      <c r="H559">
        <v>56.82</v>
      </c>
      <c r="I559" t="s">
        <v>92</v>
      </c>
      <c r="K559">
        <f t="shared" si="16"/>
        <v>56.82</v>
      </c>
      <c r="L559">
        <f t="shared" si="17"/>
        <v>56.844999999999999</v>
      </c>
      <c r="M559" t="s">
        <v>143</v>
      </c>
      <c r="O559" s="7">
        <v>44547</v>
      </c>
      <c r="P559" t="s">
        <v>145</v>
      </c>
      <c r="Q559">
        <v>70611</v>
      </c>
      <c r="R559" t="s">
        <v>196</v>
      </c>
      <c r="S559">
        <v>12</v>
      </c>
      <c r="T559">
        <v>175</v>
      </c>
      <c r="U559" t="s">
        <v>207</v>
      </c>
    </row>
    <row r="560" spans="1:21" x14ac:dyDescent="0.15">
      <c r="A560" t="s">
        <v>162</v>
      </c>
      <c r="B560" t="s">
        <v>173</v>
      </c>
      <c r="C560" t="s">
        <v>169</v>
      </c>
      <c r="D560" s="9">
        <v>1</v>
      </c>
      <c r="E560" t="s">
        <v>74</v>
      </c>
      <c r="G560">
        <v>56.72</v>
      </c>
      <c r="H560">
        <v>56.695</v>
      </c>
      <c r="I560" t="s">
        <v>91</v>
      </c>
      <c r="K560">
        <f t="shared" si="16"/>
        <v>56.695</v>
      </c>
      <c r="L560">
        <f t="shared" si="17"/>
        <v>56.72</v>
      </c>
      <c r="M560" t="s">
        <v>143</v>
      </c>
      <c r="O560" s="7">
        <v>44547</v>
      </c>
      <c r="P560" t="s">
        <v>145</v>
      </c>
      <c r="Q560">
        <v>70611</v>
      </c>
      <c r="R560" t="s">
        <v>196</v>
      </c>
      <c r="S560">
        <v>14</v>
      </c>
      <c r="T560">
        <v>175</v>
      </c>
      <c r="U560" t="s">
        <v>207</v>
      </c>
    </row>
    <row r="561" spans="1:21" x14ac:dyDescent="0.15">
      <c r="A561" t="s">
        <v>162</v>
      </c>
      <c r="B561" t="s">
        <v>173</v>
      </c>
      <c r="C561" t="s">
        <v>169</v>
      </c>
      <c r="D561" s="9">
        <v>1</v>
      </c>
      <c r="E561" t="s">
        <v>74</v>
      </c>
      <c r="G561">
        <v>56.7</v>
      </c>
      <c r="H561">
        <v>56.664999999999999</v>
      </c>
      <c r="I561" t="s">
        <v>93</v>
      </c>
      <c r="K561">
        <f t="shared" si="16"/>
        <v>56.664999999999999</v>
      </c>
      <c r="L561">
        <f t="shared" si="17"/>
        <v>56.7</v>
      </c>
      <c r="M561" t="s">
        <v>143</v>
      </c>
      <c r="O561" s="7">
        <v>44547</v>
      </c>
      <c r="P561" t="s">
        <v>145</v>
      </c>
      <c r="Q561">
        <v>70611</v>
      </c>
      <c r="R561" t="s">
        <v>196</v>
      </c>
      <c r="S561">
        <v>13</v>
      </c>
      <c r="T561">
        <v>175</v>
      </c>
      <c r="U561" t="s">
        <v>207</v>
      </c>
    </row>
    <row r="562" spans="1:21" x14ac:dyDescent="0.15">
      <c r="A562" t="s">
        <v>162</v>
      </c>
      <c r="B562" t="s">
        <v>173</v>
      </c>
      <c r="C562" t="s">
        <v>171</v>
      </c>
      <c r="D562" s="9">
        <v>1</v>
      </c>
      <c r="E562" t="s">
        <v>76</v>
      </c>
      <c r="F562" t="s">
        <v>77</v>
      </c>
      <c r="G562">
        <v>56.36</v>
      </c>
      <c r="H562">
        <v>56.174999999999997</v>
      </c>
      <c r="I562" t="s">
        <v>91</v>
      </c>
      <c r="K562">
        <f t="shared" si="16"/>
        <v>56.174999999999997</v>
      </c>
      <c r="L562">
        <f t="shared" si="17"/>
        <v>56.36</v>
      </c>
      <c r="M562" t="s">
        <v>143</v>
      </c>
      <c r="O562" s="7">
        <v>44553</v>
      </c>
      <c r="P562" t="s">
        <v>145</v>
      </c>
      <c r="Q562">
        <v>70611</v>
      </c>
      <c r="R562" t="s">
        <v>196</v>
      </c>
      <c r="S562">
        <v>158</v>
      </c>
      <c r="T562">
        <v>175</v>
      </c>
      <c r="U562" t="s">
        <v>207</v>
      </c>
    </row>
    <row r="563" spans="1:21" x14ac:dyDescent="0.15">
      <c r="A563" t="s">
        <v>162</v>
      </c>
      <c r="B563" t="s">
        <v>173</v>
      </c>
      <c r="C563" t="s">
        <v>169</v>
      </c>
      <c r="D563" s="9">
        <v>1</v>
      </c>
      <c r="E563" t="s">
        <v>74</v>
      </c>
      <c r="G563">
        <v>54.85</v>
      </c>
      <c r="H563">
        <v>54.774999999999999</v>
      </c>
      <c r="I563" t="s">
        <v>93</v>
      </c>
      <c r="K563">
        <f t="shared" si="16"/>
        <v>54.774999999999999</v>
      </c>
      <c r="L563">
        <f t="shared" si="17"/>
        <v>54.85</v>
      </c>
      <c r="M563" t="s">
        <v>143</v>
      </c>
      <c r="O563" s="7">
        <v>44547</v>
      </c>
      <c r="P563" t="s">
        <v>145</v>
      </c>
      <c r="Q563">
        <v>70611</v>
      </c>
      <c r="R563" t="s">
        <v>196</v>
      </c>
      <c r="S563">
        <v>36</v>
      </c>
      <c r="T563">
        <v>175</v>
      </c>
      <c r="U563" t="s">
        <v>207</v>
      </c>
    </row>
    <row r="564" spans="1:21" x14ac:dyDescent="0.15">
      <c r="A564" t="s">
        <v>162</v>
      </c>
      <c r="B564" t="s">
        <v>173</v>
      </c>
      <c r="C564" t="s">
        <v>169</v>
      </c>
      <c r="D564" s="9">
        <v>1</v>
      </c>
      <c r="E564" t="s">
        <v>76</v>
      </c>
      <c r="F564" t="s">
        <v>80</v>
      </c>
      <c r="G564">
        <v>54.6</v>
      </c>
      <c r="H564">
        <v>54.4</v>
      </c>
      <c r="J564" t="s">
        <v>23</v>
      </c>
      <c r="K564">
        <f t="shared" si="16"/>
        <v>54.4</v>
      </c>
      <c r="L564">
        <f t="shared" si="17"/>
        <v>54.6</v>
      </c>
      <c r="M564" t="s">
        <v>143</v>
      </c>
      <c r="O564" s="7">
        <v>44547</v>
      </c>
      <c r="P564" t="s">
        <v>145</v>
      </c>
      <c r="Q564">
        <v>70611</v>
      </c>
      <c r="R564" t="s">
        <v>196</v>
      </c>
      <c r="S564">
        <v>227</v>
      </c>
      <c r="T564">
        <v>175</v>
      </c>
      <c r="U564" t="s">
        <v>207</v>
      </c>
    </row>
    <row r="565" spans="1:21" x14ac:dyDescent="0.15">
      <c r="A565" t="s">
        <v>162</v>
      </c>
      <c r="B565" t="s">
        <v>173</v>
      </c>
      <c r="C565" t="s">
        <v>169</v>
      </c>
      <c r="D565" s="9">
        <v>1</v>
      </c>
      <c r="E565" t="s">
        <v>74</v>
      </c>
      <c r="G565">
        <v>54.531999999999996</v>
      </c>
      <c r="H565">
        <v>54.497</v>
      </c>
      <c r="I565" t="s">
        <v>95</v>
      </c>
      <c r="K565">
        <f t="shared" si="16"/>
        <v>54.497</v>
      </c>
      <c r="L565">
        <f t="shared" si="17"/>
        <v>54.531999999999996</v>
      </c>
      <c r="M565" t="s">
        <v>143</v>
      </c>
      <c r="O565" s="7">
        <v>44553</v>
      </c>
      <c r="P565" t="s">
        <v>145</v>
      </c>
      <c r="Q565">
        <v>70611</v>
      </c>
      <c r="R565" t="s">
        <v>196</v>
      </c>
      <c r="S565">
        <v>21</v>
      </c>
      <c r="T565">
        <v>175</v>
      </c>
      <c r="U565" t="s">
        <v>207</v>
      </c>
    </row>
    <row r="566" spans="1:21" x14ac:dyDescent="0.15">
      <c r="A566" t="s">
        <v>162</v>
      </c>
      <c r="B566" t="s">
        <v>173</v>
      </c>
      <c r="C566" t="s">
        <v>169</v>
      </c>
      <c r="D566" s="9">
        <v>1</v>
      </c>
      <c r="E566" t="s">
        <v>74</v>
      </c>
      <c r="G566">
        <v>53.95</v>
      </c>
      <c r="H566">
        <v>53.5</v>
      </c>
      <c r="I566" t="s">
        <v>92</v>
      </c>
      <c r="K566">
        <f t="shared" si="16"/>
        <v>53.5</v>
      </c>
      <c r="L566">
        <f t="shared" si="17"/>
        <v>53.95</v>
      </c>
      <c r="M566" t="s">
        <v>143</v>
      </c>
      <c r="O566" s="7">
        <v>44553</v>
      </c>
      <c r="P566" t="s">
        <v>145</v>
      </c>
      <c r="Q566">
        <v>70611</v>
      </c>
      <c r="R566" t="s">
        <v>196</v>
      </c>
      <c r="S566">
        <v>218</v>
      </c>
      <c r="T566">
        <v>175</v>
      </c>
      <c r="U566" t="s">
        <v>206</v>
      </c>
    </row>
    <row r="567" spans="1:21" x14ac:dyDescent="0.15">
      <c r="A567" t="s">
        <v>162</v>
      </c>
      <c r="B567" t="s">
        <v>173</v>
      </c>
      <c r="C567" t="s">
        <v>169</v>
      </c>
      <c r="D567" s="9">
        <v>1</v>
      </c>
      <c r="E567" t="s">
        <v>74</v>
      </c>
      <c r="G567">
        <v>52.79</v>
      </c>
      <c r="H567">
        <v>52.7</v>
      </c>
      <c r="I567" t="s">
        <v>95</v>
      </c>
      <c r="K567">
        <f t="shared" si="16"/>
        <v>52.7</v>
      </c>
      <c r="L567">
        <f t="shared" si="17"/>
        <v>52.79</v>
      </c>
      <c r="M567" t="s">
        <v>143</v>
      </c>
      <c r="O567" s="7">
        <v>44553</v>
      </c>
      <c r="P567" t="s">
        <v>145</v>
      </c>
      <c r="Q567">
        <v>70611</v>
      </c>
      <c r="R567" t="s">
        <v>196</v>
      </c>
      <c r="S567">
        <v>39</v>
      </c>
      <c r="T567">
        <v>175</v>
      </c>
      <c r="U567" t="s">
        <v>206</v>
      </c>
    </row>
    <row r="568" spans="1:21" x14ac:dyDescent="0.15">
      <c r="A568" t="s">
        <v>162</v>
      </c>
      <c r="B568" t="s">
        <v>173</v>
      </c>
      <c r="C568" t="s">
        <v>171</v>
      </c>
      <c r="D568" s="9">
        <v>1</v>
      </c>
      <c r="E568" t="s">
        <v>74</v>
      </c>
      <c r="G568">
        <v>50.81</v>
      </c>
      <c r="H568">
        <v>50.695</v>
      </c>
      <c r="I568" t="s">
        <v>92</v>
      </c>
      <c r="K568">
        <f t="shared" si="16"/>
        <v>50.695</v>
      </c>
      <c r="L568">
        <f t="shared" si="17"/>
        <v>50.81</v>
      </c>
      <c r="M568" t="s">
        <v>143</v>
      </c>
      <c r="O568" s="7">
        <v>44553</v>
      </c>
      <c r="P568" t="s">
        <v>145</v>
      </c>
      <c r="Q568">
        <v>70611</v>
      </c>
      <c r="R568" t="s">
        <v>196</v>
      </c>
      <c r="S568">
        <v>56</v>
      </c>
      <c r="T568">
        <v>175</v>
      </c>
      <c r="U568" t="s">
        <v>206</v>
      </c>
    </row>
    <row r="569" spans="1:21" x14ac:dyDescent="0.15">
      <c r="A569" t="s">
        <v>162</v>
      </c>
      <c r="B569" t="s">
        <v>173</v>
      </c>
      <c r="C569" t="s">
        <v>169</v>
      </c>
      <c r="D569" s="9">
        <v>28</v>
      </c>
      <c r="E569" t="s">
        <v>75</v>
      </c>
      <c r="G569">
        <v>86.1</v>
      </c>
      <c r="H569">
        <v>86.3</v>
      </c>
      <c r="I569" t="s">
        <v>94</v>
      </c>
      <c r="K569">
        <f t="shared" si="16"/>
        <v>86.1</v>
      </c>
      <c r="L569">
        <f t="shared" si="17"/>
        <v>86.3</v>
      </c>
      <c r="M569" t="s">
        <v>143</v>
      </c>
      <c r="O569" s="7">
        <v>44538</v>
      </c>
      <c r="P569" t="s">
        <v>145</v>
      </c>
      <c r="Q569">
        <v>70611</v>
      </c>
      <c r="R569" t="s">
        <v>196</v>
      </c>
      <c r="S569">
        <v>76</v>
      </c>
      <c r="T569">
        <v>175</v>
      </c>
      <c r="U569" t="s">
        <v>207</v>
      </c>
    </row>
    <row r="570" spans="1:21" x14ac:dyDescent="0.15">
      <c r="A570" t="s">
        <v>162</v>
      </c>
      <c r="B570" t="s">
        <v>173</v>
      </c>
      <c r="C570" t="s">
        <v>169</v>
      </c>
      <c r="D570" s="9">
        <v>28</v>
      </c>
      <c r="E570" t="s">
        <v>75</v>
      </c>
      <c r="G570">
        <v>86.1</v>
      </c>
      <c r="H570">
        <v>86.35</v>
      </c>
      <c r="I570" t="s">
        <v>22</v>
      </c>
      <c r="K570">
        <f t="shared" si="16"/>
        <v>86.1</v>
      </c>
      <c r="L570">
        <f t="shared" si="17"/>
        <v>86.35</v>
      </c>
      <c r="M570" t="s">
        <v>143</v>
      </c>
      <c r="O570" s="7">
        <v>44545</v>
      </c>
      <c r="P570" t="s">
        <v>145</v>
      </c>
      <c r="Q570">
        <v>70611</v>
      </c>
      <c r="R570" t="s">
        <v>196</v>
      </c>
      <c r="S570">
        <v>202</v>
      </c>
      <c r="T570">
        <v>175</v>
      </c>
      <c r="U570" t="s">
        <v>207</v>
      </c>
    </row>
    <row r="571" spans="1:21" x14ac:dyDescent="0.15">
      <c r="A571" t="s">
        <v>162</v>
      </c>
      <c r="B571" t="s">
        <v>173</v>
      </c>
      <c r="C571" t="s">
        <v>169</v>
      </c>
      <c r="D571" s="9">
        <v>28</v>
      </c>
      <c r="E571" t="s">
        <v>75</v>
      </c>
      <c r="G571">
        <v>86.1</v>
      </c>
      <c r="H571">
        <v>86.35</v>
      </c>
      <c r="I571" t="s">
        <v>210</v>
      </c>
      <c r="K571">
        <f t="shared" si="16"/>
        <v>86.1</v>
      </c>
      <c r="L571">
        <f t="shared" si="17"/>
        <v>86.35</v>
      </c>
      <c r="M571" t="s">
        <v>143</v>
      </c>
      <c r="O571" s="7">
        <v>44545</v>
      </c>
      <c r="P571" t="s">
        <v>145</v>
      </c>
      <c r="Q571">
        <v>70611</v>
      </c>
      <c r="R571" t="s">
        <v>196</v>
      </c>
      <c r="S571">
        <v>202</v>
      </c>
      <c r="T571">
        <v>175</v>
      </c>
      <c r="U571" t="s">
        <v>207</v>
      </c>
    </row>
    <row r="572" spans="1:21" x14ac:dyDescent="0.15">
      <c r="A572" t="s">
        <v>162</v>
      </c>
      <c r="B572" t="s">
        <v>173</v>
      </c>
      <c r="C572" t="s">
        <v>169</v>
      </c>
      <c r="D572" s="9">
        <v>28</v>
      </c>
      <c r="E572" t="s">
        <v>75</v>
      </c>
      <c r="G572">
        <v>86.48</v>
      </c>
      <c r="H572">
        <v>86.65</v>
      </c>
      <c r="I572" t="s">
        <v>190</v>
      </c>
      <c r="K572">
        <f t="shared" si="16"/>
        <v>86.48</v>
      </c>
      <c r="L572">
        <f t="shared" si="17"/>
        <v>86.65</v>
      </c>
      <c r="M572" t="s">
        <v>143</v>
      </c>
      <c r="O572" s="7">
        <v>44545</v>
      </c>
      <c r="P572" t="s">
        <v>145</v>
      </c>
      <c r="Q572">
        <v>70611</v>
      </c>
      <c r="R572" t="s">
        <v>196</v>
      </c>
      <c r="S572">
        <v>64</v>
      </c>
      <c r="T572">
        <v>175</v>
      </c>
      <c r="U572" t="s">
        <v>207</v>
      </c>
    </row>
    <row r="573" spans="1:21" x14ac:dyDescent="0.15">
      <c r="A573" t="s">
        <v>162</v>
      </c>
      <c r="B573" t="s">
        <v>173</v>
      </c>
      <c r="C573" t="s">
        <v>169</v>
      </c>
      <c r="D573" s="9">
        <v>28</v>
      </c>
      <c r="E573" t="s">
        <v>75</v>
      </c>
      <c r="G573">
        <v>86.55</v>
      </c>
      <c r="H573">
        <v>86.575000000000003</v>
      </c>
      <c r="I573" t="s">
        <v>97</v>
      </c>
      <c r="K573">
        <f t="shared" si="16"/>
        <v>86.55</v>
      </c>
      <c r="L573">
        <f t="shared" si="17"/>
        <v>86.575000000000003</v>
      </c>
      <c r="M573" t="s">
        <v>143</v>
      </c>
      <c r="O573" s="7">
        <v>44545</v>
      </c>
      <c r="P573" t="s">
        <v>145</v>
      </c>
      <c r="Q573">
        <v>70611</v>
      </c>
      <c r="R573" t="s">
        <v>196</v>
      </c>
      <c r="S573">
        <v>11</v>
      </c>
      <c r="T573">
        <v>175</v>
      </c>
      <c r="U573" t="s">
        <v>207</v>
      </c>
    </row>
    <row r="574" spans="1:21" x14ac:dyDescent="0.15">
      <c r="A574" t="s">
        <v>162</v>
      </c>
      <c r="B574" t="s">
        <v>173</v>
      </c>
      <c r="C574" t="s">
        <v>169</v>
      </c>
      <c r="D574" s="9">
        <v>28</v>
      </c>
      <c r="E574" t="s">
        <v>75</v>
      </c>
      <c r="G574">
        <v>86.55</v>
      </c>
      <c r="H574">
        <v>86.7</v>
      </c>
      <c r="I574" t="s">
        <v>191</v>
      </c>
      <c r="K574">
        <f t="shared" si="16"/>
        <v>86.55</v>
      </c>
      <c r="L574">
        <f t="shared" si="17"/>
        <v>86.7</v>
      </c>
      <c r="M574" t="s">
        <v>143</v>
      </c>
      <c r="O574" s="7">
        <v>44545</v>
      </c>
      <c r="P574" t="s">
        <v>145</v>
      </c>
      <c r="Q574">
        <v>70611</v>
      </c>
      <c r="R574" t="s">
        <v>196</v>
      </c>
      <c r="S574">
        <v>56</v>
      </c>
      <c r="T574">
        <v>175</v>
      </c>
      <c r="U574" t="s">
        <v>207</v>
      </c>
    </row>
    <row r="575" spans="1:21" x14ac:dyDescent="0.15">
      <c r="A575" t="s">
        <v>162</v>
      </c>
      <c r="B575" t="s">
        <v>173</v>
      </c>
      <c r="C575" t="s">
        <v>169</v>
      </c>
      <c r="D575" s="9">
        <v>28</v>
      </c>
      <c r="E575" t="s">
        <v>75</v>
      </c>
      <c r="G575">
        <v>86.7</v>
      </c>
      <c r="H575">
        <v>86.9</v>
      </c>
      <c r="I575" t="s">
        <v>190</v>
      </c>
      <c r="K575">
        <f t="shared" si="16"/>
        <v>86.7</v>
      </c>
      <c r="L575">
        <f t="shared" si="17"/>
        <v>86.9</v>
      </c>
      <c r="M575" t="s">
        <v>143</v>
      </c>
      <c r="O575" s="7">
        <v>44547</v>
      </c>
      <c r="P575" t="s">
        <v>145</v>
      </c>
      <c r="Q575">
        <v>70611</v>
      </c>
      <c r="R575" t="s">
        <v>196</v>
      </c>
      <c r="S575">
        <v>75</v>
      </c>
      <c r="T575">
        <v>175</v>
      </c>
      <c r="U575" t="s">
        <v>207</v>
      </c>
    </row>
    <row r="576" spans="1:21" x14ac:dyDescent="0.15">
      <c r="A576" t="s">
        <v>162</v>
      </c>
      <c r="B576" t="s">
        <v>173</v>
      </c>
      <c r="C576" t="s">
        <v>169</v>
      </c>
      <c r="D576" s="9">
        <v>28</v>
      </c>
      <c r="E576" t="s">
        <v>75</v>
      </c>
      <c r="G576">
        <v>86.875</v>
      </c>
      <c r="H576">
        <v>87.15</v>
      </c>
      <c r="I576" t="s">
        <v>191</v>
      </c>
      <c r="K576">
        <f t="shared" si="16"/>
        <v>86.875</v>
      </c>
      <c r="L576">
        <f t="shared" si="17"/>
        <v>87.15</v>
      </c>
      <c r="M576" t="s">
        <v>143</v>
      </c>
      <c r="O576" s="7">
        <v>44547</v>
      </c>
      <c r="P576" t="s">
        <v>145</v>
      </c>
      <c r="Q576">
        <v>70611</v>
      </c>
      <c r="R576" t="s">
        <v>196</v>
      </c>
      <c r="S576">
        <v>104</v>
      </c>
      <c r="T576">
        <v>175</v>
      </c>
      <c r="U576" t="s">
        <v>207</v>
      </c>
    </row>
    <row r="577" spans="1:21" x14ac:dyDescent="0.15">
      <c r="A577" t="s">
        <v>162</v>
      </c>
      <c r="B577" t="s">
        <v>173</v>
      </c>
      <c r="C577" t="s">
        <v>169</v>
      </c>
      <c r="D577" s="9">
        <v>28</v>
      </c>
      <c r="E577" t="s">
        <v>75</v>
      </c>
      <c r="G577">
        <v>86.875</v>
      </c>
      <c r="H577">
        <v>87.09</v>
      </c>
      <c r="I577" t="s">
        <v>94</v>
      </c>
      <c r="K577">
        <f t="shared" ref="K577:K640" si="18">MIN(G577:H577)</f>
        <v>86.875</v>
      </c>
      <c r="L577">
        <f t="shared" ref="L577:L640" si="19">MAX(G577:H577)</f>
        <v>87.09</v>
      </c>
      <c r="M577" t="s">
        <v>143</v>
      </c>
      <c r="O577" s="7">
        <v>44538</v>
      </c>
      <c r="P577" t="s">
        <v>145</v>
      </c>
      <c r="Q577">
        <v>70611</v>
      </c>
      <c r="R577" t="s">
        <v>196</v>
      </c>
      <c r="S577">
        <v>81</v>
      </c>
      <c r="T577">
        <v>175</v>
      </c>
      <c r="U577" t="s">
        <v>207</v>
      </c>
    </row>
    <row r="578" spans="1:21" x14ac:dyDescent="0.15">
      <c r="A578" t="s">
        <v>162</v>
      </c>
      <c r="B578" t="s">
        <v>173</v>
      </c>
      <c r="C578" t="s">
        <v>169</v>
      </c>
      <c r="D578" s="9">
        <v>28</v>
      </c>
      <c r="E578" t="s">
        <v>75</v>
      </c>
      <c r="G578">
        <v>87</v>
      </c>
      <c r="H578">
        <v>87.2</v>
      </c>
      <c r="I578" t="s">
        <v>190</v>
      </c>
      <c r="K578">
        <f t="shared" si="18"/>
        <v>87</v>
      </c>
      <c r="L578">
        <f t="shared" si="19"/>
        <v>87.2</v>
      </c>
      <c r="M578" t="s">
        <v>143</v>
      </c>
      <c r="O578" s="7">
        <v>44547</v>
      </c>
      <c r="P578" t="s">
        <v>145</v>
      </c>
      <c r="Q578">
        <v>70611</v>
      </c>
      <c r="R578" t="s">
        <v>196</v>
      </c>
      <c r="S578">
        <v>75</v>
      </c>
      <c r="T578">
        <v>175</v>
      </c>
      <c r="U578" t="s">
        <v>207</v>
      </c>
    </row>
    <row r="579" spans="1:21" x14ac:dyDescent="0.15">
      <c r="A579" t="s">
        <v>162</v>
      </c>
      <c r="B579" t="s">
        <v>173</v>
      </c>
      <c r="C579" t="s">
        <v>169</v>
      </c>
      <c r="D579" s="9">
        <v>28</v>
      </c>
      <c r="E579" t="s">
        <v>75</v>
      </c>
      <c r="G579">
        <v>87.25</v>
      </c>
      <c r="H579">
        <v>87.3</v>
      </c>
      <c r="I579" t="s">
        <v>96</v>
      </c>
      <c r="K579">
        <f t="shared" si="18"/>
        <v>87.25</v>
      </c>
      <c r="L579">
        <f t="shared" si="19"/>
        <v>87.3</v>
      </c>
      <c r="M579" t="s">
        <v>143</v>
      </c>
      <c r="O579" s="7">
        <v>44538</v>
      </c>
      <c r="P579" t="s">
        <v>145</v>
      </c>
      <c r="Q579">
        <v>70611</v>
      </c>
      <c r="R579" t="s">
        <v>196</v>
      </c>
      <c r="S579">
        <v>24</v>
      </c>
      <c r="T579">
        <v>175</v>
      </c>
      <c r="U579" t="s">
        <v>207</v>
      </c>
    </row>
    <row r="580" spans="1:21" x14ac:dyDescent="0.15">
      <c r="A580" t="s">
        <v>162</v>
      </c>
      <c r="B580" t="s">
        <v>173</v>
      </c>
      <c r="C580" t="s">
        <v>169</v>
      </c>
      <c r="D580" s="9">
        <v>28</v>
      </c>
      <c r="E580" t="s">
        <v>75</v>
      </c>
      <c r="G580">
        <v>87.375</v>
      </c>
      <c r="H580">
        <v>87.45</v>
      </c>
      <c r="I580" t="s">
        <v>94</v>
      </c>
      <c r="K580">
        <f t="shared" si="18"/>
        <v>87.375</v>
      </c>
      <c r="L580">
        <f t="shared" si="19"/>
        <v>87.45</v>
      </c>
      <c r="M580" t="s">
        <v>143</v>
      </c>
      <c r="O580" s="7">
        <v>44538</v>
      </c>
      <c r="P580" t="s">
        <v>145</v>
      </c>
      <c r="Q580">
        <v>70611</v>
      </c>
      <c r="R580" t="s">
        <v>196</v>
      </c>
      <c r="S580">
        <v>28</v>
      </c>
      <c r="T580">
        <v>175</v>
      </c>
      <c r="U580" t="s">
        <v>207</v>
      </c>
    </row>
    <row r="581" spans="1:21" x14ac:dyDescent="0.15">
      <c r="A581" t="s">
        <v>162</v>
      </c>
      <c r="B581" t="s">
        <v>173</v>
      </c>
      <c r="C581" t="s">
        <v>169</v>
      </c>
      <c r="D581" s="9">
        <v>28</v>
      </c>
      <c r="E581" t="s">
        <v>75</v>
      </c>
      <c r="G581">
        <v>87.25</v>
      </c>
      <c r="H581">
        <v>87.424999999999997</v>
      </c>
      <c r="I581" t="s">
        <v>184</v>
      </c>
      <c r="K581">
        <f t="shared" si="18"/>
        <v>87.25</v>
      </c>
      <c r="L581">
        <f t="shared" si="19"/>
        <v>87.424999999999997</v>
      </c>
      <c r="M581" t="s">
        <v>143</v>
      </c>
      <c r="O581" s="7">
        <v>44547</v>
      </c>
      <c r="P581" t="s">
        <v>145</v>
      </c>
      <c r="Q581">
        <v>70611</v>
      </c>
      <c r="R581" t="s">
        <v>196</v>
      </c>
      <c r="S581">
        <v>66</v>
      </c>
      <c r="T581">
        <v>175</v>
      </c>
      <c r="U581" t="s">
        <v>207</v>
      </c>
    </row>
    <row r="582" spans="1:21" x14ac:dyDescent="0.15">
      <c r="A582" t="s">
        <v>162</v>
      </c>
      <c r="B582" t="s">
        <v>173</v>
      </c>
      <c r="C582" t="s">
        <v>169</v>
      </c>
      <c r="D582" s="9">
        <v>28</v>
      </c>
      <c r="E582" t="s">
        <v>75</v>
      </c>
      <c r="G582">
        <v>90.5</v>
      </c>
      <c r="H582">
        <v>91</v>
      </c>
      <c r="I582" t="s">
        <v>181</v>
      </c>
      <c r="K582">
        <f t="shared" si="18"/>
        <v>90.5</v>
      </c>
      <c r="L582">
        <f t="shared" si="19"/>
        <v>91</v>
      </c>
      <c r="M582" t="s">
        <v>143</v>
      </c>
      <c r="O582" s="7">
        <v>44537</v>
      </c>
      <c r="P582" t="s">
        <v>145</v>
      </c>
      <c r="Q582">
        <v>70611</v>
      </c>
      <c r="R582" t="s">
        <v>196</v>
      </c>
      <c r="S582">
        <v>377</v>
      </c>
      <c r="T582">
        <v>175</v>
      </c>
      <c r="U582" t="s">
        <v>206</v>
      </c>
    </row>
    <row r="583" spans="1:21" x14ac:dyDescent="0.15">
      <c r="A583" t="s">
        <v>162</v>
      </c>
      <c r="B583" t="s">
        <v>173</v>
      </c>
      <c r="C583" t="s">
        <v>169</v>
      </c>
      <c r="D583" s="9">
        <v>28</v>
      </c>
      <c r="E583" t="s">
        <v>75</v>
      </c>
      <c r="G583">
        <v>90.5</v>
      </c>
      <c r="H583">
        <v>91</v>
      </c>
      <c r="I583" t="s">
        <v>184</v>
      </c>
      <c r="K583">
        <f t="shared" si="18"/>
        <v>90.5</v>
      </c>
      <c r="L583">
        <f t="shared" si="19"/>
        <v>91</v>
      </c>
      <c r="M583" t="s">
        <v>143</v>
      </c>
      <c r="O583" s="7">
        <v>44537</v>
      </c>
      <c r="P583" t="s">
        <v>145</v>
      </c>
      <c r="Q583">
        <v>70611</v>
      </c>
      <c r="R583" t="s">
        <v>196</v>
      </c>
      <c r="S583">
        <v>377</v>
      </c>
      <c r="T583">
        <v>175</v>
      </c>
      <c r="U583" t="s">
        <v>206</v>
      </c>
    </row>
    <row r="584" spans="1:21" x14ac:dyDescent="0.15">
      <c r="A584" t="s">
        <v>162</v>
      </c>
      <c r="B584" t="s">
        <v>173</v>
      </c>
      <c r="C584" t="s">
        <v>169</v>
      </c>
      <c r="D584" s="9">
        <v>28</v>
      </c>
      <c r="E584" t="s">
        <v>75</v>
      </c>
      <c r="G584">
        <v>90.55</v>
      </c>
      <c r="H584">
        <v>90.575000000000003</v>
      </c>
      <c r="I584" t="s">
        <v>96</v>
      </c>
      <c r="K584">
        <f t="shared" si="18"/>
        <v>90.55</v>
      </c>
      <c r="L584">
        <f t="shared" si="19"/>
        <v>90.575000000000003</v>
      </c>
      <c r="M584" t="s">
        <v>143</v>
      </c>
      <c r="O584" s="7">
        <v>44538</v>
      </c>
      <c r="P584" t="s">
        <v>145</v>
      </c>
      <c r="Q584">
        <v>70611</v>
      </c>
      <c r="R584" t="s">
        <v>196</v>
      </c>
      <c r="S584">
        <v>22</v>
      </c>
      <c r="T584">
        <v>175</v>
      </c>
      <c r="U584" t="s">
        <v>206</v>
      </c>
    </row>
    <row r="585" spans="1:21" x14ac:dyDescent="0.15">
      <c r="A585" t="s">
        <v>162</v>
      </c>
      <c r="B585" t="s">
        <v>173</v>
      </c>
      <c r="C585" t="s">
        <v>169</v>
      </c>
      <c r="D585" s="9">
        <v>28</v>
      </c>
      <c r="E585" t="s">
        <v>75</v>
      </c>
      <c r="G585">
        <v>90.55</v>
      </c>
      <c r="H585">
        <v>90.575000000000003</v>
      </c>
      <c r="I585" t="s">
        <v>94</v>
      </c>
      <c r="K585">
        <f t="shared" si="18"/>
        <v>90.55</v>
      </c>
      <c r="L585">
        <f t="shared" si="19"/>
        <v>90.575000000000003</v>
      </c>
      <c r="M585" t="s">
        <v>143</v>
      </c>
      <c r="O585" s="7">
        <v>44538</v>
      </c>
      <c r="P585" t="s">
        <v>145</v>
      </c>
      <c r="Q585">
        <v>70611</v>
      </c>
      <c r="R585" t="s">
        <v>196</v>
      </c>
      <c r="S585">
        <v>22</v>
      </c>
      <c r="T585">
        <v>175</v>
      </c>
      <c r="U585" t="s">
        <v>206</v>
      </c>
    </row>
    <row r="586" spans="1:21" x14ac:dyDescent="0.15">
      <c r="A586" t="s">
        <v>162</v>
      </c>
      <c r="B586" t="s">
        <v>173</v>
      </c>
      <c r="C586" t="s">
        <v>169</v>
      </c>
      <c r="D586" s="9">
        <v>28</v>
      </c>
      <c r="E586" t="s">
        <v>75</v>
      </c>
      <c r="G586">
        <v>90.75</v>
      </c>
      <c r="H586">
        <v>90.775000000000006</v>
      </c>
      <c r="I586" t="s">
        <v>94</v>
      </c>
      <c r="K586">
        <f t="shared" si="18"/>
        <v>90.75</v>
      </c>
      <c r="L586">
        <f t="shared" si="19"/>
        <v>90.775000000000006</v>
      </c>
      <c r="M586" t="s">
        <v>143</v>
      </c>
      <c r="O586" s="7">
        <v>44538</v>
      </c>
      <c r="P586" t="s">
        <v>145</v>
      </c>
      <c r="Q586">
        <v>70611</v>
      </c>
      <c r="R586" t="s">
        <v>196</v>
      </c>
      <c r="S586">
        <v>10</v>
      </c>
      <c r="T586">
        <v>175</v>
      </c>
      <c r="U586" t="s">
        <v>206</v>
      </c>
    </row>
    <row r="587" spans="1:21" x14ac:dyDescent="0.15">
      <c r="A587" t="s">
        <v>162</v>
      </c>
      <c r="B587" t="s">
        <v>173</v>
      </c>
      <c r="C587" t="s">
        <v>169</v>
      </c>
      <c r="D587" s="9">
        <v>28</v>
      </c>
      <c r="E587" t="s">
        <v>75</v>
      </c>
      <c r="G587">
        <v>91</v>
      </c>
      <c r="H587">
        <v>92.7</v>
      </c>
      <c r="I587" t="s">
        <v>181</v>
      </c>
      <c r="K587">
        <f t="shared" si="18"/>
        <v>91</v>
      </c>
      <c r="L587">
        <f t="shared" si="19"/>
        <v>92.7</v>
      </c>
      <c r="M587" t="s">
        <v>143</v>
      </c>
      <c r="O587" s="7">
        <v>44537</v>
      </c>
      <c r="P587" t="s">
        <v>145</v>
      </c>
      <c r="Q587">
        <v>70611</v>
      </c>
      <c r="R587" t="s">
        <v>196</v>
      </c>
      <c r="S587">
        <v>640</v>
      </c>
      <c r="T587">
        <v>175</v>
      </c>
      <c r="U587" t="s">
        <v>206</v>
      </c>
    </row>
    <row r="588" spans="1:21" x14ac:dyDescent="0.15">
      <c r="A588" t="s">
        <v>162</v>
      </c>
      <c r="B588" t="s">
        <v>173</v>
      </c>
      <c r="C588" t="s">
        <v>169</v>
      </c>
      <c r="D588" s="9">
        <v>28</v>
      </c>
      <c r="E588" t="s">
        <v>75</v>
      </c>
      <c r="G588">
        <v>91.1</v>
      </c>
      <c r="H588">
        <v>91.125</v>
      </c>
      <c r="I588" t="s">
        <v>98</v>
      </c>
      <c r="K588">
        <f t="shared" si="18"/>
        <v>91.1</v>
      </c>
      <c r="L588">
        <f t="shared" si="19"/>
        <v>91.125</v>
      </c>
      <c r="M588" t="s">
        <v>143</v>
      </c>
      <c r="O588" s="7">
        <v>44537</v>
      </c>
      <c r="P588" t="s">
        <v>145</v>
      </c>
      <c r="Q588">
        <v>70611</v>
      </c>
      <c r="R588" t="s">
        <v>196</v>
      </c>
      <c r="S588">
        <v>10</v>
      </c>
      <c r="T588">
        <v>175</v>
      </c>
      <c r="U588" t="s">
        <v>206</v>
      </c>
    </row>
    <row r="589" spans="1:21" x14ac:dyDescent="0.15">
      <c r="A589" t="s">
        <v>162</v>
      </c>
      <c r="B589" t="s">
        <v>173</v>
      </c>
      <c r="C589" t="s">
        <v>169</v>
      </c>
      <c r="D589" s="9">
        <v>28</v>
      </c>
      <c r="E589" t="s">
        <v>75</v>
      </c>
      <c r="G589">
        <v>91.484999999999999</v>
      </c>
      <c r="H589">
        <v>91.6</v>
      </c>
      <c r="I589" t="s">
        <v>94</v>
      </c>
      <c r="K589">
        <f t="shared" si="18"/>
        <v>91.484999999999999</v>
      </c>
      <c r="L589">
        <f t="shared" si="19"/>
        <v>91.6</v>
      </c>
      <c r="M589" t="s">
        <v>143</v>
      </c>
      <c r="O589" s="7">
        <v>44538</v>
      </c>
      <c r="P589" t="s">
        <v>145</v>
      </c>
      <c r="Q589">
        <v>70611</v>
      </c>
      <c r="R589" t="s">
        <v>196</v>
      </c>
      <c r="S589">
        <v>44</v>
      </c>
      <c r="T589">
        <v>175</v>
      </c>
      <c r="U589" t="s">
        <v>206</v>
      </c>
    </row>
    <row r="590" spans="1:21" x14ac:dyDescent="0.15">
      <c r="A590" t="s">
        <v>162</v>
      </c>
      <c r="B590" t="s">
        <v>173</v>
      </c>
      <c r="C590" t="s">
        <v>169</v>
      </c>
      <c r="D590" s="9">
        <v>28</v>
      </c>
      <c r="E590" t="s">
        <v>75</v>
      </c>
      <c r="G590">
        <v>91.674999999999997</v>
      </c>
      <c r="H590">
        <v>91.724999999999994</v>
      </c>
      <c r="I590" t="s">
        <v>96</v>
      </c>
      <c r="K590">
        <f t="shared" si="18"/>
        <v>91.674999999999997</v>
      </c>
      <c r="L590">
        <f t="shared" si="19"/>
        <v>91.724999999999994</v>
      </c>
      <c r="M590" t="s">
        <v>143</v>
      </c>
      <c r="O590" s="7">
        <v>44538</v>
      </c>
      <c r="P590" t="s">
        <v>145</v>
      </c>
      <c r="Q590">
        <v>70611</v>
      </c>
      <c r="R590" t="s">
        <v>196</v>
      </c>
      <c r="S590">
        <v>43</v>
      </c>
      <c r="T590">
        <v>175</v>
      </c>
      <c r="U590" t="s">
        <v>206</v>
      </c>
    </row>
    <row r="591" spans="1:21" x14ac:dyDescent="0.15">
      <c r="A591" t="s">
        <v>162</v>
      </c>
      <c r="B591" t="s">
        <v>173</v>
      </c>
      <c r="C591" t="s">
        <v>169</v>
      </c>
      <c r="D591" s="9">
        <v>28</v>
      </c>
      <c r="E591" t="s">
        <v>75</v>
      </c>
      <c r="G591">
        <v>91.674999999999997</v>
      </c>
      <c r="H591">
        <v>91.724999999999994</v>
      </c>
      <c r="I591" t="s">
        <v>94</v>
      </c>
      <c r="K591">
        <f t="shared" si="18"/>
        <v>91.674999999999997</v>
      </c>
      <c r="L591">
        <f t="shared" si="19"/>
        <v>91.724999999999994</v>
      </c>
      <c r="M591" t="s">
        <v>143</v>
      </c>
      <c r="O591" s="7">
        <v>44538</v>
      </c>
      <c r="P591" t="s">
        <v>145</v>
      </c>
      <c r="Q591">
        <v>70611</v>
      </c>
      <c r="R591" t="s">
        <v>196</v>
      </c>
      <c r="S591">
        <v>43</v>
      </c>
      <c r="T591">
        <v>175</v>
      </c>
      <c r="U591" t="s">
        <v>206</v>
      </c>
    </row>
    <row r="592" spans="1:21" x14ac:dyDescent="0.15">
      <c r="A592" t="s">
        <v>162</v>
      </c>
      <c r="B592" t="s">
        <v>173</v>
      </c>
      <c r="C592" t="s">
        <v>169</v>
      </c>
      <c r="D592" s="9">
        <v>28</v>
      </c>
      <c r="E592" t="s">
        <v>75</v>
      </c>
      <c r="G592">
        <v>92.25</v>
      </c>
      <c r="H592">
        <v>92.35</v>
      </c>
      <c r="I592" t="s">
        <v>94</v>
      </c>
      <c r="K592">
        <f t="shared" si="18"/>
        <v>92.25</v>
      </c>
      <c r="L592">
        <f t="shared" si="19"/>
        <v>92.35</v>
      </c>
      <c r="M592" t="s">
        <v>143</v>
      </c>
      <c r="O592" s="7">
        <v>44538</v>
      </c>
      <c r="P592" t="s">
        <v>145</v>
      </c>
      <c r="Q592">
        <v>70611</v>
      </c>
      <c r="R592" t="s">
        <v>196</v>
      </c>
      <c r="S592">
        <v>28</v>
      </c>
      <c r="T592">
        <v>175</v>
      </c>
      <c r="U592" t="s">
        <v>206</v>
      </c>
    </row>
    <row r="593" spans="1:21" x14ac:dyDescent="0.15">
      <c r="A593" t="s">
        <v>162</v>
      </c>
      <c r="B593" t="s">
        <v>173</v>
      </c>
      <c r="C593" t="s">
        <v>169</v>
      </c>
      <c r="D593" s="9">
        <v>28</v>
      </c>
      <c r="E593" t="s">
        <v>75</v>
      </c>
      <c r="G593">
        <v>92.3</v>
      </c>
      <c r="H593">
        <v>92.35</v>
      </c>
      <c r="I593" t="s">
        <v>98</v>
      </c>
      <c r="K593">
        <f t="shared" si="18"/>
        <v>92.3</v>
      </c>
      <c r="L593">
        <f t="shared" si="19"/>
        <v>92.35</v>
      </c>
      <c r="M593" t="s">
        <v>143</v>
      </c>
      <c r="O593" s="7">
        <v>44538</v>
      </c>
      <c r="P593" t="s">
        <v>145</v>
      </c>
      <c r="Q593">
        <v>70611</v>
      </c>
      <c r="R593" t="s">
        <v>196</v>
      </c>
      <c r="S593">
        <v>19</v>
      </c>
      <c r="T593">
        <v>175</v>
      </c>
      <c r="U593" t="s">
        <v>206</v>
      </c>
    </row>
    <row r="594" spans="1:21" x14ac:dyDescent="0.15">
      <c r="A594" t="s">
        <v>162</v>
      </c>
      <c r="B594" t="s">
        <v>173</v>
      </c>
      <c r="C594" t="s">
        <v>169</v>
      </c>
      <c r="D594" s="9">
        <v>28</v>
      </c>
      <c r="E594" t="s">
        <v>75</v>
      </c>
      <c r="G594">
        <v>92.39</v>
      </c>
      <c r="H594">
        <v>92.424999999999997</v>
      </c>
      <c r="I594" t="s">
        <v>96</v>
      </c>
      <c r="K594">
        <f t="shared" si="18"/>
        <v>92.39</v>
      </c>
      <c r="L594">
        <f t="shared" si="19"/>
        <v>92.424999999999997</v>
      </c>
      <c r="M594" t="s">
        <v>143</v>
      </c>
      <c r="O594" s="7">
        <v>44538</v>
      </c>
      <c r="P594" t="s">
        <v>145</v>
      </c>
      <c r="Q594">
        <v>70611</v>
      </c>
      <c r="R594" t="s">
        <v>196</v>
      </c>
      <c r="S594">
        <v>15</v>
      </c>
      <c r="T594">
        <v>175</v>
      </c>
      <c r="U594" t="s">
        <v>206</v>
      </c>
    </row>
    <row r="595" spans="1:21" x14ac:dyDescent="0.15">
      <c r="A595" t="s">
        <v>162</v>
      </c>
      <c r="B595" t="s">
        <v>173</v>
      </c>
      <c r="C595" t="s">
        <v>169</v>
      </c>
      <c r="D595" s="9">
        <v>28</v>
      </c>
      <c r="E595" t="s">
        <v>75</v>
      </c>
      <c r="G595">
        <v>92.39</v>
      </c>
      <c r="H595">
        <v>92.45</v>
      </c>
      <c r="I595" t="s">
        <v>94</v>
      </c>
      <c r="K595">
        <f t="shared" si="18"/>
        <v>92.39</v>
      </c>
      <c r="L595">
        <f t="shared" si="19"/>
        <v>92.45</v>
      </c>
      <c r="M595" t="s">
        <v>143</v>
      </c>
      <c r="O595" s="7">
        <v>44538</v>
      </c>
      <c r="P595" t="s">
        <v>145</v>
      </c>
      <c r="Q595">
        <v>70611</v>
      </c>
      <c r="R595" t="s">
        <v>196</v>
      </c>
      <c r="S595">
        <v>23</v>
      </c>
      <c r="T595">
        <v>175</v>
      </c>
      <c r="U595" t="s">
        <v>206</v>
      </c>
    </row>
    <row r="596" spans="1:21" x14ac:dyDescent="0.15">
      <c r="A596" t="s">
        <v>162</v>
      </c>
      <c r="B596" t="s">
        <v>173</v>
      </c>
      <c r="C596" t="s">
        <v>169</v>
      </c>
      <c r="D596" s="9">
        <v>28</v>
      </c>
      <c r="E596" t="s">
        <v>76</v>
      </c>
      <c r="F596" t="s">
        <v>88</v>
      </c>
      <c r="G596">
        <v>92.325000000000003</v>
      </c>
      <c r="H596">
        <v>92.375</v>
      </c>
      <c r="I596" t="s">
        <v>192</v>
      </c>
      <c r="K596">
        <f t="shared" si="18"/>
        <v>92.325000000000003</v>
      </c>
      <c r="L596">
        <f t="shared" si="19"/>
        <v>92.375</v>
      </c>
      <c r="M596" t="s">
        <v>100</v>
      </c>
      <c r="O596" s="7">
        <v>44544</v>
      </c>
      <c r="P596" t="s">
        <v>145</v>
      </c>
      <c r="Q596">
        <v>43611</v>
      </c>
      <c r="R596" t="s">
        <v>196</v>
      </c>
      <c r="S596">
        <v>22</v>
      </c>
      <c r="T596">
        <v>175</v>
      </c>
      <c r="U596" t="s">
        <v>208</v>
      </c>
    </row>
    <row r="597" spans="1:21" x14ac:dyDescent="0.15">
      <c r="A597" t="s">
        <v>162</v>
      </c>
      <c r="B597" t="s">
        <v>173</v>
      </c>
      <c r="C597" t="s">
        <v>169</v>
      </c>
      <c r="D597" s="9">
        <v>28</v>
      </c>
      <c r="E597" t="s">
        <v>75</v>
      </c>
      <c r="G597">
        <v>99.15</v>
      </c>
      <c r="H597">
        <v>99.29</v>
      </c>
      <c r="I597" t="s">
        <v>181</v>
      </c>
      <c r="K597">
        <f t="shared" si="18"/>
        <v>99.15</v>
      </c>
      <c r="L597">
        <f t="shared" si="19"/>
        <v>99.29</v>
      </c>
      <c r="M597" t="s">
        <v>143</v>
      </c>
      <c r="O597" s="7">
        <v>44543</v>
      </c>
      <c r="P597" t="s">
        <v>145</v>
      </c>
      <c r="Q597">
        <v>70611</v>
      </c>
      <c r="R597" t="s">
        <v>196</v>
      </c>
      <c r="S597">
        <v>68</v>
      </c>
      <c r="T597">
        <v>175</v>
      </c>
      <c r="U597" t="s">
        <v>208</v>
      </c>
    </row>
    <row r="598" spans="1:21" x14ac:dyDescent="0.15">
      <c r="A598" t="s">
        <v>162</v>
      </c>
      <c r="B598" t="s">
        <v>173</v>
      </c>
      <c r="C598" t="s">
        <v>169</v>
      </c>
      <c r="D598" s="9">
        <v>28</v>
      </c>
      <c r="E598" t="s">
        <v>75</v>
      </c>
      <c r="G598">
        <v>99.29</v>
      </c>
      <c r="H598">
        <v>99.325000000000003</v>
      </c>
      <c r="I598" t="s">
        <v>181</v>
      </c>
      <c r="K598">
        <f t="shared" si="18"/>
        <v>99.29</v>
      </c>
      <c r="L598">
        <f t="shared" si="19"/>
        <v>99.325000000000003</v>
      </c>
      <c r="M598" t="s">
        <v>143</v>
      </c>
      <c r="O598" s="7">
        <v>44543</v>
      </c>
      <c r="P598" t="s">
        <v>145</v>
      </c>
      <c r="Q598">
        <v>70611</v>
      </c>
      <c r="R598" t="s">
        <v>196</v>
      </c>
      <c r="S598">
        <v>17</v>
      </c>
      <c r="T598">
        <v>175</v>
      </c>
      <c r="U598" t="s">
        <v>208</v>
      </c>
    </row>
    <row r="599" spans="1:21" x14ac:dyDescent="0.15">
      <c r="A599" t="s">
        <v>162</v>
      </c>
      <c r="B599" t="s">
        <v>173</v>
      </c>
      <c r="C599" t="s">
        <v>169</v>
      </c>
      <c r="D599" s="9">
        <v>28</v>
      </c>
      <c r="E599" t="s">
        <v>75</v>
      </c>
      <c r="G599">
        <v>99.424999999999997</v>
      </c>
      <c r="H599">
        <v>99.575000000000003</v>
      </c>
      <c r="I599" t="s">
        <v>97</v>
      </c>
      <c r="K599">
        <f t="shared" si="18"/>
        <v>99.424999999999997</v>
      </c>
      <c r="L599">
        <f t="shared" si="19"/>
        <v>99.575000000000003</v>
      </c>
      <c r="M599" t="s">
        <v>143</v>
      </c>
      <c r="O599" s="7">
        <v>44543</v>
      </c>
      <c r="P599" t="s">
        <v>145</v>
      </c>
      <c r="Q599">
        <v>70611</v>
      </c>
      <c r="R599" t="s">
        <v>196</v>
      </c>
      <c r="S599">
        <v>56</v>
      </c>
      <c r="T599">
        <v>175</v>
      </c>
      <c r="U599" t="s">
        <v>208</v>
      </c>
    </row>
    <row r="600" spans="1:21" x14ac:dyDescent="0.15">
      <c r="A600" t="s">
        <v>162</v>
      </c>
      <c r="B600" t="s">
        <v>173</v>
      </c>
      <c r="C600" t="s">
        <v>169</v>
      </c>
      <c r="D600" s="9">
        <v>28</v>
      </c>
      <c r="E600" t="s">
        <v>75</v>
      </c>
      <c r="G600">
        <v>99.8</v>
      </c>
      <c r="H600">
        <v>99.82</v>
      </c>
      <c r="I600" t="s">
        <v>181</v>
      </c>
      <c r="K600">
        <f t="shared" si="18"/>
        <v>99.8</v>
      </c>
      <c r="L600">
        <f t="shared" si="19"/>
        <v>99.82</v>
      </c>
      <c r="M600" t="s">
        <v>143</v>
      </c>
      <c r="O600" s="7">
        <v>44543</v>
      </c>
      <c r="P600" t="s">
        <v>145</v>
      </c>
      <c r="Q600">
        <v>70611</v>
      </c>
      <c r="R600" t="s">
        <v>196</v>
      </c>
      <c r="S600">
        <v>16</v>
      </c>
      <c r="T600">
        <v>175</v>
      </c>
      <c r="U600" t="s">
        <v>208</v>
      </c>
    </row>
    <row r="601" spans="1:21" x14ac:dyDescent="0.15">
      <c r="A601" t="s">
        <v>162</v>
      </c>
      <c r="B601" t="s">
        <v>173</v>
      </c>
      <c r="C601" t="s">
        <v>169</v>
      </c>
      <c r="D601" s="9">
        <v>28</v>
      </c>
      <c r="E601" t="s">
        <v>75</v>
      </c>
      <c r="G601">
        <v>100.86499999999999</v>
      </c>
      <c r="H601">
        <v>100.89</v>
      </c>
      <c r="I601" t="s">
        <v>98</v>
      </c>
      <c r="K601">
        <f t="shared" si="18"/>
        <v>100.86499999999999</v>
      </c>
      <c r="L601">
        <f t="shared" si="19"/>
        <v>100.89</v>
      </c>
      <c r="M601" t="s">
        <v>143</v>
      </c>
      <c r="O601" s="7">
        <v>44543</v>
      </c>
      <c r="P601" t="s">
        <v>145</v>
      </c>
      <c r="Q601">
        <v>70611</v>
      </c>
      <c r="R601" t="s">
        <v>196</v>
      </c>
      <c r="S601">
        <v>12</v>
      </c>
      <c r="T601">
        <v>175</v>
      </c>
      <c r="U601" t="s">
        <v>206</v>
      </c>
    </row>
    <row r="602" spans="1:21" x14ac:dyDescent="0.15">
      <c r="A602" t="s">
        <v>162</v>
      </c>
      <c r="B602" t="s">
        <v>173</v>
      </c>
      <c r="C602" t="s">
        <v>169</v>
      </c>
      <c r="D602" s="9">
        <v>28</v>
      </c>
      <c r="E602" t="s">
        <v>75</v>
      </c>
      <c r="G602">
        <v>102.14</v>
      </c>
      <c r="H602">
        <v>102.16500000000001</v>
      </c>
      <c r="I602" t="s">
        <v>181</v>
      </c>
      <c r="K602">
        <f t="shared" si="18"/>
        <v>102.14</v>
      </c>
      <c r="L602">
        <f t="shared" si="19"/>
        <v>102.16500000000001</v>
      </c>
      <c r="M602" t="s">
        <v>143</v>
      </c>
      <c r="O602" s="7">
        <v>44543</v>
      </c>
      <c r="P602" t="s">
        <v>145</v>
      </c>
      <c r="Q602">
        <v>70611</v>
      </c>
      <c r="R602" t="s">
        <v>196</v>
      </c>
      <c r="S602">
        <v>12</v>
      </c>
      <c r="T602">
        <v>175</v>
      </c>
      <c r="U602" t="s">
        <v>206</v>
      </c>
    </row>
    <row r="603" spans="1:21" x14ac:dyDescent="0.15">
      <c r="A603" t="s">
        <v>162</v>
      </c>
      <c r="B603" t="s">
        <v>173</v>
      </c>
      <c r="C603" t="s">
        <v>169</v>
      </c>
      <c r="D603" s="9">
        <v>28</v>
      </c>
      <c r="E603" t="s">
        <v>75</v>
      </c>
      <c r="G603">
        <v>102.66</v>
      </c>
      <c r="H603">
        <v>102.69</v>
      </c>
      <c r="I603" t="s">
        <v>181</v>
      </c>
      <c r="K603">
        <f t="shared" si="18"/>
        <v>102.66</v>
      </c>
      <c r="L603">
        <f t="shared" si="19"/>
        <v>102.69</v>
      </c>
      <c r="M603" t="s">
        <v>143</v>
      </c>
      <c r="O603" s="7">
        <v>44543</v>
      </c>
      <c r="P603" t="s">
        <v>145</v>
      </c>
      <c r="Q603">
        <v>70611</v>
      </c>
      <c r="R603" t="s">
        <v>196</v>
      </c>
      <c r="S603">
        <v>18</v>
      </c>
      <c r="T603">
        <v>175</v>
      </c>
      <c r="U603" t="s">
        <v>206</v>
      </c>
    </row>
    <row r="604" spans="1:21" x14ac:dyDescent="0.15">
      <c r="A604" t="s">
        <v>162</v>
      </c>
      <c r="B604" t="s">
        <v>173</v>
      </c>
      <c r="C604" t="s">
        <v>169</v>
      </c>
      <c r="D604" s="9">
        <v>28</v>
      </c>
      <c r="E604" t="s">
        <v>75</v>
      </c>
      <c r="G604">
        <v>103.185</v>
      </c>
      <c r="H604">
        <v>103.235</v>
      </c>
      <c r="I604" t="s">
        <v>181</v>
      </c>
      <c r="K604">
        <f t="shared" si="18"/>
        <v>103.185</v>
      </c>
      <c r="L604">
        <f t="shared" si="19"/>
        <v>103.235</v>
      </c>
      <c r="M604" t="s">
        <v>143</v>
      </c>
      <c r="O604" s="7">
        <v>44543</v>
      </c>
      <c r="P604" t="s">
        <v>145</v>
      </c>
      <c r="Q604">
        <v>70611</v>
      </c>
      <c r="R604" t="s">
        <v>196</v>
      </c>
      <c r="S604">
        <v>24</v>
      </c>
      <c r="T604">
        <v>175</v>
      </c>
      <c r="U604" t="s">
        <v>206</v>
      </c>
    </row>
    <row r="605" spans="1:21" x14ac:dyDescent="0.15">
      <c r="A605" t="s">
        <v>162</v>
      </c>
      <c r="B605" t="s">
        <v>173</v>
      </c>
      <c r="C605" t="s">
        <v>169</v>
      </c>
      <c r="D605" s="9">
        <v>28</v>
      </c>
      <c r="E605" t="s">
        <v>75</v>
      </c>
      <c r="G605">
        <v>103.175</v>
      </c>
      <c r="H605">
        <v>103.265</v>
      </c>
      <c r="I605" t="s">
        <v>94</v>
      </c>
      <c r="K605">
        <f t="shared" si="18"/>
        <v>103.175</v>
      </c>
      <c r="L605">
        <f t="shared" si="19"/>
        <v>103.265</v>
      </c>
      <c r="M605" t="s">
        <v>143</v>
      </c>
      <c r="O605" s="7">
        <v>44544</v>
      </c>
      <c r="P605" t="s">
        <v>145</v>
      </c>
      <c r="Q605">
        <v>70611</v>
      </c>
      <c r="R605" t="s">
        <v>196</v>
      </c>
      <c r="S605">
        <v>44</v>
      </c>
      <c r="T605">
        <v>175</v>
      </c>
      <c r="U605" t="s">
        <v>206</v>
      </c>
    </row>
    <row r="606" spans="1:21" x14ac:dyDescent="0.15">
      <c r="A606" t="s">
        <v>162</v>
      </c>
      <c r="B606" t="s">
        <v>173</v>
      </c>
      <c r="C606" t="s">
        <v>169</v>
      </c>
      <c r="D606" s="9">
        <v>28</v>
      </c>
      <c r="E606" t="s">
        <v>75</v>
      </c>
      <c r="G606">
        <v>103.265</v>
      </c>
      <c r="H606">
        <v>103.29</v>
      </c>
      <c r="I606" t="s">
        <v>94</v>
      </c>
      <c r="K606">
        <f t="shared" si="18"/>
        <v>103.265</v>
      </c>
      <c r="L606">
        <f t="shared" si="19"/>
        <v>103.29</v>
      </c>
      <c r="M606" t="s">
        <v>143</v>
      </c>
      <c r="O606" s="7">
        <v>44544</v>
      </c>
      <c r="P606" t="s">
        <v>145</v>
      </c>
      <c r="Q606">
        <v>70611</v>
      </c>
      <c r="R606" t="s">
        <v>196</v>
      </c>
      <c r="S606">
        <v>12</v>
      </c>
      <c r="T606">
        <v>175</v>
      </c>
      <c r="U606" t="s">
        <v>206</v>
      </c>
    </row>
    <row r="607" spans="1:21" x14ac:dyDescent="0.15">
      <c r="A607" t="s">
        <v>162</v>
      </c>
      <c r="B607" t="s">
        <v>173</v>
      </c>
      <c r="C607" t="s">
        <v>169</v>
      </c>
      <c r="D607" s="9">
        <v>28</v>
      </c>
      <c r="E607" t="s">
        <v>75</v>
      </c>
      <c r="G607">
        <v>103.64</v>
      </c>
      <c r="H607">
        <v>103.66500000000001</v>
      </c>
      <c r="I607" t="s">
        <v>96</v>
      </c>
      <c r="K607">
        <f t="shared" si="18"/>
        <v>103.64</v>
      </c>
      <c r="L607">
        <f t="shared" si="19"/>
        <v>103.66500000000001</v>
      </c>
      <c r="M607" t="s">
        <v>143</v>
      </c>
      <c r="O607" s="7">
        <v>44544</v>
      </c>
      <c r="P607" t="s">
        <v>145</v>
      </c>
      <c r="Q607">
        <v>70611</v>
      </c>
      <c r="R607" t="s">
        <v>196</v>
      </c>
      <c r="S607">
        <v>23</v>
      </c>
      <c r="T607">
        <v>175</v>
      </c>
      <c r="U607" t="s">
        <v>206</v>
      </c>
    </row>
    <row r="608" spans="1:21" x14ac:dyDescent="0.15">
      <c r="A608" t="s">
        <v>162</v>
      </c>
      <c r="B608" t="s">
        <v>173</v>
      </c>
      <c r="C608" t="s">
        <v>169</v>
      </c>
      <c r="D608" s="9">
        <v>28</v>
      </c>
      <c r="E608" t="s">
        <v>75</v>
      </c>
      <c r="G608">
        <v>103.64</v>
      </c>
      <c r="H608">
        <v>103.66500000000001</v>
      </c>
      <c r="I608" t="s">
        <v>94</v>
      </c>
      <c r="K608">
        <f t="shared" si="18"/>
        <v>103.64</v>
      </c>
      <c r="L608">
        <f t="shared" si="19"/>
        <v>103.66500000000001</v>
      </c>
      <c r="M608" t="s">
        <v>143</v>
      </c>
      <c r="O608" s="7">
        <v>44544</v>
      </c>
      <c r="P608" t="s">
        <v>145</v>
      </c>
      <c r="Q608">
        <v>70611</v>
      </c>
      <c r="R608" t="s">
        <v>196</v>
      </c>
      <c r="S608">
        <v>23</v>
      </c>
      <c r="T608">
        <v>175</v>
      </c>
      <c r="U608" t="s">
        <v>206</v>
      </c>
    </row>
    <row r="609" spans="1:21" x14ac:dyDescent="0.15">
      <c r="A609" t="s">
        <v>162</v>
      </c>
      <c r="B609" t="s">
        <v>173</v>
      </c>
      <c r="C609" t="s">
        <v>169</v>
      </c>
      <c r="D609" s="9">
        <v>28</v>
      </c>
      <c r="E609" t="s">
        <v>75</v>
      </c>
      <c r="G609">
        <v>103.85</v>
      </c>
      <c r="H609">
        <v>103.9</v>
      </c>
      <c r="I609" t="s">
        <v>94</v>
      </c>
      <c r="K609">
        <f t="shared" si="18"/>
        <v>103.85</v>
      </c>
      <c r="L609">
        <f t="shared" si="19"/>
        <v>103.9</v>
      </c>
      <c r="M609" t="s">
        <v>143</v>
      </c>
      <c r="O609" s="7">
        <v>44544</v>
      </c>
      <c r="P609" t="s">
        <v>145</v>
      </c>
      <c r="Q609">
        <v>70611</v>
      </c>
      <c r="R609" t="s">
        <v>196</v>
      </c>
      <c r="S609">
        <v>24</v>
      </c>
      <c r="T609">
        <v>175</v>
      </c>
      <c r="U609" t="s">
        <v>206</v>
      </c>
    </row>
    <row r="610" spans="1:21" x14ac:dyDescent="0.15">
      <c r="A610" t="s">
        <v>162</v>
      </c>
      <c r="B610" t="s">
        <v>173</v>
      </c>
      <c r="C610" t="s">
        <v>169</v>
      </c>
      <c r="D610" s="9">
        <v>28</v>
      </c>
      <c r="E610" t="s">
        <v>75</v>
      </c>
      <c r="G610">
        <v>104.55</v>
      </c>
      <c r="H610">
        <v>104.575</v>
      </c>
      <c r="I610" t="s">
        <v>98</v>
      </c>
      <c r="K610">
        <f t="shared" si="18"/>
        <v>104.55</v>
      </c>
      <c r="L610">
        <f t="shared" si="19"/>
        <v>104.575</v>
      </c>
      <c r="M610" t="s">
        <v>143</v>
      </c>
      <c r="O610" s="7">
        <v>44539</v>
      </c>
      <c r="P610" t="s">
        <v>145</v>
      </c>
      <c r="Q610">
        <v>70611</v>
      </c>
      <c r="R610" t="s">
        <v>196</v>
      </c>
      <c r="S610">
        <v>12</v>
      </c>
      <c r="T610">
        <v>175</v>
      </c>
      <c r="U610" t="s">
        <v>208</v>
      </c>
    </row>
    <row r="611" spans="1:21" x14ac:dyDescent="0.15">
      <c r="A611" t="s">
        <v>162</v>
      </c>
      <c r="B611" t="s">
        <v>173</v>
      </c>
      <c r="C611" t="s">
        <v>169</v>
      </c>
      <c r="D611" s="9">
        <v>28</v>
      </c>
      <c r="E611" t="s">
        <v>75</v>
      </c>
      <c r="G611">
        <v>104.625</v>
      </c>
      <c r="H611">
        <v>104.75</v>
      </c>
      <c r="I611" t="s">
        <v>181</v>
      </c>
      <c r="K611">
        <f t="shared" si="18"/>
        <v>104.625</v>
      </c>
      <c r="L611">
        <f t="shared" si="19"/>
        <v>104.75</v>
      </c>
      <c r="M611" t="s">
        <v>143</v>
      </c>
      <c r="O611" s="7">
        <v>44539</v>
      </c>
      <c r="P611" t="s">
        <v>145</v>
      </c>
      <c r="Q611">
        <v>70611</v>
      </c>
      <c r="R611" t="s">
        <v>196</v>
      </c>
      <c r="S611">
        <v>60</v>
      </c>
      <c r="T611">
        <v>175</v>
      </c>
      <c r="U611" t="s">
        <v>208</v>
      </c>
    </row>
    <row r="612" spans="1:21" x14ac:dyDescent="0.15">
      <c r="A612" t="s">
        <v>162</v>
      </c>
      <c r="B612" t="s">
        <v>173</v>
      </c>
      <c r="C612" t="s">
        <v>169</v>
      </c>
      <c r="D612" s="9">
        <v>28</v>
      </c>
      <c r="E612" t="s">
        <v>75</v>
      </c>
      <c r="G612">
        <v>104.84</v>
      </c>
      <c r="H612">
        <v>104.94</v>
      </c>
      <c r="I612" t="s">
        <v>181</v>
      </c>
      <c r="K612">
        <f t="shared" si="18"/>
        <v>104.84</v>
      </c>
      <c r="L612">
        <f t="shared" si="19"/>
        <v>104.94</v>
      </c>
      <c r="M612" t="s">
        <v>143</v>
      </c>
      <c r="O612" s="7">
        <v>44539</v>
      </c>
      <c r="P612" t="s">
        <v>145</v>
      </c>
      <c r="Q612">
        <v>70611</v>
      </c>
      <c r="R612" t="s">
        <v>196</v>
      </c>
      <c r="S612">
        <v>48</v>
      </c>
      <c r="T612">
        <v>175</v>
      </c>
      <c r="U612" t="s">
        <v>208</v>
      </c>
    </row>
    <row r="613" spans="1:21" x14ac:dyDescent="0.15">
      <c r="A613" t="s">
        <v>162</v>
      </c>
      <c r="B613" t="s">
        <v>173</v>
      </c>
      <c r="C613" t="s">
        <v>169</v>
      </c>
      <c r="D613" s="9">
        <v>28</v>
      </c>
      <c r="E613" t="s">
        <v>75</v>
      </c>
      <c r="G613">
        <v>105.3</v>
      </c>
      <c r="H613">
        <v>105.38</v>
      </c>
      <c r="I613" t="s">
        <v>181</v>
      </c>
      <c r="K613">
        <f t="shared" si="18"/>
        <v>105.3</v>
      </c>
      <c r="L613">
        <f t="shared" si="19"/>
        <v>105.38</v>
      </c>
      <c r="M613" t="s">
        <v>143</v>
      </c>
      <c r="O613" s="7">
        <v>44539</v>
      </c>
      <c r="P613" t="s">
        <v>145</v>
      </c>
      <c r="Q613">
        <v>70611</v>
      </c>
      <c r="R613" t="s">
        <v>196</v>
      </c>
      <c r="S613">
        <v>38</v>
      </c>
      <c r="T613">
        <v>175</v>
      </c>
      <c r="U613" t="s">
        <v>208</v>
      </c>
    </row>
    <row r="614" spans="1:21" x14ac:dyDescent="0.15">
      <c r="A614" t="s">
        <v>162</v>
      </c>
      <c r="B614" t="s">
        <v>173</v>
      </c>
      <c r="C614" t="s">
        <v>169</v>
      </c>
      <c r="D614" s="9">
        <v>28</v>
      </c>
      <c r="E614" t="s">
        <v>75</v>
      </c>
      <c r="G614">
        <v>105.455</v>
      </c>
      <c r="H614">
        <v>105.48</v>
      </c>
      <c r="I614" t="s">
        <v>181</v>
      </c>
      <c r="K614">
        <f t="shared" si="18"/>
        <v>105.455</v>
      </c>
      <c r="L614">
        <f t="shared" si="19"/>
        <v>105.48</v>
      </c>
      <c r="M614" t="s">
        <v>143</v>
      </c>
      <c r="O614" s="7">
        <v>44539</v>
      </c>
      <c r="P614" t="s">
        <v>145</v>
      </c>
      <c r="Q614">
        <v>70611</v>
      </c>
      <c r="R614" t="s">
        <v>196</v>
      </c>
      <c r="S614">
        <v>12</v>
      </c>
      <c r="T614">
        <v>175</v>
      </c>
      <c r="U614" t="s">
        <v>208</v>
      </c>
    </row>
    <row r="615" spans="1:21" x14ac:dyDescent="0.15">
      <c r="A615" t="s">
        <v>162</v>
      </c>
      <c r="B615" t="s">
        <v>173</v>
      </c>
      <c r="C615" t="s">
        <v>169</v>
      </c>
      <c r="D615" s="9">
        <v>28</v>
      </c>
      <c r="E615" t="s">
        <v>75</v>
      </c>
      <c r="G615">
        <v>105.625</v>
      </c>
      <c r="H615">
        <v>105.7</v>
      </c>
      <c r="I615" t="s">
        <v>181</v>
      </c>
      <c r="K615">
        <f t="shared" si="18"/>
        <v>105.625</v>
      </c>
      <c r="L615">
        <f t="shared" si="19"/>
        <v>105.7</v>
      </c>
      <c r="M615" t="s">
        <v>143</v>
      </c>
      <c r="O615" s="7">
        <v>44539</v>
      </c>
      <c r="P615" t="s">
        <v>145</v>
      </c>
      <c r="Q615">
        <v>70611</v>
      </c>
      <c r="R615" t="s">
        <v>196</v>
      </c>
      <c r="S615">
        <v>36</v>
      </c>
      <c r="T615">
        <v>175</v>
      </c>
      <c r="U615" t="s">
        <v>208</v>
      </c>
    </row>
    <row r="616" spans="1:21" x14ac:dyDescent="0.15">
      <c r="A616" t="s">
        <v>162</v>
      </c>
      <c r="B616" t="s">
        <v>173</v>
      </c>
      <c r="C616" t="s">
        <v>169</v>
      </c>
      <c r="D616" s="9">
        <v>28</v>
      </c>
      <c r="E616" t="s">
        <v>75</v>
      </c>
      <c r="G616">
        <v>105.77500000000001</v>
      </c>
      <c r="H616">
        <v>105.875</v>
      </c>
      <c r="I616" t="s">
        <v>181</v>
      </c>
      <c r="K616">
        <f t="shared" si="18"/>
        <v>105.77500000000001</v>
      </c>
      <c r="L616">
        <f t="shared" si="19"/>
        <v>105.875</v>
      </c>
      <c r="M616" t="s">
        <v>143</v>
      </c>
      <c r="O616" s="7">
        <v>44539</v>
      </c>
      <c r="P616" t="s">
        <v>145</v>
      </c>
      <c r="Q616">
        <v>70611</v>
      </c>
      <c r="R616" t="s">
        <v>196</v>
      </c>
      <c r="S616">
        <v>48</v>
      </c>
      <c r="T616">
        <v>175</v>
      </c>
      <c r="U616" t="s">
        <v>208</v>
      </c>
    </row>
    <row r="617" spans="1:21" x14ac:dyDescent="0.15">
      <c r="A617" t="s">
        <v>162</v>
      </c>
      <c r="B617" t="s">
        <v>173</v>
      </c>
      <c r="C617" t="s">
        <v>169</v>
      </c>
      <c r="D617" s="9">
        <v>28</v>
      </c>
      <c r="E617" t="s">
        <v>75</v>
      </c>
      <c r="G617">
        <v>106.325</v>
      </c>
      <c r="H617">
        <v>106.35</v>
      </c>
      <c r="I617" t="s">
        <v>181</v>
      </c>
      <c r="K617">
        <f t="shared" si="18"/>
        <v>106.325</v>
      </c>
      <c r="L617">
        <f t="shared" si="19"/>
        <v>106.35</v>
      </c>
      <c r="M617" t="s">
        <v>143</v>
      </c>
      <c r="O617" s="7">
        <v>44539</v>
      </c>
      <c r="P617" t="s">
        <v>145</v>
      </c>
      <c r="Q617">
        <v>70611</v>
      </c>
      <c r="R617" t="s">
        <v>196</v>
      </c>
      <c r="S617">
        <v>12</v>
      </c>
      <c r="T617">
        <v>175</v>
      </c>
      <c r="U617" t="s">
        <v>208</v>
      </c>
    </row>
    <row r="618" spans="1:21" x14ac:dyDescent="0.15">
      <c r="A618" t="s">
        <v>162</v>
      </c>
      <c r="B618" t="s">
        <v>173</v>
      </c>
      <c r="C618" t="s">
        <v>169</v>
      </c>
      <c r="D618" s="9">
        <v>28</v>
      </c>
      <c r="E618" t="s">
        <v>75</v>
      </c>
      <c r="G618">
        <v>106.47499999999999</v>
      </c>
      <c r="H618">
        <v>106.5</v>
      </c>
      <c r="I618" t="s">
        <v>181</v>
      </c>
      <c r="K618">
        <f t="shared" si="18"/>
        <v>106.47499999999999</v>
      </c>
      <c r="L618">
        <f t="shared" si="19"/>
        <v>106.5</v>
      </c>
      <c r="M618" t="s">
        <v>143</v>
      </c>
      <c r="O618" s="7">
        <v>44539</v>
      </c>
      <c r="P618" t="s">
        <v>145</v>
      </c>
      <c r="Q618">
        <v>70611</v>
      </c>
      <c r="R618" t="s">
        <v>196</v>
      </c>
      <c r="S618">
        <v>12</v>
      </c>
      <c r="T618">
        <v>175</v>
      </c>
      <c r="U618" t="s">
        <v>208</v>
      </c>
    </row>
    <row r="619" spans="1:21" x14ac:dyDescent="0.15">
      <c r="A619" t="s">
        <v>162</v>
      </c>
      <c r="B619" t="s">
        <v>173</v>
      </c>
      <c r="C619" t="s">
        <v>169</v>
      </c>
      <c r="D619" s="9">
        <v>28</v>
      </c>
      <c r="E619" t="s">
        <v>75</v>
      </c>
      <c r="G619">
        <v>106.875</v>
      </c>
      <c r="H619">
        <v>106.95</v>
      </c>
      <c r="I619" t="s">
        <v>181</v>
      </c>
      <c r="K619">
        <f t="shared" si="18"/>
        <v>106.875</v>
      </c>
      <c r="L619">
        <f t="shared" si="19"/>
        <v>106.95</v>
      </c>
      <c r="M619" t="s">
        <v>143</v>
      </c>
      <c r="O619" s="7">
        <v>44539</v>
      </c>
      <c r="P619" t="s">
        <v>145</v>
      </c>
      <c r="Q619">
        <v>70611</v>
      </c>
      <c r="R619" t="s">
        <v>196</v>
      </c>
      <c r="S619">
        <v>36</v>
      </c>
      <c r="T619">
        <v>175</v>
      </c>
      <c r="U619" t="s">
        <v>208</v>
      </c>
    </row>
    <row r="620" spans="1:21" x14ac:dyDescent="0.15">
      <c r="A620" t="s">
        <v>162</v>
      </c>
      <c r="B620" t="s">
        <v>173</v>
      </c>
      <c r="C620" t="s">
        <v>169</v>
      </c>
      <c r="D620" s="9">
        <v>28</v>
      </c>
      <c r="E620" t="s">
        <v>75</v>
      </c>
      <c r="G620">
        <v>111.45</v>
      </c>
      <c r="H620">
        <v>111.52500000000001</v>
      </c>
      <c r="I620" t="s">
        <v>96</v>
      </c>
      <c r="K620">
        <f t="shared" si="18"/>
        <v>111.45</v>
      </c>
      <c r="L620">
        <f t="shared" si="19"/>
        <v>111.52500000000001</v>
      </c>
      <c r="M620" t="s">
        <v>143</v>
      </c>
      <c r="O620" s="7">
        <v>44545</v>
      </c>
      <c r="P620" t="s">
        <v>145</v>
      </c>
      <c r="Q620">
        <v>70611</v>
      </c>
      <c r="R620" t="s">
        <v>196</v>
      </c>
      <c r="S620">
        <v>44</v>
      </c>
      <c r="T620">
        <v>175</v>
      </c>
      <c r="U620" t="s">
        <v>206</v>
      </c>
    </row>
    <row r="621" spans="1:21" x14ac:dyDescent="0.15">
      <c r="A621" t="s">
        <v>162</v>
      </c>
      <c r="B621" t="s">
        <v>173</v>
      </c>
      <c r="C621" t="s">
        <v>169</v>
      </c>
      <c r="D621" s="9">
        <v>28</v>
      </c>
      <c r="E621" t="s">
        <v>75</v>
      </c>
      <c r="G621">
        <v>112.56</v>
      </c>
      <c r="H621">
        <v>112.6</v>
      </c>
      <c r="I621" t="s">
        <v>96</v>
      </c>
      <c r="K621">
        <f t="shared" si="18"/>
        <v>112.56</v>
      </c>
      <c r="L621">
        <f t="shared" si="19"/>
        <v>112.6</v>
      </c>
      <c r="M621" t="s">
        <v>143</v>
      </c>
      <c r="O621" s="7">
        <v>44551</v>
      </c>
      <c r="P621" t="s">
        <v>145</v>
      </c>
      <c r="Q621">
        <v>70611</v>
      </c>
      <c r="R621" t="s">
        <v>196</v>
      </c>
      <c r="S621">
        <v>13</v>
      </c>
      <c r="T621">
        <v>175</v>
      </c>
      <c r="U621" t="s">
        <v>206</v>
      </c>
    </row>
    <row r="622" spans="1:21" x14ac:dyDescent="0.15">
      <c r="A622" t="s">
        <v>162</v>
      </c>
      <c r="B622" t="s">
        <v>173</v>
      </c>
      <c r="C622" t="s">
        <v>169</v>
      </c>
      <c r="D622" s="9">
        <v>28</v>
      </c>
      <c r="E622" t="s">
        <v>75</v>
      </c>
      <c r="G622">
        <v>112.56</v>
      </c>
      <c r="H622">
        <v>112.6</v>
      </c>
      <c r="I622" t="s">
        <v>97</v>
      </c>
      <c r="K622">
        <f t="shared" si="18"/>
        <v>112.56</v>
      </c>
      <c r="L622">
        <f t="shared" si="19"/>
        <v>112.6</v>
      </c>
      <c r="M622" t="s">
        <v>143</v>
      </c>
      <c r="O622" s="7">
        <v>44551</v>
      </c>
      <c r="P622" t="s">
        <v>145</v>
      </c>
      <c r="Q622">
        <v>70611</v>
      </c>
      <c r="R622" t="s">
        <v>196</v>
      </c>
      <c r="S622">
        <v>13</v>
      </c>
      <c r="T622">
        <v>175</v>
      </c>
      <c r="U622" t="s">
        <v>206</v>
      </c>
    </row>
    <row r="623" spans="1:21" x14ac:dyDescent="0.15">
      <c r="A623" t="s">
        <v>162</v>
      </c>
      <c r="B623" t="s">
        <v>173</v>
      </c>
      <c r="C623" t="s">
        <v>169</v>
      </c>
      <c r="D623" s="9">
        <v>28</v>
      </c>
      <c r="E623" t="s">
        <v>74</v>
      </c>
      <c r="G623">
        <v>113.685</v>
      </c>
      <c r="H623">
        <v>113.6</v>
      </c>
      <c r="I623" t="s">
        <v>182</v>
      </c>
      <c r="K623">
        <f t="shared" si="18"/>
        <v>113.6</v>
      </c>
      <c r="L623">
        <f t="shared" si="19"/>
        <v>113.685</v>
      </c>
      <c r="M623" t="s">
        <v>143</v>
      </c>
      <c r="O623" s="7">
        <v>44539</v>
      </c>
      <c r="P623" t="s">
        <v>145</v>
      </c>
      <c r="Q623">
        <v>70611</v>
      </c>
      <c r="R623" t="s">
        <v>196</v>
      </c>
      <c r="S623">
        <v>73</v>
      </c>
      <c r="T623">
        <v>175</v>
      </c>
      <c r="U623" t="s">
        <v>208</v>
      </c>
    </row>
    <row r="624" spans="1:21" x14ac:dyDescent="0.15">
      <c r="A624" t="s">
        <v>162</v>
      </c>
      <c r="B624" t="s">
        <v>173</v>
      </c>
      <c r="C624" t="s">
        <v>169</v>
      </c>
      <c r="D624" s="9">
        <v>28</v>
      </c>
      <c r="E624" t="s">
        <v>74</v>
      </c>
      <c r="G624">
        <v>113.7</v>
      </c>
      <c r="H624">
        <v>113.6</v>
      </c>
      <c r="I624" t="s">
        <v>92</v>
      </c>
      <c r="K624">
        <f t="shared" si="18"/>
        <v>113.6</v>
      </c>
      <c r="L624">
        <f t="shared" si="19"/>
        <v>113.7</v>
      </c>
      <c r="M624" t="s">
        <v>143</v>
      </c>
      <c r="O624" s="7">
        <v>44547</v>
      </c>
      <c r="P624" t="s">
        <v>145</v>
      </c>
      <c r="Q624">
        <v>70611</v>
      </c>
      <c r="R624" t="s">
        <v>196</v>
      </c>
      <c r="S624">
        <v>43</v>
      </c>
      <c r="T624">
        <v>175</v>
      </c>
      <c r="U624" t="s">
        <v>208</v>
      </c>
    </row>
    <row r="625" spans="1:21" x14ac:dyDescent="0.15">
      <c r="A625" t="s">
        <v>162</v>
      </c>
      <c r="B625" t="s">
        <v>173</v>
      </c>
      <c r="C625" t="s">
        <v>169</v>
      </c>
      <c r="D625" s="9">
        <v>28</v>
      </c>
      <c r="E625" t="s">
        <v>74</v>
      </c>
      <c r="G625">
        <v>113.30500000000001</v>
      </c>
      <c r="H625">
        <v>113.27500000000001</v>
      </c>
      <c r="I625" t="s">
        <v>91</v>
      </c>
      <c r="K625">
        <f t="shared" si="18"/>
        <v>113.27500000000001</v>
      </c>
      <c r="L625">
        <f t="shared" si="19"/>
        <v>113.30500000000001</v>
      </c>
      <c r="M625" t="s">
        <v>143</v>
      </c>
      <c r="O625" s="7">
        <v>44547</v>
      </c>
      <c r="P625" t="s">
        <v>145</v>
      </c>
      <c r="Q625">
        <v>70611</v>
      </c>
      <c r="R625" t="s">
        <v>196</v>
      </c>
      <c r="S625">
        <v>13</v>
      </c>
      <c r="T625">
        <v>175</v>
      </c>
      <c r="U625" t="s">
        <v>206</v>
      </c>
    </row>
    <row r="626" spans="1:21" x14ac:dyDescent="0.15">
      <c r="A626" t="s">
        <v>162</v>
      </c>
      <c r="B626" t="s">
        <v>173</v>
      </c>
      <c r="C626" t="s">
        <v>169</v>
      </c>
      <c r="D626" s="9">
        <v>28</v>
      </c>
      <c r="E626" t="s">
        <v>74</v>
      </c>
      <c r="G626">
        <v>113.26</v>
      </c>
      <c r="H626">
        <v>113.2</v>
      </c>
      <c r="I626" t="s">
        <v>182</v>
      </c>
      <c r="K626">
        <f t="shared" si="18"/>
        <v>113.2</v>
      </c>
      <c r="L626">
        <f t="shared" si="19"/>
        <v>113.26</v>
      </c>
      <c r="M626" t="s">
        <v>143</v>
      </c>
      <c r="O626" s="7">
        <v>44539</v>
      </c>
      <c r="P626" t="s">
        <v>145</v>
      </c>
      <c r="Q626">
        <v>70611</v>
      </c>
      <c r="R626" t="s">
        <v>196</v>
      </c>
      <c r="S626">
        <v>29</v>
      </c>
      <c r="T626">
        <v>175</v>
      </c>
      <c r="U626" t="s">
        <v>206</v>
      </c>
    </row>
    <row r="627" spans="1:21" x14ac:dyDescent="0.15">
      <c r="A627" t="s">
        <v>162</v>
      </c>
      <c r="B627" t="s">
        <v>173</v>
      </c>
      <c r="C627" t="s">
        <v>169</v>
      </c>
      <c r="D627" s="9">
        <v>28</v>
      </c>
      <c r="E627" t="s">
        <v>74</v>
      </c>
      <c r="G627">
        <v>113.2</v>
      </c>
      <c r="H627">
        <v>112.9</v>
      </c>
      <c r="I627" t="s">
        <v>92</v>
      </c>
      <c r="K627">
        <f t="shared" si="18"/>
        <v>112.9</v>
      </c>
      <c r="L627">
        <f t="shared" si="19"/>
        <v>113.2</v>
      </c>
      <c r="M627" t="s">
        <v>143</v>
      </c>
      <c r="O627" s="7">
        <v>44547</v>
      </c>
      <c r="P627" t="s">
        <v>145</v>
      </c>
      <c r="Q627">
        <v>70611</v>
      </c>
      <c r="R627" t="s">
        <v>196</v>
      </c>
      <c r="S627">
        <v>113</v>
      </c>
      <c r="T627">
        <v>175</v>
      </c>
      <c r="U627" t="s">
        <v>206</v>
      </c>
    </row>
    <row r="628" spans="1:21" x14ac:dyDescent="0.15">
      <c r="A628" t="s">
        <v>162</v>
      </c>
      <c r="B628" t="s">
        <v>173</v>
      </c>
      <c r="C628" t="s">
        <v>169</v>
      </c>
      <c r="D628" s="9">
        <v>28</v>
      </c>
      <c r="E628" t="s">
        <v>74</v>
      </c>
      <c r="G628">
        <v>112.59</v>
      </c>
      <c r="H628">
        <v>112.4</v>
      </c>
      <c r="I628" t="s">
        <v>93</v>
      </c>
      <c r="K628">
        <f t="shared" si="18"/>
        <v>112.4</v>
      </c>
      <c r="L628">
        <f t="shared" si="19"/>
        <v>112.59</v>
      </c>
      <c r="M628" t="s">
        <v>143</v>
      </c>
      <c r="O628" s="7">
        <v>44539</v>
      </c>
      <c r="P628" t="s">
        <v>145</v>
      </c>
      <c r="Q628">
        <v>70611</v>
      </c>
      <c r="R628" t="s">
        <v>196</v>
      </c>
      <c r="S628">
        <v>61</v>
      </c>
      <c r="T628">
        <v>175</v>
      </c>
      <c r="U628" t="s">
        <v>206</v>
      </c>
    </row>
    <row r="629" spans="1:21" x14ac:dyDescent="0.15">
      <c r="A629" t="s">
        <v>162</v>
      </c>
      <c r="B629" t="s">
        <v>173</v>
      </c>
      <c r="C629" t="s">
        <v>169</v>
      </c>
      <c r="D629" s="9">
        <v>28</v>
      </c>
      <c r="E629" t="s">
        <v>74</v>
      </c>
      <c r="G629">
        <v>112.03</v>
      </c>
      <c r="H629">
        <v>111.99</v>
      </c>
      <c r="I629" t="s">
        <v>91</v>
      </c>
      <c r="K629">
        <f t="shared" si="18"/>
        <v>111.99</v>
      </c>
      <c r="L629">
        <f t="shared" si="19"/>
        <v>112.03</v>
      </c>
      <c r="M629" t="s">
        <v>143</v>
      </c>
      <c r="O629" s="7">
        <v>44547</v>
      </c>
      <c r="P629" t="s">
        <v>145</v>
      </c>
      <c r="Q629">
        <v>70611</v>
      </c>
      <c r="R629" t="s">
        <v>196</v>
      </c>
      <c r="S629">
        <v>37</v>
      </c>
      <c r="T629">
        <v>175</v>
      </c>
      <c r="U629" t="s">
        <v>206</v>
      </c>
    </row>
    <row r="630" spans="1:21" x14ac:dyDescent="0.15">
      <c r="A630" t="s">
        <v>162</v>
      </c>
      <c r="B630" t="s">
        <v>173</v>
      </c>
      <c r="C630" t="s">
        <v>169</v>
      </c>
      <c r="D630" s="9">
        <v>28</v>
      </c>
      <c r="E630" t="s">
        <v>74</v>
      </c>
      <c r="G630">
        <v>112.03</v>
      </c>
      <c r="H630">
        <v>111.99</v>
      </c>
      <c r="I630" t="s">
        <v>92</v>
      </c>
      <c r="K630">
        <f t="shared" si="18"/>
        <v>111.99</v>
      </c>
      <c r="L630">
        <f t="shared" si="19"/>
        <v>112.03</v>
      </c>
      <c r="M630" t="s">
        <v>143</v>
      </c>
      <c r="O630" s="7">
        <v>44547</v>
      </c>
      <c r="P630" t="s">
        <v>145</v>
      </c>
      <c r="Q630">
        <v>70611</v>
      </c>
      <c r="R630" t="s">
        <v>196</v>
      </c>
      <c r="S630">
        <v>37</v>
      </c>
      <c r="T630">
        <v>175</v>
      </c>
      <c r="U630" t="s">
        <v>206</v>
      </c>
    </row>
    <row r="631" spans="1:21" x14ac:dyDescent="0.15">
      <c r="A631" t="s">
        <v>162</v>
      </c>
      <c r="B631" t="s">
        <v>173</v>
      </c>
      <c r="C631" t="s">
        <v>169</v>
      </c>
      <c r="D631" s="9">
        <v>28</v>
      </c>
      <c r="E631" t="s">
        <v>74</v>
      </c>
      <c r="G631">
        <v>111.96</v>
      </c>
      <c r="H631">
        <v>111.875</v>
      </c>
      <c r="I631" t="s">
        <v>182</v>
      </c>
      <c r="K631">
        <f t="shared" si="18"/>
        <v>111.875</v>
      </c>
      <c r="L631">
        <f t="shared" si="19"/>
        <v>111.96</v>
      </c>
      <c r="M631" t="s">
        <v>143</v>
      </c>
      <c r="O631" s="7">
        <v>44539</v>
      </c>
      <c r="P631" t="s">
        <v>145</v>
      </c>
      <c r="Q631">
        <v>70611</v>
      </c>
      <c r="R631" t="s">
        <v>196</v>
      </c>
      <c r="S631">
        <v>32</v>
      </c>
      <c r="T631">
        <v>175</v>
      </c>
      <c r="U631" t="s">
        <v>206</v>
      </c>
    </row>
    <row r="632" spans="1:21" x14ac:dyDescent="0.15">
      <c r="A632" t="s">
        <v>162</v>
      </c>
      <c r="B632" t="s">
        <v>173</v>
      </c>
      <c r="C632" t="s">
        <v>169</v>
      </c>
      <c r="D632" s="9">
        <v>28</v>
      </c>
      <c r="E632" t="s">
        <v>74</v>
      </c>
      <c r="G632">
        <v>111.735</v>
      </c>
      <c r="H632">
        <v>111.71</v>
      </c>
      <c r="I632" t="s">
        <v>91</v>
      </c>
      <c r="K632">
        <f t="shared" si="18"/>
        <v>111.71</v>
      </c>
      <c r="L632">
        <f t="shared" si="19"/>
        <v>111.735</v>
      </c>
      <c r="M632" t="s">
        <v>143</v>
      </c>
      <c r="O632" s="7">
        <v>44547</v>
      </c>
      <c r="P632" t="s">
        <v>145</v>
      </c>
      <c r="Q632">
        <v>70611</v>
      </c>
      <c r="R632" t="s">
        <v>196</v>
      </c>
      <c r="S632">
        <v>22</v>
      </c>
      <c r="T632">
        <v>175</v>
      </c>
      <c r="U632" t="s">
        <v>208</v>
      </c>
    </row>
    <row r="633" spans="1:21" x14ac:dyDescent="0.15">
      <c r="A633" t="s">
        <v>162</v>
      </c>
      <c r="B633" t="s">
        <v>173</v>
      </c>
      <c r="C633" t="s">
        <v>169</v>
      </c>
      <c r="D633" s="9">
        <v>28</v>
      </c>
      <c r="E633" t="s">
        <v>74</v>
      </c>
      <c r="G633">
        <v>111.735</v>
      </c>
      <c r="H633">
        <v>111.71</v>
      </c>
      <c r="I633" t="s">
        <v>92</v>
      </c>
      <c r="K633">
        <f t="shared" si="18"/>
        <v>111.71</v>
      </c>
      <c r="L633">
        <f t="shared" si="19"/>
        <v>111.735</v>
      </c>
      <c r="M633" t="s">
        <v>143</v>
      </c>
      <c r="O633" s="7">
        <v>44547</v>
      </c>
      <c r="P633" t="s">
        <v>145</v>
      </c>
      <c r="Q633">
        <v>70611</v>
      </c>
      <c r="R633" t="s">
        <v>196</v>
      </c>
      <c r="S633">
        <v>22</v>
      </c>
      <c r="T633">
        <v>175</v>
      </c>
      <c r="U633" t="s">
        <v>208</v>
      </c>
    </row>
    <row r="634" spans="1:21" x14ac:dyDescent="0.15">
      <c r="A634" t="s">
        <v>162</v>
      </c>
      <c r="B634" t="s">
        <v>173</v>
      </c>
      <c r="C634" t="s">
        <v>169</v>
      </c>
      <c r="D634" s="9">
        <v>28</v>
      </c>
      <c r="E634" t="s">
        <v>74</v>
      </c>
      <c r="G634">
        <v>111.515</v>
      </c>
      <c r="H634">
        <v>111.49</v>
      </c>
      <c r="I634" t="s">
        <v>92</v>
      </c>
      <c r="K634">
        <f t="shared" si="18"/>
        <v>111.49</v>
      </c>
      <c r="L634">
        <f t="shared" si="19"/>
        <v>111.515</v>
      </c>
      <c r="M634" t="s">
        <v>143</v>
      </c>
      <c r="O634" s="7">
        <v>44547</v>
      </c>
      <c r="P634" t="s">
        <v>145</v>
      </c>
      <c r="Q634">
        <v>70611</v>
      </c>
      <c r="R634" t="s">
        <v>196</v>
      </c>
      <c r="S634">
        <v>11</v>
      </c>
      <c r="T634">
        <v>175</v>
      </c>
      <c r="U634" t="s">
        <v>208</v>
      </c>
    </row>
    <row r="635" spans="1:21" x14ac:dyDescent="0.15">
      <c r="A635" t="s">
        <v>162</v>
      </c>
      <c r="B635" t="s">
        <v>173</v>
      </c>
      <c r="C635" t="s">
        <v>169</v>
      </c>
      <c r="D635" s="9">
        <v>28</v>
      </c>
      <c r="E635" t="s">
        <v>74</v>
      </c>
      <c r="G635">
        <v>111.375</v>
      </c>
      <c r="H635">
        <v>111.32</v>
      </c>
      <c r="I635" t="s">
        <v>182</v>
      </c>
      <c r="K635">
        <f t="shared" si="18"/>
        <v>111.32</v>
      </c>
      <c r="L635">
        <f t="shared" si="19"/>
        <v>111.375</v>
      </c>
      <c r="M635" t="s">
        <v>143</v>
      </c>
      <c r="O635" s="7">
        <v>44543</v>
      </c>
      <c r="P635" t="s">
        <v>145</v>
      </c>
      <c r="Q635">
        <v>70611</v>
      </c>
      <c r="R635" t="s">
        <v>196</v>
      </c>
      <c r="S635">
        <v>27</v>
      </c>
      <c r="T635">
        <v>175</v>
      </c>
      <c r="U635" t="s">
        <v>208</v>
      </c>
    </row>
    <row r="636" spans="1:21" x14ac:dyDescent="0.15">
      <c r="A636" t="s">
        <v>162</v>
      </c>
      <c r="B636" t="s">
        <v>173</v>
      </c>
      <c r="C636" t="s">
        <v>169</v>
      </c>
      <c r="D636" s="9">
        <v>28</v>
      </c>
      <c r="E636" t="s">
        <v>74</v>
      </c>
      <c r="G636">
        <v>111.375</v>
      </c>
      <c r="H636">
        <v>111.34</v>
      </c>
      <c r="I636" t="s">
        <v>95</v>
      </c>
      <c r="K636">
        <f t="shared" si="18"/>
        <v>111.34</v>
      </c>
      <c r="L636">
        <f t="shared" si="19"/>
        <v>111.375</v>
      </c>
      <c r="M636" t="s">
        <v>143</v>
      </c>
      <c r="O636" s="7">
        <v>44543</v>
      </c>
      <c r="P636" t="s">
        <v>145</v>
      </c>
      <c r="Q636">
        <v>70611</v>
      </c>
      <c r="R636" t="s">
        <v>196</v>
      </c>
      <c r="S636">
        <v>15</v>
      </c>
      <c r="T636">
        <v>175</v>
      </c>
      <c r="U636" t="s">
        <v>208</v>
      </c>
    </row>
    <row r="637" spans="1:21" x14ac:dyDescent="0.15">
      <c r="A637" t="s">
        <v>162</v>
      </c>
      <c r="B637" t="s">
        <v>173</v>
      </c>
      <c r="C637" t="s">
        <v>169</v>
      </c>
      <c r="D637" s="9">
        <v>28</v>
      </c>
      <c r="E637" t="s">
        <v>74</v>
      </c>
      <c r="G637">
        <v>111.075</v>
      </c>
      <c r="H637">
        <v>111.035</v>
      </c>
      <c r="I637" t="s">
        <v>182</v>
      </c>
      <c r="K637">
        <f t="shared" si="18"/>
        <v>111.035</v>
      </c>
      <c r="L637">
        <f t="shared" si="19"/>
        <v>111.075</v>
      </c>
      <c r="M637" t="s">
        <v>143</v>
      </c>
      <c r="O637" s="7">
        <v>44543</v>
      </c>
      <c r="P637" t="s">
        <v>145</v>
      </c>
      <c r="Q637">
        <v>70611</v>
      </c>
      <c r="R637" t="s">
        <v>196</v>
      </c>
      <c r="S637">
        <v>20</v>
      </c>
      <c r="T637">
        <v>175</v>
      </c>
      <c r="U637" t="s">
        <v>208</v>
      </c>
    </row>
    <row r="638" spans="1:21" x14ac:dyDescent="0.15">
      <c r="A638" t="s">
        <v>162</v>
      </c>
      <c r="B638" t="s">
        <v>173</v>
      </c>
      <c r="C638" t="s">
        <v>169</v>
      </c>
      <c r="D638" s="9">
        <v>28</v>
      </c>
      <c r="E638" t="s">
        <v>74</v>
      </c>
      <c r="G638">
        <v>110.928</v>
      </c>
      <c r="H638">
        <v>110.90300000000001</v>
      </c>
      <c r="I638" t="s">
        <v>92</v>
      </c>
      <c r="K638">
        <f t="shared" si="18"/>
        <v>110.90300000000001</v>
      </c>
      <c r="L638">
        <f t="shared" si="19"/>
        <v>110.928</v>
      </c>
      <c r="M638" t="s">
        <v>143</v>
      </c>
      <c r="O638" s="7">
        <v>44550</v>
      </c>
      <c r="P638" t="s">
        <v>145</v>
      </c>
      <c r="Q638">
        <v>70611</v>
      </c>
      <c r="R638" t="s">
        <v>196</v>
      </c>
      <c r="S638">
        <v>10</v>
      </c>
      <c r="T638">
        <v>175</v>
      </c>
      <c r="U638" t="s">
        <v>208</v>
      </c>
    </row>
    <row r="639" spans="1:21" x14ac:dyDescent="0.15">
      <c r="A639" t="s">
        <v>162</v>
      </c>
      <c r="B639" t="s">
        <v>173</v>
      </c>
      <c r="C639" t="s">
        <v>169</v>
      </c>
      <c r="D639" s="9">
        <v>28</v>
      </c>
      <c r="E639" t="s">
        <v>74</v>
      </c>
      <c r="G639">
        <v>110.86</v>
      </c>
      <c r="H639">
        <v>110.83499999999999</v>
      </c>
      <c r="I639" t="s">
        <v>182</v>
      </c>
      <c r="K639">
        <f t="shared" si="18"/>
        <v>110.83499999999999</v>
      </c>
      <c r="L639">
        <f t="shared" si="19"/>
        <v>110.86</v>
      </c>
      <c r="M639" t="s">
        <v>143</v>
      </c>
      <c r="O639" s="7">
        <v>44543</v>
      </c>
      <c r="P639" t="s">
        <v>145</v>
      </c>
      <c r="Q639">
        <v>70611</v>
      </c>
      <c r="R639" t="s">
        <v>196</v>
      </c>
      <c r="S639">
        <v>12</v>
      </c>
      <c r="T639">
        <v>175</v>
      </c>
      <c r="U639" t="s">
        <v>208</v>
      </c>
    </row>
    <row r="640" spans="1:21" x14ac:dyDescent="0.15">
      <c r="A640" t="s">
        <v>162</v>
      </c>
      <c r="B640" t="s">
        <v>173</v>
      </c>
      <c r="C640" t="s">
        <v>169</v>
      </c>
      <c r="D640" s="9">
        <v>28</v>
      </c>
      <c r="E640" t="s">
        <v>74</v>
      </c>
      <c r="G640">
        <v>110.875</v>
      </c>
      <c r="H640">
        <v>110.85</v>
      </c>
      <c r="I640" t="s">
        <v>91</v>
      </c>
      <c r="K640">
        <f t="shared" si="18"/>
        <v>110.85</v>
      </c>
      <c r="L640">
        <f t="shared" si="19"/>
        <v>110.875</v>
      </c>
      <c r="M640" t="s">
        <v>143</v>
      </c>
      <c r="O640" s="7">
        <v>44550</v>
      </c>
      <c r="P640" t="s">
        <v>145</v>
      </c>
      <c r="Q640">
        <v>70611</v>
      </c>
      <c r="R640" t="s">
        <v>196</v>
      </c>
      <c r="S640">
        <v>10</v>
      </c>
      <c r="T640">
        <v>175</v>
      </c>
      <c r="U640" t="s">
        <v>208</v>
      </c>
    </row>
    <row r="641" spans="1:21" x14ac:dyDescent="0.15">
      <c r="A641" t="s">
        <v>162</v>
      </c>
      <c r="B641" t="s">
        <v>173</v>
      </c>
      <c r="C641" t="s">
        <v>169</v>
      </c>
      <c r="D641" s="9">
        <v>28</v>
      </c>
      <c r="E641" t="s">
        <v>74</v>
      </c>
      <c r="G641">
        <v>110.86</v>
      </c>
      <c r="H641">
        <v>110.703</v>
      </c>
      <c r="I641" t="s">
        <v>92</v>
      </c>
      <c r="K641">
        <f t="shared" ref="K641:K704" si="20">MIN(G641:H641)</f>
        <v>110.703</v>
      </c>
      <c r="L641">
        <f t="shared" ref="L641:L704" si="21">MAX(G641:H641)</f>
        <v>110.86</v>
      </c>
      <c r="M641" t="s">
        <v>143</v>
      </c>
      <c r="O641" s="7">
        <v>44550</v>
      </c>
      <c r="P641" t="s">
        <v>145</v>
      </c>
      <c r="Q641">
        <v>70611</v>
      </c>
      <c r="R641" t="s">
        <v>196</v>
      </c>
      <c r="S641">
        <v>60</v>
      </c>
      <c r="T641">
        <v>175</v>
      </c>
      <c r="U641" t="s">
        <v>208</v>
      </c>
    </row>
    <row r="642" spans="1:21" x14ac:dyDescent="0.15">
      <c r="A642" t="s">
        <v>162</v>
      </c>
      <c r="B642" t="s">
        <v>173</v>
      </c>
      <c r="C642" t="s">
        <v>169</v>
      </c>
      <c r="D642" s="9">
        <v>28</v>
      </c>
      <c r="E642" t="s">
        <v>74</v>
      </c>
      <c r="G642">
        <v>110.77500000000001</v>
      </c>
      <c r="H642">
        <v>110.6</v>
      </c>
      <c r="I642" t="s">
        <v>182</v>
      </c>
      <c r="K642">
        <f t="shared" si="20"/>
        <v>110.6</v>
      </c>
      <c r="L642">
        <f t="shared" si="21"/>
        <v>110.77500000000001</v>
      </c>
      <c r="M642" t="s">
        <v>143</v>
      </c>
      <c r="O642" s="7">
        <v>44543</v>
      </c>
      <c r="P642" t="s">
        <v>145</v>
      </c>
      <c r="Q642">
        <v>70611</v>
      </c>
      <c r="R642" t="s">
        <v>196</v>
      </c>
      <c r="S642">
        <v>85</v>
      </c>
      <c r="T642">
        <v>175</v>
      </c>
      <c r="U642" t="s">
        <v>208</v>
      </c>
    </row>
    <row r="643" spans="1:21" x14ac:dyDescent="0.15">
      <c r="A643" t="s">
        <v>162</v>
      </c>
      <c r="B643" t="s">
        <v>173</v>
      </c>
      <c r="C643" t="s">
        <v>169</v>
      </c>
      <c r="D643" s="9">
        <v>28</v>
      </c>
      <c r="E643" t="s">
        <v>74</v>
      </c>
      <c r="G643">
        <v>114.2</v>
      </c>
      <c r="H643">
        <v>114.15</v>
      </c>
      <c r="I643" t="s">
        <v>211</v>
      </c>
      <c r="K643">
        <f t="shared" si="20"/>
        <v>114.15</v>
      </c>
      <c r="L643">
        <f t="shared" si="21"/>
        <v>114.2</v>
      </c>
      <c r="M643" t="s">
        <v>143</v>
      </c>
      <c r="O643" s="7">
        <v>44539</v>
      </c>
      <c r="P643" t="s">
        <v>145</v>
      </c>
      <c r="Q643">
        <v>70611</v>
      </c>
      <c r="R643" t="s">
        <v>196</v>
      </c>
      <c r="S643">
        <v>43</v>
      </c>
      <c r="T643">
        <v>175</v>
      </c>
      <c r="U643" t="s">
        <v>208</v>
      </c>
    </row>
    <row r="644" spans="1:21" x14ac:dyDescent="0.15">
      <c r="A644" t="s">
        <v>162</v>
      </c>
      <c r="B644" t="s">
        <v>173</v>
      </c>
      <c r="C644" t="s">
        <v>169</v>
      </c>
      <c r="D644" s="9">
        <v>28</v>
      </c>
      <c r="E644" t="s">
        <v>74</v>
      </c>
      <c r="G644">
        <v>114.2</v>
      </c>
      <c r="H644">
        <v>114.15</v>
      </c>
      <c r="I644" t="s">
        <v>95</v>
      </c>
      <c r="K644">
        <f t="shared" si="20"/>
        <v>114.15</v>
      </c>
      <c r="L644">
        <f t="shared" si="21"/>
        <v>114.2</v>
      </c>
      <c r="M644" t="s">
        <v>143</v>
      </c>
      <c r="O644" s="7">
        <v>44539</v>
      </c>
      <c r="P644" t="s">
        <v>145</v>
      </c>
      <c r="Q644">
        <v>70611</v>
      </c>
      <c r="R644" t="s">
        <v>196</v>
      </c>
      <c r="S644">
        <v>43</v>
      </c>
      <c r="T644">
        <v>175</v>
      </c>
      <c r="U644" t="s">
        <v>208</v>
      </c>
    </row>
    <row r="645" spans="1:21" x14ac:dyDescent="0.15">
      <c r="A645" t="s">
        <v>162</v>
      </c>
      <c r="B645" t="s">
        <v>173</v>
      </c>
      <c r="C645" t="s">
        <v>169</v>
      </c>
      <c r="D645" s="9">
        <v>28</v>
      </c>
      <c r="E645" t="s">
        <v>74</v>
      </c>
      <c r="G645">
        <v>114.2</v>
      </c>
      <c r="H645">
        <v>114.15</v>
      </c>
      <c r="I645" t="s">
        <v>212</v>
      </c>
      <c r="K645">
        <f t="shared" si="20"/>
        <v>114.15</v>
      </c>
      <c r="L645">
        <f t="shared" si="21"/>
        <v>114.2</v>
      </c>
      <c r="M645" t="s">
        <v>143</v>
      </c>
      <c r="O645" s="7">
        <v>44539</v>
      </c>
      <c r="P645" t="s">
        <v>145</v>
      </c>
      <c r="Q645">
        <v>70611</v>
      </c>
      <c r="R645" t="s">
        <v>196</v>
      </c>
      <c r="S645">
        <v>43</v>
      </c>
      <c r="T645">
        <v>175</v>
      </c>
      <c r="U645" t="s">
        <v>208</v>
      </c>
    </row>
    <row r="646" spans="1:21" x14ac:dyDescent="0.15">
      <c r="A646" t="s">
        <v>162</v>
      </c>
      <c r="B646" t="s">
        <v>173</v>
      </c>
      <c r="C646" t="s">
        <v>169</v>
      </c>
      <c r="D646" s="9">
        <v>28</v>
      </c>
      <c r="E646" t="s">
        <v>74</v>
      </c>
      <c r="G646">
        <v>110.2</v>
      </c>
      <c r="H646">
        <v>110.15</v>
      </c>
      <c r="I646" t="s">
        <v>92</v>
      </c>
      <c r="K646">
        <f t="shared" si="20"/>
        <v>110.15</v>
      </c>
      <c r="L646">
        <f t="shared" si="21"/>
        <v>110.2</v>
      </c>
      <c r="M646" t="s">
        <v>143</v>
      </c>
      <c r="O646" s="7">
        <v>44550</v>
      </c>
      <c r="P646" t="s">
        <v>145</v>
      </c>
      <c r="Q646">
        <v>70611</v>
      </c>
      <c r="R646" t="s">
        <v>196</v>
      </c>
      <c r="S646">
        <v>19</v>
      </c>
      <c r="T646">
        <v>175</v>
      </c>
      <c r="U646" t="s">
        <v>208</v>
      </c>
    </row>
    <row r="647" spans="1:21" x14ac:dyDescent="0.15">
      <c r="A647" t="s">
        <v>162</v>
      </c>
      <c r="B647" t="s">
        <v>173</v>
      </c>
      <c r="C647" t="s">
        <v>169</v>
      </c>
      <c r="D647" s="9">
        <v>28</v>
      </c>
      <c r="E647" t="s">
        <v>74</v>
      </c>
      <c r="G647">
        <v>110.1</v>
      </c>
      <c r="H647">
        <v>110.02500000000001</v>
      </c>
      <c r="I647" t="s">
        <v>182</v>
      </c>
      <c r="K647">
        <f t="shared" si="20"/>
        <v>110.02500000000001</v>
      </c>
      <c r="L647">
        <f t="shared" si="21"/>
        <v>110.1</v>
      </c>
      <c r="M647" t="s">
        <v>143</v>
      </c>
      <c r="O647" s="7">
        <v>44543</v>
      </c>
      <c r="P647" t="s">
        <v>145</v>
      </c>
      <c r="Q647">
        <v>70611</v>
      </c>
      <c r="R647" t="s">
        <v>196</v>
      </c>
      <c r="S647">
        <v>36</v>
      </c>
      <c r="T647">
        <v>175</v>
      </c>
      <c r="U647" t="s">
        <v>208</v>
      </c>
    </row>
    <row r="648" spans="1:21" x14ac:dyDescent="0.15">
      <c r="A648" t="s">
        <v>162</v>
      </c>
      <c r="B648" t="s">
        <v>173</v>
      </c>
      <c r="C648" t="s">
        <v>169</v>
      </c>
      <c r="D648" s="9">
        <v>28</v>
      </c>
      <c r="E648" t="s">
        <v>74</v>
      </c>
      <c r="G648">
        <v>109.45</v>
      </c>
      <c r="H648">
        <v>109.425</v>
      </c>
      <c r="I648" t="s">
        <v>91</v>
      </c>
      <c r="K648">
        <f t="shared" si="20"/>
        <v>109.425</v>
      </c>
      <c r="L648">
        <f t="shared" si="21"/>
        <v>109.45</v>
      </c>
      <c r="M648" t="s">
        <v>143</v>
      </c>
      <c r="O648" s="7">
        <v>44550</v>
      </c>
      <c r="P648" t="s">
        <v>145</v>
      </c>
      <c r="Q648">
        <v>70611</v>
      </c>
      <c r="R648" t="s">
        <v>196</v>
      </c>
      <c r="S648">
        <v>19</v>
      </c>
      <c r="T648">
        <v>175</v>
      </c>
      <c r="U648" t="s">
        <v>208</v>
      </c>
    </row>
    <row r="649" spans="1:21" x14ac:dyDescent="0.15">
      <c r="A649" t="s">
        <v>162</v>
      </c>
      <c r="B649" t="s">
        <v>173</v>
      </c>
      <c r="C649" t="s">
        <v>169</v>
      </c>
      <c r="D649" s="9">
        <v>28</v>
      </c>
      <c r="E649" t="s">
        <v>74</v>
      </c>
      <c r="G649">
        <v>109.45</v>
      </c>
      <c r="H649">
        <v>109.425</v>
      </c>
      <c r="I649" t="s">
        <v>92</v>
      </c>
      <c r="K649">
        <f t="shared" si="20"/>
        <v>109.425</v>
      </c>
      <c r="L649">
        <f t="shared" si="21"/>
        <v>109.45</v>
      </c>
      <c r="M649" t="s">
        <v>143</v>
      </c>
      <c r="O649" s="7">
        <v>44550</v>
      </c>
      <c r="P649" t="s">
        <v>145</v>
      </c>
      <c r="Q649">
        <v>70611</v>
      </c>
      <c r="R649" t="s">
        <v>196</v>
      </c>
      <c r="S649">
        <v>19</v>
      </c>
      <c r="T649">
        <v>175</v>
      </c>
      <c r="U649" t="s">
        <v>208</v>
      </c>
    </row>
    <row r="650" spans="1:21" x14ac:dyDescent="0.15">
      <c r="A650" t="s">
        <v>162</v>
      </c>
      <c r="B650" t="s">
        <v>173</v>
      </c>
      <c r="C650" t="s">
        <v>169</v>
      </c>
      <c r="D650" s="9">
        <v>28</v>
      </c>
      <c r="E650" t="s">
        <v>74</v>
      </c>
      <c r="G650">
        <v>109.4</v>
      </c>
      <c r="H650">
        <v>109.325</v>
      </c>
      <c r="I650" t="s">
        <v>182</v>
      </c>
      <c r="K650">
        <f t="shared" si="20"/>
        <v>109.325</v>
      </c>
      <c r="L650">
        <f t="shared" si="21"/>
        <v>109.4</v>
      </c>
      <c r="M650" t="s">
        <v>143</v>
      </c>
      <c r="O650" s="7">
        <v>44546</v>
      </c>
      <c r="P650" t="s">
        <v>145</v>
      </c>
      <c r="Q650">
        <v>70611</v>
      </c>
      <c r="R650" t="s">
        <v>196</v>
      </c>
      <c r="S650">
        <v>36</v>
      </c>
      <c r="T650">
        <v>175</v>
      </c>
      <c r="U650" t="s">
        <v>208</v>
      </c>
    </row>
    <row r="651" spans="1:21" x14ac:dyDescent="0.15">
      <c r="A651" t="s">
        <v>162</v>
      </c>
      <c r="B651" t="s">
        <v>173</v>
      </c>
      <c r="C651" t="s">
        <v>169</v>
      </c>
      <c r="D651" s="9">
        <v>28</v>
      </c>
      <c r="E651" t="s">
        <v>74</v>
      </c>
      <c r="G651">
        <v>109.325</v>
      </c>
      <c r="H651">
        <v>109.25</v>
      </c>
      <c r="I651" t="s">
        <v>182</v>
      </c>
      <c r="K651">
        <f t="shared" si="20"/>
        <v>109.25</v>
      </c>
      <c r="L651">
        <f t="shared" si="21"/>
        <v>109.325</v>
      </c>
      <c r="M651" t="s">
        <v>143</v>
      </c>
      <c r="O651" s="7">
        <v>44546</v>
      </c>
      <c r="P651" t="s">
        <v>145</v>
      </c>
      <c r="Q651">
        <v>70611</v>
      </c>
      <c r="R651" t="s">
        <v>196</v>
      </c>
      <c r="S651">
        <v>36</v>
      </c>
      <c r="T651">
        <v>175</v>
      </c>
      <c r="U651" t="s">
        <v>208</v>
      </c>
    </row>
    <row r="652" spans="1:21" x14ac:dyDescent="0.15">
      <c r="A652" t="s">
        <v>162</v>
      </c>
      <c r="B652" t="s">
        <v>173</v>
      </c>
      <c r="C652" t="s">
        <v>169</v>
      </c>
      <c r="D652" s="9">
        <v>28</v>
      </c>
      <c r="E652" t="s">
        <v>74</v>
      </c>
      <c r="G652">
        <v>108.72499999999999</v>
      </c>
      <c r="H652">
        <v>108.675</v>
      </c>
      <c r="I652" t="s">
        <v>182</v>
      </c>
      <c r="K652">
        <f t="shared" si="20"/>
        <v>108.675</v>
      </c>
      <c r="L652">
        <f t="shared" si="21"/>
        <v>108.72499999999999</v>
      </c>
      <c r="M652" t="s">
        <v>143</v>
      </c>
      <c r="O652" s="7">
        <v>44546</v>
      </c>
      <c r="P652" t="s">
        <v>145</v>
      </c>
      <c r="Q652">
        <v>70611</v>
      </c>
      <c r="R652" t="s">
        <v>196</v>
      </c>
      <c r="S652">
        <v>24</v>
      </c>
      <c r="T652">
        <v>175</v>
      </c>
      <c r="U652" t="s">
        <v>208</v>
      </c>
    </row>
    <row r="653" spans="1:21" x14ac:dyDescent="0.15">
      <c r="A653" t="s">
        <v>162</v>
      </c>
      <c r="B653" t="s">
        <v>173</v>
      </c>
      <c r="C653" t="s">
        <v>169</v>
      </c>
      <c r="D653" s="9">
        <v>28</v>
      </c>
      <c r="E653" t="s">
        <v>74</v>
      </c>
      <c r="G653">
        <v>108.58499999999999</v>
      </c>
      <c r="H653">
        <v>108.515</v>
      </c>
      <c r="I653" t="s">
        <v>182</v>
      </c>
      <c r="K653">
        <f t="shared" si="20"/>
        <v>108.515</v>
      </c>
      <c r="L653">
        <f t="shared" si="21"/>
        <v>108.58499999999999</v>
      </c>
      <c r="M653" t="s">
        <v>143</v>
      </c>
      <c r="O653" s="7">
        <v>44546</v>
      </c>
      <c r="P653" t="s">
        <v>145</v>
      </c>
      <c r="Q653">
        <v>70611</v>
      </c>
      <c r="R653" t="s">
        <v>196</v>
      </c>
      <c r="S653">
        <v>34</v>
      </c>
      <c r="T653">
        <v>175</v>
      </c>
      <c r="U653" t="s">
        <v>208</v>
      </c>
    </row>
    <row r="654" spans="1:21" x14ac:dyDescent="0.15">
      <c r="A654" t="s">
        <v>162</v>
      </c>
      <c r="B654" t="s">
        <v>173</v>
      </c>
      <c r="C654" t="s">
        <v>169</v>
      </c>
      <c r="D654" s="9">
        <v>28</v>
      </c>
      <c r="E654" t="s">
        <v>74</v>
      </c>
      <c r="G654">
        <v>108.01</v>
      </c>
      <c r="H654">
        <v>107.98</v>
      </c>
      <c r="I654" t="s">
        <v>92</v>
      </c>
      <c r="K654">
        <f t="shared" si="20"/>
        <v>107.98</v>
      </c>
      <c r="L654">
        <f t="shared" si="21"/>
        <v>108.01</v>
      </c>
      <c r="M654" t="s">
        <v>143</v>
      </c>
      <c r="O654" s="7">
        <v>44550</v>
      </c>
      <c r="P654" t="s">
        <v>145</v>
      </c>
      <c r="Q654">
        <v>70611</v>
      </c>
      <c r="R654" t="s">
        <v>196</v>
      </c>
      <c r="S654">
        <v>11</v>
      </c>
      <c r="T654">
        <v>175</v>
      </c>
      <c r="U654" t="s">
        <v>208</v>
      </c>
    </row>
    <row r="655" spans="1:21" x14ac:dyDescent="0.15">
      <c r="A655" t="s">
        <v>162</v>
      </c>
      <c r="B655" t="s">
        <v>173</v>
      </c>
      <c r="C655" t="s">
        <v>169</v>
      </c>
      <c r="D655" s="9">
        <v>28</v>
      </c>
      <c r="E655" t="s">
        <v>74</v>
      </c>
      <c r="G655">
        <v>107.91</v>
      </c>
      <c r="H655">
        <v>107.88500000000001</v>
      </c>
      <c r="I655" t="s">
        <v>92</v>
      </c>
      <c r="K655">
        <f t="shared" si="20"/>
        <v>107.88500000000001</v>
      </c>
      <c r="L655">
        <f t="shared" si="21"/>
        <v>107.91</v>
      </c>
      <c r="M655" t="s">
        <v>143</v>
      </c>
      <c r="O655" s="7">
        <v>44550</v>
      </c>
      <c r="P655" t="s">
        <v>145</v>
      </c>
      <c r="Q655">
        <v>70611</v>
      </c>
      <c r="R655" t="s">
        <v>196</v>
      </c>
      <c r="S655">
        <v>10</v>
      </c>
      <c r="T655">
        <v>175</v>
      </c>
      <c r="U655" t="s">
        <v>208</v>
      </c>
    </row>
    <row r="656" spans="1:21" x14ac:dyDescent="0.15">
      <c r="A656" t="s">
        <v>162</v>
      </c>
      <c r="B656" t="s">
        <v>173</v>
      </c>
      <c r="C656" t="s">
        <v>169</v>
      </c>
      <c r="D656" s="9">
        <v>28</v>
      </c>
      <c r="E656" t="s">
        <v>74</v>
      </c>
      <c r="G656">
        <v>107.61</v>
      </c>
      <c r="H656">
        <v>107.58499999999999</v>
      </c>
      <c r="I656" t="s">
        <v>92</v>
      </c>
      <c r="K656">
        <f t="shared" si="20"/>
        <v>107.58499999999999</v>
      </c>
      <c r="L656">
        <f t="shared" si="21"/>
        <v>107.61</v>
      </c>
      <c r="M656" t="s">
        <v>143</v>
      </c>
      <c r="O656" s="7">
        <v>44550</v>
      </c>
      <c r="P656" t="s">
        <v>145</v>
      </c>
      <c r="Q656">
        <v>70611</v>
      </c>
      <c r="R656" t="s">
        <v>196</v>
      </c>
      <c r="S656">
        <v>10</v>
      </c>
      <c r="T656">
        <v>175</v>
      </c>
      <c r="U656" t="s">
        <v>208</v>
      </c>
    </row>
    <row r="657" spans="1:21" x14ac:dyDescent="0.15">
      <c r="A657" t="s">
        <v>162</v>
      </c>
      <c r="B657" t="s">
        <v>173</v>
      </c>
      <c r="C657" t="s">
        <v>169</v>
      </c>
      <c r="D657" s="9">
        <v>28</v>
      </c>
      <c r="E657" t="s">
        <v>74</v>
      </c>
      <c r="G657">
        <v>107.435</v>
      </c>
      <c r="H657">
        <v>107.38</v>
      </c>
      <c r="I657" t="s">
        <v>92</v>
      </c>
      <c r="K657">
        <f t="shared" si="20"/>
        <v>107.38</v>
      </c>
      <c r="L657">
        <f t="shared" si="21"/>
        <v>107.435</v>
      </c>
      <c r="M657" t="s">
        <v>143</v>
      </c>
      <c r="O657" s="7">
        <v>44551</v>
      </c>
      <c r="P657" t="s">
        <v>145</v>
      </c>
      <c r="Q657">
        <v>70611</v>
      </c>
      <c r="R657" t="s">
        <v>196</v>
      </c>
      <c r="S657">
        <v>21</v>
      </c>
      <c r="T657">
        <v>175</v>
      </c>
      <c r="U657" t="s">
        <v>208</v>
      </c>
    </row>
    <row r="658" spans="1:21" x14ac:dyDescent="0.15">
      <c r="A658" t="s">
        <v>162</v>
      </c>
      <c r="B658" t="s">
        <v>173</v>
      </c>
      <c r="C658" t="s">
        <v>169</v>
      </c>
      <c r="D658" s="9">
        <v>28</v>
      </c>
      <c r="E658" t="s">
        <v>74</v>
      </c>
      <c r="G658">
        <v>106.825</v>
      </c>
      <c r="H658">
        <v>106.8</v>
      </c>
      <c r="I658" t="s">
        <v>182</v>
      </c>
      <c r="K658">
        <f t="shared" si="20"/>
        <v>106.8</v>
      </c>
      <c r="L658">
        <f t="shared" si="21"/>
        <v>106.825</v>
      </c>
      <c r="M658" t="s">
        <v>143</v>
      </c>
      <c r="O658" s="7">
        <v>44546</v>
      </c>
      <c r="P658" t="s">
        <v>145</v>
      </c>
      <c r="Q658">
        <v>70611</v>
      </c>
      <c r="R658" t="s">
        <v>196</v>
      </c>
      <c r="S658">
        <v>12</v>
      </c>
      <c r="T658">
        <v>175</v>
      </c>
      <c r="U658" t="s">
        <v>208</v>
      </c>
    </row>
    <row r="659" spans="1:21" x14ac:dyDescent="0.15">
      <c r="A659" t="s">
        <v>162</v>
      </c>
      <c r="B659" t="s">
        <v>173</v>
      </c>
      <c r="C659" t="s">
        <v>169</v>
      </c>
      <c r="D659" s="9">
        <v>28</v>
      </c>
      <c r="E659" t="s">
        <v>74</v>
      </c>
      <c r="G659">
        <v>106.7</v>
      </c>
      <c r="H659">
        <v>106.45</v>
      </c>
      <c r="I659" t="s">
        <v>182</v>
      </c>
      <c r="K659">
        <f t="shared" si="20"/>
        <v>106.45</v>
      </c>
      <c r="L659">
        <f t="shared" si="21"/>
        <v>106.7</v>
      </c>
      <c r="M659" t="s">
        <v>143</v>
      </c>
      <c r="O659" s="7">
        <v>44546</v>
      </c>
      <c r="P659" t="s">
        <v>145</v>
      </c>
      <c r="Q659">
        <v>70611</v>
      </c>
      <c r="R659" t="s">
        <v>196</v>
      </c>
      <c r="S659">
        <v>121</v>
      </c>
      <c r="T659">
        <v>175</v>
      </c>
      <c r="U659" t="s">
        <v>208</v>
      </c>
    </row>
    <row r="660" spans="1:21" x14ac:dyDescent="0.15">
      <c r="A660" t="s">
        <v>162</v>
      </c>
      <c r="B660" t="s">
        <v>173</v>
      </c>
      <c r="C660" t="s">
        <v>169</v>
      </c>
      <c r="D660" s="9">
        <v>28</v>
      </c>
      <c r="E660" t="s">
        <v>74</v>
      </c>
      <c r="G660">
        <v>106.38500000000001</v>
      </c>
      <c r="H660">
        <v>106.36</v>
      </c>
      <c r="I660" t="s">
        <v>182</v>
      </c>
      <c r="K660">
        <f t="shared" si="20"/>
        <v>106.36</v>
      </c>
      <c r="L660">
        <f t="shared" si="21"/>
        <v>106.38500000000001</v>
      </c>
      <c r="M660" t="s">
        <v>143</v>
      </c>
      <c r="O660" s="7">
        <v>44546</v>
      </c>
      <c r="P660" t="s">
        <v>145</v>
      </c>
      <c r="Q660">
        <v>70611</v>
      </c>
      <c r="R660" t="s">
        <v>196</v>
      </c>
      <c r="S660">
        <v>12</v>
      </c>
      <c r="T660">
        <v>175</v>
      </c>
      <c r="U660" t="s">
        <v>208</v>
      </c>
    </row>
    <row r="661" spans="1:21" x14ac:dyDescent="0.15">
      <c r="A661" t="s">
        <v>162</v>
      </c>
      <c r="B661" t="s">
        <v>173</v>
      </c>
      <c r="C661" t="s">
        <v>169</v>
      </c>
      <c r="D661" s="9">
        <v>28</v>
      </c>
      <c r="E661" t="s">
        <v>74</v>
      </c>
      <c r="G661">
        <v>106.05</v>
      </c>
      <c r="H661">
        <v>105.925</v>
      </c>
      <c r="I661" t="s">
        <v>182</v>
      </c>
      <c r="K661">
        <f t="shared" si="20"/>
        <v>105.925</v>
      </c>
      <c r="L661">
        <f t="shared" si="21"/>
        <v>106.05</v>
      </c>
      <c r="M661" t="s">
        <v>143</v>
      </c>
      <c r="O661" s="7">
        <v>44546</v>
      </c>
      <c r="P661" t="s">
        <v>145</v>
      </c>
      <c r="Q661">
        <v>70611</v>
      </c>
      <c r="R661" t="s">
        <v>196</v>
      </c>
      <c r="S661">
        <v>60</v>
      </c>
      <c r="T661">
        <v>175</v>
      </c>
      <c r="U661" t="s">
        <v>208</v>
      </c>
    </row>
    <row r="662" spans="1:21" x14ac:dyDescent="0.15">
      <c r="A662" t="s">
        <v>162</v>
      </c>
      <c r="B662" t="s">
        <v>173</v>
      </c>
      <c r="C662" t="s">
        <v>172</v>
      </c>
      <c r="D662" s="9">
        <v>28</v>
      </c>
      <c r="E662" t="s">
        <v>74</v>
      </c>
      <c r="G662">
        <v>105.1</v>
      </c>
      <c r="H662">
        <v>105.075</v>
      </c>
      <c r="I662" t="s">
        <v>182</v>
      </c>
      <c r="K662">
        <f t="shared" si="20"/>
        <v>105.075</v>
      </c>
      <c r="L662">
        <f t="shared" si="21"/>
        <v>105.1</v>
      </c>
      <c r="M662" t="s">
        <v>143</v>
      </c>
      <c r="O662" s="7">
        <v>44530</v>
      </c>
      <c r="P662" t="s">
        <v>145</v>
      </c>
      <c r="Q662">
        <v>70611</v>
      </c>
      <c r="R662" t="s">
        <v>196</v>
      </c>
      <c r="S662">
        <v>22</v>
      </c>
      <c r="T662">
        <v>175</v>
      </c>
      <c r="U662" t="s">
        <v>208</v>
      </c>
    </row>
    <row r="663" spans="1:21" x14ac:dyDescent="0.15">
      <c r="A663" t="s">
        <v>162</v>
      </c>
      <c r="B663" t="s">
        <v>173</v>
      </c>
      <c r="C663" t="s">
        <v>172</v>
      </c>
      <c r="D663" s="9">
        <v>28</v>
      </c>
      <c r="E663" t="s">
        <v>74</v>
      </c>
      <c r="G663">
        <v>104.825</v>
      </c>
      <c r="H663">
        <v>104.75</v>
      </c>
      <c r="I663" t="s">
        <v>182</v>
      </c>
      <c r="K663">
        <f t="shared" si="20"/>
        <v>104.75</v>
      </c>
      <c r="L663">
        <f t="shared" si="21"/>
        <v>104.825</v>
      </c>
      <c r="M663" t="s">
        <v>143</v>
      </c>
      <c r="O663" s="7">
        <v>44530</v>
      </c>
      <c r="P663" t="s">
        <v>145</v>
      </c>
      <c r="Q663">
        <v>70611</v>
      </c>
      <c r="R663" t="s">
        <v>196</v>
      </c>
      <c r="S663">
        <v>36</v>
      </c>
      <c r="T663">
        <v>175</v>
      </c>
      <c r="U663" t="s">
        <v>208</v>
      </c>
    </row>
    <row r="664" spans="1:21" x14ac:dyDescent="0.15">
      <c r="A664" t="s">
        <v>162</v>
      </c>
      <c r="B664" t="s">
        <v>173</v>
      </c>
      <c r="C664" t="s">
        <v>172</v>
      </c>
      <c r="D664" s="9">
        <v>28</v>
      </c>
      <c r="E664" t="s">
        <v>74</v>
      </c>
      <c r="G664">
        <v>104.63500000000001</v>
      </c>
      <c r="H664">
        <v>104.6</v>
      </c>
      <c r="I664" t="s">
        <v>90</v>
      </c>
      <c r="K664">
        <f t="shared" si="20"/>
        <v>104.6</v>
      </c>
      <c r="L664">
        <f t="shared" si="21"/>
        <v>104.63500000000001</v>
      </c>
      <c r="M664" t="s">
        <v>143</v>
      </c>
      <c r="O664" s="7">
        <v>44530</v>
      </c>
      <c r="P664" t="s">
        <v>145</v>
      </c>
      <c r="Q664">
        <v>70611</v>
      </c>
      <c r="R664" t="s">
        <v>196</v>
      </c>
      <c r="S664">
        <v>21</v>
      </c>
      <c r="T664">
        <v>175</v>
      </c>
      <c r="U664" t="s">
        <v>208</v>
      </c>
    </row>
    <row r="665" spans="1:21" x14ac:dyDescent="0.15">
      <c r="A665" t="s">
        <v>162</v>
      </c>
      <c r="B665" t="s">
        <v>173</v>
      </c>
      <c r="C665" t="s">
        <v>172</v>
      </c>
      <c r="D665" s="9">
        <v>28</v>
      </c>
      <c r="E665" t="s">
        <v>74</v>
      </c>
      <c r="G665">
        <v>104.63500000000001</v>
      </c>
      <c r="H665">
        <v>104.6</v>
      </c>
      <c r="I665" t="s">
        <v>211</v>
      </c>
      <c r="K665">
        <f t="shared" si="20"/>
        <v>104.6</v>
      </c>
      <c r="L665">
        <f t="shared" si="21"/>
        <v>104.63500000000001</v>
      </c>
      <c r="M665" t="s">
        <v>143</v>
      </c>
      <c r="O665" s="7">
        <v>44530</v>
      </c>
      <c r="P665" t="s">
        <v>145</v>
      </c>
      <c r="Q665">
        <v>70611</v>
      </c>
      <c r="R665" t="s">
        <v>196</v>
      </c>
      <c r="S665">
        <v>21</v>
      </c>
      <c r="T665">
        <v>175</v>
      </c>
      <c r="U665" t="s">
        <v>208</v>
      </c>
    </row>
    <row r="666" spans="1:21" x14ac:dyDescent="0.15">
      <c r="A666" t="s">
        <v>162</v>
      </c>
      <c r="B666" t="s">
        <v>173</v>
      </c>
      <c r="C666" t="s">
        <v>172</v>
      </c>
      <c r="D666" s="9">
        <v>28</v>
      </c>
      <c r="E666" t="s">
        <v>74</v>
      </c>
      <c r="G666">
        <v>104.56</v>
      </c>
      <c r="H666">
        <v>104.5</v>
      </c>
      <c r="I666" t="s">
        <v>182</v>
      </c>
      <c r="K666">
        <f t="shared" si="20"/>
        <v>104.5</v>
      </c>
      <c r="L666">
        <f t="shared" si="21"/>
        <v>104.56</v>
      </c>
      <c r="M666" t="s">
        <v>143</v>
      </c>
      <c r="O666" s="7">
        <v>44530</v>
      </c>
      <c r="P666" t="s">
        <v>145</v>
      </c>
      <c r="Q666">
        <v>70611</v>
      </c>
      <c r="R666" t="s">
        <v>196</v>
      </c>
      <c r="S666">
        <v>29</v>
      </c>
      <c r="T666">
        <v>175</v>
      </c>
      <c r="U666" t="s">
        <v>208</v>
      </c>
    </row>
    <row r="667" spans="1:21" x14ac:dyDescent="0.15">
      <c r="A667" t="s">
        <v>162</v>
      </c>
      <c r="B667" t="s">
        <v>173</v>
      </c>
      <c r="C667" t="s">
        <v>172</v>
      </c>
      <c r="D667" s="9">
        <v>28</v>
      </c>
      <c r="E667" t="s">
        <v>74</v>
      </c>
      <c r="G667">
        <v>104.425</v>
      </c>
      <c r="H667">
        <v>104.325</v>
      </c>
      <c r="I667" t="s">
        <v>95</v>
      </c>
      <c r="K667">
        <f t="shared" si="20"/>
        <v>104.325</v>
      </c>
      <c r="L667">
        <f t="shared" si="21"/>
        <v>104.425</v>
      </c>
      <c r="M667" t="s">
        <v>143</v>
      </c>
      <c r="O667" s="7">
        <v>44530</v>
      </c>
      <c r="P667" t="s">
        <v>145</v>
      </c>
      <c r="Q667">
        <v>70611</v>
      </c>
      <c r="R667" t="s">
        <v>196</v>
      </c>
      <c r="S667">
        <v>20</v>
      </c>
      <c r="T667">
        <v>175</v>
      </c>
      <c r="U667" t="s">
        <v>206</v>
      </c>
    </row>
    <row r="668" spans="1:21" x14ac:dyDescent="0.15">
      <c r="A668" t="s">
        <v>162</v>
      </c>
      <c r="B668" t="s">
        <v>173</v>
      </c>
      <c r="C668" t="s">
        <v>172</v>
      </c>
      <c r="D668" s="9">
        <v>28</v>
      </c>
      <c r="E668" t="s">
        <v>74</v>
      </c>
      <c r="G668">
        <v>104.425</v>
      </c>
      <c r="H668">
        <v>104.325</v>
      </c>
      <c r="I668" t="s">
        <v>182</v>
      </c>
      <c r="K668">
        <f t="shared" si="20"/>
        <v>104.325</v>
      </c>
      <c r="L668">
        <f t="shared" si="21"/>
        <v>104.425</v>
      </c>
      <c r="M668" t="s">
        <v>143</v>
      </c>
      <c r="O668" s="7">
        <v>44530</v>
      </c>
      <c r="P668" t="s">
        <v>145</v>
      </c>
      <c r="Q668">
        <v>70611</v>
      </c>
      <c r="R668" t="s">
        <v>196</v>
      </c>
      <c r="S668">
        <v>36</v>
      </c>
      <c r="T668">
        <v>175</v>
      </c>
      <c r="U668" t="s">
        <v>206</v>
      </c>
    </row>
    <row r="669" spans="1:21" x14ac:dyDescent="0.15">
      <c r="A669" t="s">
        <v>162</v>
      </c>
      <c r="B669" t="s">
        <v>173</v>
      </c>
      <c r="C669" t="s">
        <v>172</v>
      </c>
      <c r="D669" s="9">
        <v>28</v>
      </c>
      <c r="E669" t="s">
        <v>74</v>
      </c>
      <c r="G669">
        <v>104.02500000000001</v>
      </c>
      <c r="H669">
        <v>104</v>
      </c>
      <c r="I669" t="s">
        <v>182</v>
      </c>
      <c r="K669">
        <f t="shared" si="20"/>
        <v>104</v>
      </c>
      <c r="L669">
        <f t="shared" si="21"/>
        <v>104.02500000000001</v>
      </c>
      <c r="M669" t="s">
        <v>143</v>
      </c>
      <c r="O669" s="7">
        <v>44530</v>
      </c>
      <c r="P669" t="s">
        <v>145</v>
      </c>
      <c r="Q669">
        <v>70611</v>
      </c>
      <c r="R669" t="s">
        <v>196</v>
      </c>
      <c r="S669">
        <v>12</v>
      </c>
      <c r="T669">
        <v>175</v>
      </c>
      <c r="U669" t="s">
        <v>206</v>
      </c>
    </row>
    <row r="670" spans="1:21" x14ac:dyDescent="0.15">
      <c r="A670" t="s">
        <v>162</v>
      </c>
      <c r="B670" t="s">
        <v>173</v>
      </c>
      <c r="C670" t="s">
        <v>172</v>
      </c>
      <c r="D670" s="9">
        <v>28</v>
      </c>
      <c r="E670" t="s">
        <v>74</v>
      </c>
      <c r="G670">
        <v>104</v>
      </c>
      <c r="H670">
        <v>103.7</v>
      </c>
      <c r="I670" t="s">
        <v>182</v>
      </c>
      <c r="K670">
        <f t="shared" si="20"/>
        <v>103.7</v>
      </c>
      <c r="L670">
        <f t="shared" si="21"/>
        <v>104</v>
      </c>
      <c r="M670" t="s">
        <v>143</v>
      </c>
      <c r="O670" s="7">
        <v>44530</v>
      </c>
      <c r="P670" t="s">
        <v>145</v>
      </c>
      <c r="Q670">
        <v>70611</v>
      </c>
      <c r="R670" t="s">
        <v>196</v>
      </c>
      <c r="S670">
        <v>145</v>
      </c>
      <c r="T670">
        <v>175</v>
      </c>
      <c r="U670" t="s">
        <v>206</v>
      </c>
    </row>
    <row r="671" spans="1:21" x14ac:dyDescent="0.15">
      <c r="A671" t="s">
        <v>162</v>
      </c>
      <c r="B671" t="s">
        <v>173</v>
      </c>
      <c r="C671" t="s">
        <v>169</v>
      </c>
      <c r="D671" s="9">
        <v>28</v>
      </c>
      <c r="E671" t="s">
        <v>74</v>
      </c>
      <c r="G671">
        <v>101.86</v>
      </c>
      <c r="H671">
        <v>101.8</v>
      </c>
      <c r="I671" t="s">
        <v>182</v>
      </c>
      <c r="K671">
        <f t="shared" si="20"/>
        <v>101.8</v>
      </c>
      <c r="L671">
        <f t="shared" si="21"/>
        <v>101.86</v>
      </c>
      <c r="M671" t="s">
        <v>143</v>
      </c>
      <c r="O671" s="7">
        <v>44545</v>
      </c>
      <c r="P671" t="s">
        <v>145</v>
      </c>
      <c r="Q671">
        <v>70611</v>
      </c>
      <c r="R671" t="s">
        <v>196</v>
      </c>
      <c r="S671">
        <v>29</v>
      </c>
      <c r="T671">
        <v>175</v>
      </c>
      <c r="U671" t="s">
        <v>206</v>
      </c>
    </row>
    <row r="672" spans="1:21" x14ac:dyDescent="0.15">
      <c r="A672" t="s">
        <v>162</v>
      </c>
      <c r="B672" t="s">
        <v>173</v>
      </c>
      <c r="C672" t="s">
        <v>169</v>
      </c>
      <c r="D672" s="9">
        <v>28</v>
      </c>
      <c r="E672" t="s">
        <v>74</v>
      </c>
      <c r="G672">
        <v>101.86</v>
      </c>
      <c r="H672">
        <v>101.8</v>
      </c>
      <c r="I672" t="s">
        <v>92</v>
      </c>
      <c r="K672">
        <f t="shared" si="20"/>
        <v>101.8</v>
      </c>
      <c r="L672">
        <f t="shared" si="21"/>
        <v>101.86</v>
      </c>
      <c r="M672" t="s">
        <v>143</v>
      </c>
      <c r="O672" s="7">
        <v>44551</v>
      </c>
      <c r="P672" t="s">
        <v>145</v>
      </c>
      <c r="Q672">
        <v>70611</v>
      </c>
      <c r="R672" t="s">
        <v>196</v>
      </c>
      <c r="S672">
        <v>23</v>
      </c>
      <c r="T672">
        <v>175</v>
      </c>
      <c r="U672" t="s">
        <v>206</v>
      </c>
    </row>
    <row r="673" spans="1:21" x14ac:dyDescent="0.15">
      <c r="A673" t="s">
        <v>162</v>
      </c>
      <c r="B673" t="s">
        <v>173</v>
      </c>
      <c r="C673" t="s">
        <v>169</v>
      </c>
      <c r="D673" s="9">
        <v>28</v>
      </c>
      <c r="E673" t="s">
        <v>74</v>
      </c>
      <c r="G673">
        <v>101.76</v>
      </c>
      <c r="H673">
        <v>101.735</v>
      </c>
      <c r="I673" t="s">
        <v>182</v>
      </c>
      <c r="K673">
        <f t="shared" si="20"/>
        <v>101.735</v>
      </c>
      <c r="L673">
        <f t="shared" si="21"/>
        <v>101.76</v>
      </c>
      <c r="M673" t="s">
        <v>143</v>
      </c>
      <c r="O673" s="7">
        <v>44545</v>
      </c>
      <c r="P673" t="s">
        <v>145</v>
      </c>
      <c r="Q673">
        <v>70611</v>
      </c>
      <c r="R673" t="s">
        <v>196</v>
      </c>
      <c r="S673">
        <v>12</v>
      </c>
      <c r="T673">
        <v>175</v>
      </c>
      <c r="U673" t="s">
        <v>206</v>
      </c>
    </row>
    <row r="674" spans="1:21" x14ac:dyDescent="0.15">
      <c r="A674" t="s">
        <v>162</v>
      </c>
      <c r="B674" t="s">
        <v>173</v>
      </c>
      <c r="C674" t="s">
        <v>169</v>
      </c>
      <c r="D674" s="9">
        <v>28</v>
      </c>
      <c r="E674" t="s">
        <v>74</v>
      </c>
      <c r="G674">
        <v>101.535</v>
      </c>
      <c r="H674">
        <v>101.515</v>
      </c>
      <c r="I674" t="s">
        <v>182</v>
      </c>
      <c r="K674">
        <f t="shared" si="20"/>
        <v>101.515</v>
      </c>
      <c r="L674">
        <f t="shared" si="21"/>
        <v>101.535</v>
      </c>
      <c r="M674" t="s">
        <v>143</v>
      </c>
      <c r="O674" s="7">
        <v>44545</v>
      </c>
      <c r="P674" t="s">
        <v>145</v>
      </c>
      <c r="Q674">
        <v>70611</v>
      </c>
      <c r="R674" t="s">
        <v>196</v>
      </c>
      <c r="S674">
        <v>10</v>
      </c>
      <c r="T674">
        <v>175</v>
      </c>
      <c r="U674" t="s">
        <v>206</v>
      </c>
    </row>
    <row r="675" spans="1:21" x14ac:dyDescent="0.15">
      <c r="A675" t="s">
        <v>162</v>
      </c>
      <c r="B675" t="s">
        <v>173</v>
      </c>
      <c r="C675" t="s">
        <v>169</v>
      </c>
      <c r="D675" s="9">
        <v>28</v>
      </c>
      <c r="E675" t="s">
        <v>74</v>
      </c>
      <c r="G675">
        <v>101.6</v>
      </c>
      <c r="H675">
        <v>101.575</v>
      </c>
      <c r="I675" t="s">
        <v>91</v>
      </c>
      <c r="K675">
        <f t="shared" si="20"/>
        <v>101.575</v>
      </c>
      <c r="L675">
        <f t="shared" si="21"/>
        <v>101.6</v>
      </c>
      <c r="M675" t="s">
        <v>143</v>
      </c>
      <c r="O675" s="7">
        <v>44551</v>
      </c>
      <c r="P675" t="s">
        <v>145</v>
      </c>
      <c r="Q675">
        <v>70611</v>
      </c>
      <c r="R675" t="s">
        <v>196</v>
      </c>
      <c r="S675">
        <v>20</v>
      </c>
      <c r="T675">
        <v>175</v>
      </c>
      <c r="U675" t="s">
        <v>206</v>
      </c>
    </row>
    <row r="676" spans="1:21" x14ac:dyDescent="0.15">
      <c r="A676" t="s">
        <v>162</v>
      </c>
      <c r="B676" t="s">
        <v>173</v>
      </c>
      <c r="C676" t="s">
        <v>169</v>
      </c>
      <c r="D676" s="9">
        <v>28</v>
      </c>
      <c r="E676" t="s">
        <v>74</v>
      </c>
      <c r="G676">
        <v>101.6</v>
      </c>
      <c r="H676">
        <v>101.575</v>
      </c>
      <c r="I676" t="s">
        <v>92</v>
      </c>
      <c r="K676">
        <f t="shared" si="20"/>
        <v>101.575</v>
      </c>
      <c r="L676">
        <f t="shared" si="21"/>
        <v>101.6</v>
      </c>
      <c r="M676" t="s">
        <v>143</v>
      </c>
      <c r="O676" s="7">
        <v>44551</v>
      </c>
      <c r="P676" t="s">
        <v>145</v>
      </c>
      <c r="Q676">
        <v>70611</v>
      </c>
      <c r="R676" t="s">
        <v>196</v>
      </c>
      <c r="S676">
        <v>20</v>
      </c>
      <c r="T676">
        <v>175</v>
      </c>
      <c r="U676" t="s">
        <v>206</v>
      </c>
    </row>
    <row r="677" spans="1:21" x14ac:dyDescent="0.15">
      <c r="A677" t="s">
        <v>162</v>
      </c>
      <c r="B677" t="s">
        <v>173</v>
      </c>
      <c r="C677" t="s">
        <v>169</v>
      </c>
      <c r="D677" s="9">
        <v>28</v>
      </c>
      <c r="E677" t="s">
        <v>74</v>
      </c>
      <c r="G677">
        <v>101.4</v>
      </c>
      <c r="H677">
        <v>101.325</v>
      </c>
      <c r="I677" t="s">
        <v>182</v>
      </c>
      <c r="K677">
        <f t="shared" si="20"/>
        <v>101.325</v>
      </c>
      <c r="L677">
        <f t="shared" si="21"/>
        <v>101.4</v>
      </c>
      <c r="M677" t="s">
        <v>143</v>
      </c>
      <c r="O677" s="7">
        <v>44545</v>
      </c>
      <c r="P677" t="s">
        <v>145</v>
      </c>
      <c r="Q677">
        <v>70611</v>
      </c>
      <c r="R677" t="s">
        <v>196</v>
      </c>
      <c r="S677">
        <v>36</v>
      </c>
      <c r="T677">
        <v>175</v>
      </c>
      <c r="U677" t="s">
        <v>206</v>
      </c>
    </row>
    <row r="678" spans="1:21" x14ac:dyDescent="0.15">
      <c r="A678" t="s">
        <v>162</v>
      </c>
      <c r="B678" t="s">
        <v>173</v>
      </c>
      <c r="C678" t="s">
        <v>169</v>
      </c>
      <c r="D678" s="9">
        <v>28</v>
      </c>
      <c r="E678" t="s">
        <v>74</v>
      </c>
      <c r="G678">
        <v>92.7</v>
      </c>
      <c r="H678">
        <v>92.65</v>
      </c>
      <c r="I678" t="s">
        <v>92</v>
      </c>
      <c r="K678">
        <f t="shared" si="20"/>
        <v>92.65</v>
      </c>
      <c r="L678">
        <f t="shared" si="21"/>
        <v>92.7</v>
      </c>
      <c r="M678" t="s">
        <v>143</v>
      </c>
      <c r="O678" s="7">
        <v>44553</v>
      </c>
      <c r="P678" t="s">
        <v>145</v>
      </c>
      <c r="Q678">
        <v>70611</v>
      </c>
      <c r="R678" t="s">
        <v>196</v>
      </c>
      <c r="S678">
        <v>19</v>
      </c>
      <c r="T678">
        <v>175</v>
      </c>
      <c r="U678" t="s">
        <v>206</v>
      </c>
    </row>
    <row r="679" spans="1:21" x14ac:dyDescent="0.15">
      <c r="A679" t="s">
        <v>162</v>
      </c>
      <c r="B679" t="s">
        <v>173</v>
      </c>
      <c r="C679" t="s">
        <v>169</v>
      </c>
      <c r="D679" s="9">
        <v>28</v>
      </c>
      <c r="E679" t="s">
        <v>74</v>
      </c>
      <c r="G679">
        <v>92.4</v>
      </c>
      <c r="H679">
        <v>92.35</v>
      </c>
      <c r="I679" t="s">
        <v>92</v>
      </c>
      <c r="K679">
        <f t="shared" si="20"/>
        <v>92.35</v>
      </c>
      <c r="L679">
        <f t="shared" si="21"/>
        <v>92.4</v>
      </c>
      <c r="M679" t="s">
        <v>143</v>
      </c>
      <c r="O679" s="7">
        <v>44546</v>
      </c>
      <c r="P679" t="s">
        <v>145</v>
      </c>
      <c r="Q679">
        <v>70611</v>
      </c>
      <c r="R679" t="s">
        <v>196</v>
      </c>
      <c r="S679">
        <v>38</v>
      </c>
      <c r="T679">
        <v>175</v>
      </c>
      <c r="U679" t="s">
        <v>206</v>
      </c>
    </row>
    <row r="680" spans="1:21" x14ac:dyDescent="0.15">
      <c r="A680" t="s">
        <v>162</v>
      </c>
      <c r="B680" t="s">
        <v>173</v>
      </c>
      <c r="C680" t="s">
        <v>169</v>
      </c>
      <c r="D680" s="9">
        <v>28</v>
      </c>
      <c r="E680" t="s">
        <v>74</v>
      </c>
      <c r="G680">
        <v>92.4</v>
      </c>
      <c r="H680">
        <v>92.35</v>
      </c>
      <c r="I680" t="s">
        <v>90</v>
      </c>
      <c r="K680">
        <f t="shared" si="20"/>
        <v>92.35</v>
      </c>
      <c r="L680">
        <f t="shared" si="21"/>
        <v>92.4</v>
      </c>
      <c r="M680" t="s">
        <v>143</v>
      </c>
      <c r="O680" s="7">
        <v>44546</v>
      </c>
      <c r="P680" t="s">
        <v>145</v>
      </c>
      <c r="Q680">
        <v>70611</v>
      </c>
      <c r="R680" t="s">
        <v>196</v>
      </c>
      <c r="S680">
        <v>38</v>
      </c>
      <c r="T680">
        <v>175</v>
      </c>
      <c r="U680" t="s">
        <v>206</v>
      </c>
    </row>
    <row r="681" spans="1:21" x14ac:dyDescent="0.15">
      <c r="A681" t="s">
        <v>162</v>
      </c>
      <c r="B681" t="s">
        <v>173</v>
      </c>
      <c r="C681" t="s">
        <v>169</v>
      </c>
      <c r="D681" s="9">
        <v>28</v>
      </c>
      <c r="E681" t="s">
        <v>74</v>
      </c>
      <c r="G681">
        <v>92.215000000000003</v>
      </c>
      <c r="H681">
        <v>91.89</v>
      </c>
      <c r="I681" t="s">
        <v>95</v>
      </c>
      <c r="K681">
        <f t="shared" si="20"/>
        <v>91.89</v>
      </c>
      <c r="L681">
        <f t="shared" si="21"/>
        <v>92.215000000000003</v>
      </c>
      <c r="M681" t="s">
        <v>143</v>
      </c>
      <c r="O681" s="7">
        <v>44546</v>
      </c>
      <c r="P681" t="s">
        <v>145</v>
      </c>
      <c r="Q681">
        <v>70611</v>
      </c>
      <c r="R681" t="s">
        <v>196</v>
      </c>
      <c r="S681">
        <v>140</v>
      </c>
      <c r="T681">
        <v>175</v>
      </c>
      <c r="U681" t="s">
        <v>206</v>
      </c>
    </row>
    <row r="682" spans="1:21" x14ac:dyDescent="0.15">
      <c r="A682" t="s">
        <v>162</v>
      </c>
      <c r="B682" t="s">
        <v>173</v>
      </c>
      <c r="C682" t="s">
        <v>169</v>
      </c>
      <c r="D682" s="9">
        <v>28</v>
      </c>
      <c r="E682" t="s">
        <v>74</v>
      </c>
      <c r="G682">
        <v>92.15</v>
      </c>
      <c r="H682">
        <v>91.89</v>
      </c>
      <c r="I682" t="s">
        <v>92</v>
      </c>
      <c r="K682">
        <f t="shared" si="20"/>
        <v>91.89</v>
      </c>
      <c r="L682">
        <f t="shared" si="21"/>
        <v>92.15</v>
      </c>
      <c r="M682" t="s">
        <v>143</v>
      </c>
      <c r="O682" s="7">
        <v>44553</v>
      </c>
      <c r="P682" t="s">
        <v>145</v>
      </c>
      <c r="Q682">
        <v>70611</v>
      </c>
      <c r="R682" t="s">
        <v>196</v>
      </c>
      <c r="S682">
        <v>98</v>
      </c>
      <c r="T682">
        <v>175</v>
      </c>
      <c r="U682" t="s">
        <v>206</v>
      </c>
    </row>
    <row r="683" spans="1:21" x14ac:dyDescent="0.15">
      <c r="A683" t="s">
        <v>162</v>
      </c>
      <c r="B683" t="s">
        <v>173</v>
      </c>
      <c r="C683" t="s">
        <v>169</v>
      </c>
      <c r="D683" s="9">
        <v>28</v>
      </c>
      <c r="E683" t="s">
        <v>74</v>
      </c>
      <c r="G683">
        <v>91.8</v>
      </c>
      <c r="H683">
        <v>91.7</v>
      </c>
      <c r="I683" t="s">
        <v>91</v>
      </c>
      <c r="K683">
        <f t="shared" si="20"/>
        <v>91.7</v>
      </c>
      <c r="L683">
        <f t="shared" si="21"/>
        <v>91.8</v>
      </c>
      <c r="M683" t="s">
        <v>143</v>
      </c>
      <c r="O683" s="7">
        <v>44553</v>
      </c>
      <c r="P683" t="s">
        <v>145</v>
      </c>
      <c r="Q683">
        <v>70611</v>
      </c>
      <c r="R683" t="s">
        <v>196</v>
      </c>
      <c r="S683">
        <v>86</v>
      </c>
      <c r="T683">
        <v>175</v>
      </c>
      <c r="U683" t="s">
        <v>206</v>
      </c>
    </row>
    <row r="684" spans="1:21" x14ac:dyDescent="0.15">
      <c r="A684" t="s">
        <v>162</v>
      </c>
      <c r="B684" t="s">
        <v>173</v>
      </c>
      <c r="C684" t="s">
        <v>169</v>
      </c>
      <c r="D684" s="9">
        <v>28</v>
      </c>
      <c r="E684" t="s">
        <v>74</v>
      </c>
      <c r="G684">
        <v>91.8</v>
      </c>
      <c r="H684">
        <v>91.7</v>
      </c>
      <c r="I684" t="s">
        <v>92</v>
      </c>
      <c r="K684">
        <f t="shared" si="20"/>
        <v>91.7</v>
      </c>
      <c r="L684">
        <f t="shared" si="21"/>
        <v>91.8</v>
      </c>
      <c r="M684" t="s">
        <v>143</v>
      </c>
      <c r="O684" s="7">
        <v>44553</v>
      </c>
      <c r="P684" t="s">
        <v>145</v>
      </c>
      <c r="Q684">
        <v>70611</v>
      </c>
      <c r="R684" t="s">
        <v>196</v>
      </c>
      <c r="S684">
        <v>86</v>
      </c>
      <c r="T684">
        <v>175</v>
      </c>
      <c r="U684" t="s">
        <v>206</v>
      </c>
    </row>
    <row r="685" spans="1:21" x14ac:dyDescent="0.15">
      <c r="A685" t="s">
        <v>162</v>
      </c>
      <c r="B685" t="s">
        <v>173</v>
      </c>
      <c r="C685" t="s">
        <v>169</v>
      </c>
      <c r="D685" s="9">
        <v>28</v>
      </c>
      <c r="E685" t="s">
        <v>74</v>
      </c>
      <c r="G685">
        <v>91.674999999999997</v>
      </c>
      <c r="H685">
        <v>91.625</v>
      </c>
      <c r="I685" t="s">
        <v>182</v>
      </c>
      <c r="K685">
        <f t="shared" si="20"/>
        <v>91.625</v>
      </c>
      <c r="L685">
        <f t="shared" si="21"/>
        <v>91.674999999999997</v>
      </c>
      <c r="M685" t="s">
        <v>143</v>
      </c>
      <c r="O685" s="7">
        <v>44546</v>
      </c>
      <c r="P685" t="s">
        <v>145</v>
      </c>
      <c r="Q685">
        <v>70611</v>
      </c>
      <c r="R685" t="s">
        <v>196</v>
      </c>
      <c r="S685">
        <v>19</v>
      </c>
      <c r="T685">
        <v>175</v>
      </c>
      <c r="U685" t="s">
        <v>206</v>
      </c>
    </row>
    <row r="686" spans="1:21" x14ac:dyDescent="0.15">
      <c r="A686" t="s">
        <v>162</v>
      </c>
      <c r="B686" t="s">
        <v>173</v>
      </c>
      <c r="C686" t="s">
        <v>169</v>
      </c>
      <c r="D686" s="9">
        <v>28</v>
      </c>
      <c r="E686" t="s">
        <v>74</v>
      </c>
      <c r="G686">
        <v>91.5</v>
      </c>
      <c r="H686">
        <v>91.24</v>
      </c>
      <c r="I686" t="s">
        <v>92</v>
      </c>
      <c r="K686">
        <f t="shared" si="20"/>
        <v>91.24</v>
      </c>
      <c r="L686">
        <f t="shared" si="21"/>
        <v>91.5</v>
      </c>
      <c r="M686" t="s">
        <v>143</v>
      </c>
      <c r="O686" s="7">
        <v>44553</v>
      </c>
      <c r="P686" t="s">
        <v>145</v>
      </c>
      <c r="Q686">
        <v>70611</v>
      </c>
      <c r="R686" t="s">
        <v>196</v>
      </c>
      <c r="S686">
        <v>98</v>
      </c>
      <c r="T686">
        <v>175</v>
      </c>
      <c r="U686" t="s">
        <v>206</v>
      </c>
    </row>
    <row r="687" spans="1:21" x14ac:dyDescent="0.15">
      <c r="A687" t="s">
        <v>162</v>
      </c>
      <c r="B687" t="s">
        <v>173</v>
      </c>
      <c r="C687" t="s">
        <v>169</v>
      </c>
      <c r="D687" s="9">
        <v>28</v>
      </c>
      <c r="E687" t="s">
        <v>74</v>
      </c>
      <c r="G687">
        <v>91.424999999999997</v>
      </c>
      <c r="H687">
        <v>91.4</v>
      </c>
      <c r="I687" t="s">
        <v>95</v>
      </c>
      <c r="K687">
        <f t="shared" si="20"/>
        <v>91.4</v>
      </c>
      <c r="L687">
        <f t="shared" si="21"/>
        <v>91.424999999999997</v>
      </c>
      <c r="M687" t="s">
        <v>143</v>
      </c>
      <c r="O687" s="7">
        <v>44552</v>
      </c>
      <c r="P687" t="s">
        <v>145</v>
      </c>
      <c r="Q687">
        <v>70611</v>
      </c>
      <c r="R687" t="s">
        <v>196</v>
      </c>
      <c r="S687">
        <v>19</v>
      </c>
      <c r="T687">
        <v>175</v>
      </c>
      <c r="U687" t="s">
        <v>206</v>
      </c>
    </row>
    <row r="688" spans="1:21" x14ac:dyDescent="0.15">
      <c r="A688" t="s">
        <v>162</v>
      </c>
      <c r="B688" t="s">
        <v>173</v>
      </c>
      <c r="C688" t="s">
        <v>169</v>
      </c>
      <c r="D688" s="9">
        <v>28</v>
      </c>
      <c r="E688" t="s">
        <v>74</v>
      </c>
      <c r="G688">
        <v>91.424999999999997</v>
      </c>
      <c r="H688">
        <v>91.4</v>
      </c>
      <c r="I688" t="s">
        <v>212</v>
      </c>
      <c r="K688">
        <f t="shared" si="20"/>
        <v>91.4</v>
      </c>
      <c r="L688">
        <f t="shared" si="21"/>
        <v>91.424999999999997</v>
      </c>
      <c r="M688" t="s">
        <v>143</v>
      </c>
      <c r="O688" s="7">
        <v>44552</v>
      </c>
      <c r="P688" t="s">
        <v>145</v>
      </c>
      <c r="Q688">
        <v>70611</v>
      </c>
      <c r="R688" t="s">
        <v>196</v>
      </c>
      <c r="S688">
        <v>19</v>
      </c>
      <c r="T688">
        <v>175</v>
      </c>
      <c r="U688" t="s">
        <v>206</v>
      </c>
    </row>
    <row r="689" spans="1:21" x14ac:dyDescent="0.15">
      <c r="A689" t="s">
        <v>162</v>
      </c>
      <c r="B689" t="s">
        <v>173</v>
      </c>
      <c r="C689" t="s">
        <v>169</v>
      </c>
      <c r="D689" s="9">
        <v>28</v>
      </c>
      <c r="E689" t="s">
        <v>74</v>
      </c>
      <c r="G689">
        <v>91.4</v>
      </c>
      <c r="H689">
        <v>91.3</v>
      </c>
      <c r="I689" t="s">
        <v>95</v>
      </c>
      <c r="K689">
        <f t="shared" si="20"/>
        <v>91.3</v>
      </c>
      <c r="L689">
        <f t="shared" si="21"/>
        <v>91.4</v>
      </c>
      <c r="M689" t="s">
        <v>143</v>
      </c>
      <c r="O689" s="7">
        <v>44552</v>
      </c>
      <c r="P689" t="s">
        <v>145</v>
      </c>
      <c r="Q689">
        <v>70611</v>
      </c>
      <c r="R689" t="s">
        <v>196</v>
      </c>
      <c r="S689">
        <v>76</v>
      </c>
      <c r="T689">
        <v>175</v>
      </c>
      <c r="U689" t="s">
        <v>206</v>
      </c>
    </row>
    <row r="690" spans="1:21" x14ac:dyDescent="0.15">
      <c r="A690" t="s">
        <v>162</v>
      </c>
      <c r="B690" t="s">
        <v>173</v>
      </c>
      <c r="C690" t="s">
        <v>169</v>
      </c>
      <c r="D690" s="9">
        <v>28</v>
      </c>
      <c r="E690" t="s">
        <v>74</v>
      </c>
      <c r="G690">
        <v>91.4</v>
      </c>
      <c r="H690">
        <v>91.3</v>
      </c>
      <c r="I690" t="s">
        <v>212</v>
      </c>
      <c r="K690">
        <f t="shared" si="20"/>
        <v>91.3</v>
      </c>
      <c r="L690">
        <f t="shared" si="21"/>
        <v>91.4</v>
      </c>
      <c r="M690" t="s">
        <v>143</v>
      </c>
      <c r="O690" s="7">
        <v>44552</v>
      </c>
      <c r="P690" t="s">
        <v>145</v>
      </c>
      <c r="Q690">
        <v>70611</v>
      </c>
      <c r="R690" t="s">
        <v>196</v>
      </c>
      <c r="S690">
        <v>76</v>
      </c>
      <c r="T690">
        <v>175</v>
      </c>
      <c r="U690" t="s">
        <v>206</v>
      </c>
    </row>
    <row r="691" spans="1:21" x14ac:dyDescent="0.15">
      <c r="A691" t="s">
        <v>162</v>
      </c>
      <c r="B691" t="s">
        <v>173</v>
      </c>
      <c r="C691" t="s">
        <v>169</v>
      </c>
      <c r="D691" s="9">
        <v>28</v>
      </c>
      <c r="E691" t="s">
        <v>74</v>
      </c>
      <c r="G691">
        <v>91.3</v>
      </c>
      <c r="H691">
        <v>91.185000000000002</v>
      </c>
      <c r="I691" t="s">
        <v>95</v>
      </c>
      <c r="K691">
        <f t="shared" si="20"/>
        <v>91.185000000000002</v>
      </c>
      <c r="L691">
        <f t="shared" si="21"/>
        <v>91.3</v>
      </c>
      <c r="M691" t="s">
        <v>143</v>
      </c>
      <c r="O691" s="7">
        <v>44552</v>
      </c>
      <c r="P691" t="s">
        <v>145</v>
      </c>
      <c r="Q691">
        <v>70611</v>
      </c>
      <c r="R691" t="s">
        <v>196</v>
      </c>
      <c r="S691">
        <v>99</v>
      </c>
      <c r="T691">
        <v>175</v>
      </c>
      <c r="U691" t="s">
        <v>206</v>
      </c>
    </row>
    <row r="692" spans="1:21" x14ac:dyDescent="0.15">
      <c r="A692" t="s">
        <v>162</v>
      </c>
      <c r="B692" t="s">
        <v>173</v>
      </c>
      <c r="C692" t="s">
        <v>169</v>
      </c>
      <c r="D692" s="9">
        <v>28</v>
      </c>
      <c r="E692" t="s">
        <v>74</v>
      </c>
      <c r="G692">
        <v>91.3</v>
      </c>
      <c r="H692">
        <v>91.185000000000002</v>
      </c>
      <c r="I692" t="s">
        <v>212</v>
      </c>
      <c r="K692">
        <f t="shared" si="20"/>
        <v>91.185000000000002</v>
      </c>
      <c r="L692">
        <f t="shared" si="21"/>
        <v>91.3</v>
      </c>
      <c r="M692" t="s">
        <v>143</v>
      </c>
      <c r="O692" s="7">
        <v>44552</v>
      </c>
      <c r="P692" t="s">
        <v>145</v>
      </c>
      <c r="Q692">
        <v>70611</v>
      </c>
      <c r="R692" t="s">
        <v>196</v>
      </c>
      <c r="S692">
        <v>99</v>
      </c>
      <c r="T692">
        <v>175</v>
      </c>
      <c r="U692" t="s">
        <v>206</v>
      </c>
    </row>
    <row r="693" spans="1:21" x14ac:dyDescent="0.15">
      <c r="A693" t="s">
        <v>162</v>
      </c>
      <c r="B693" t="s">
        <v>173</v>
      </c>
      <c r="C693" t="s">
        <v>169</v>
      </c>
      <c r="D693" s="9">
        <v>28</v>
      </c>
      <c r="E693" t="s">
        <v>74</v>
      </c>
      <c r="G693">
        <v>91.084999999999994</v>
      </c>
      <c r="H693">
        <v>91.064999999999998</v>
      </c>
      <c r="I693" t="s">
        <v>92</v>
      </c>
      <c r="K693">
        <f t="shared" si="20"/>
        <v>91.064999999999998</v>
      </c>
      <c r="L693">
        <f t="shared" si="21"/>
        <v>91.084999999999994</v>
      </c>
      <c r="M693" t="s">
        <v>143</v>
      </c>
      <c r="O693" s="7">
        <v>44553</v>
      </c>
      <c r="P693" t="s">
        <v>145</v>
      </c>
      <c r="Q693">
        <v>70611</v>
      </c>
      <c r="R693" t="s">
        <v>196</v>
      </c>
      <c r="S693">
        <v>15</v>
      </c>
      <c r="T693">
        <v>175</v>
      </c>
      <c r="U693" t="s">
        <v>206</v>
      </c>
    </row>
    <row r="694" spans="1:21" x14ac:dyDescent="0.15">
      <c r="A694" t="s">
        <v>162</v>
      </c>
      <c r="B694" t="s">
        <v>173</v>
      </c>
      <c r="C694" t="s">
        <v>169</v>
      </c>
      <c r="D694" s="9">
        <v>28</v>
      </c>
      <c r="E694" t="s">
        <v>74</v>
      </c>
      <c r="G694">
        <v>91.084999999999994</v>
      </c>
      <c r="H694">
        <v>91.064999999999998</v>
      </c>
      <c r="I694" t="s">
        <v>182</v>
      </c>
      <c r="K694">
        <f t="shared" si="20"/>
        <v>91.064999999999998</v>
      </c>
      <c r="L694">
        <f t="shared" si="21"/>
        <v>91.084999999999994</v>
      </c>
      <c r="M694" t="s">
        <v>143</v>
      </c>
      <c r="O694" s="7">
        <v>44553</v>
      </c>
      <c r="P694" t="s">
        <v>145</v>
      </c>
      <c r="Q694">
        <v>70611</v>
      </c>
      <c r="R694" t="s">
        <v>196</v>
      </c>
      <c r="S694">
        <v>15</v>
      </c>
      <c r="T694">
        <v>175</v>
      </c>
      <c r="U694" t="s">
        <v>206</v>
      </c>
    </row>
    <row r="695" spans="1:21" x14ac:dyDescent="0.15">
      <c r="A695" t="s">
        <v>162</v>
      </c>
      <c r="B695" t="s">
        <v>173</v>
      </c>
      <c r="C695" t="s">
        <v>169</v>
      </c>
      <c r="D695" s="9">
        <v>28</v>
      </c>
      <c r="E695" t="s">
        <v>74</v>
      </c>
      <c r="G695">
        <v>91.084999999999994</v>
      </c>
      <c r="H695">
        <v>90.88</v>
      </c>
      <c r="I695" t="s">
        <v>91</v>
      </c>
      <c r="K695">
        <f t="shared" si="20"/>
        <v>90.88</v>
      </c>
      <c r="L695">
        <f t="shared" si="21"/>
        <v>91.084999999999994</v>
      </c>
      <c r="M695" t="s">
        <v>143</v>
      </c>
      <c r="O695" s="7">
        <v>44553</v>
      </c>
      <c r="P695" t="s">
        <v>145</v>
      </c>
      <c r="Q695">
        <v>70611</v>
      </c>
      <c r="R695" t="s">
        <v>196</v>
      </c>
      <c r="S695">
        <v>99</v>
      </c>
      <c r="T695">
        <v>175</v>
      </c>
      <c r="U695" t="s">
        <v>206</v>
      </c>
    </row>
    <row r="696" spans="1:21" x14ac:dyDescent="0.15">
      <c r="A696" t="s">
        <v>162</v>
      </c>
      <c r="B696" t="s">
        <v>173</v>
      </c>
      <c r="C696" t="s">
        <v>169</v>
      </c>
      <c r="D696" s="9">
        <v>28</v>
      </c>
      <c r="E696" t="s">
        <v>74</v>
      </c>
      <c r="G696">
        <v>87.43</v>
      </c>
      <c r="H696">
        <v>87.3</v>
      </c>
      <c r="I696" t="s">
        <v>188</v>
      </c>
      <c r="K696">
        <f t="shared" si="20"/>
        <v>87.3</v>
      </c>
      <c r="L696">
        <f t="shared" si="21"/>
        <v>87.43</v>
      </c>
      <c r="M696" t="s">
        <v>143</v>
      </c>
      <c r="O696" s="7">
        <v>44552</v>
      </c>
      <c r="P696" t="s">
        <v>145</v>
      </c>
      <c r="Q696">
        <v>70611</v>
      </c>
      <c r="R696" t="s">
        <v>196</v>
      </c>
      <c r="S696">
        <v>98</v>
      </c>
      <c r="T696">
        <v>175</v>
      </c>
      <c r="U696" t="s">
        <v>206</v>
      </c>
    </row>
    <row r="697" spans="1:21" x14ac:dyDescent="0.15">
      <c r="A697" t="s">
        <v>162</v>
      </c>
      <c r="B697" t="s">
        <v>173</v>
      </c>
      <c r="C697" t="s">
        <v>169</v>
      </c>
      <c r="D697" s="9">
        <v>28</v>
      </c>
      <c r="E697" t="s">
        <v>74</v>
      </c>
      <c r="G697">
        <v>87.43</v>
      </c>
      <c r="H697">
        <v>87.3</v>
      </c>
      <c r="I697" t="s">
        <v>98</v>
      </c>
      <c r="K697">
        <f t="shared" si="20"/>
        <v>87.3</v>
      </c>
      <c r="L697">
        <f t="shared" si="21"/>
        <v>87.43</v>
      </c>
      <c r="M697" t="s">
        <v>143</v>
      </c>
      <c r="O697" s="7">
        <v>44552</v>
      </c>
      <c r="P697" t="s">
        <v>145</v>
      </c>
      <c r="Q697">
        <v>70611</v>
      </c>
      <c r="R697" t="s">
        <v>196</v>
      </c>
      <c r="S697">
        <v>98</v>
      </c>
      <c r="T697">
        <v>175</v>
      </c>
      <c r="U697" t="s">
        <v>206</v>
      </c>
    </row>
    <row r="698" spans="1:21" x14ac:dyDescent="0.15">
      <c r="A698" t="s">
        <v>162</v>
      </c>
      <c r="B698" t="s">
        <v>173</v>
      </c>
      <c r="C698" t="s">
        <v>169</v>
      </c>
      <c r="D698" s="9">
        <v>28</v>
      </c>
      <c r="E698" t="s">
        <v>74</v>
      </c>
      <c r="G698">
        <v>86.8</v>
      </c>
      <c r="H698">
        <v>86.75</v>
      </c>
      <c r="I698" t="s">
        <v>92</v>
      </c>
      <c r="K698">
        <f t="shared" si="20"/>
        <v>86.75</v>
      </c>
      <c r="L698">
        <f t="shared" si="21"/>
        <v>86.8</v>
      </c>
      <c r="M698" t="s">
        <v>143</v>
      </c>
      <c r="O698" s="7">
        <v>44553</v>
      </c>
      <c r="P698" t="s">
        <v>145</v>
      </c>
      <c r="Q698">
        <v>70611</v>
      </c>
      <c r="R698" t="s">
        <v>196</v>
      </c>
      <c r="S698">
        <v>19</v>
      </c>
      <c r="T698">
        <v>175</v>
      </c>
      <c r="U698" t="s">
        <v>208</v>
      </c>
    </row>
    <row r="699" spans="1:21" x14ac:dyDescent="0.15">
      <c r="A699" t="s">
        <v>162</v>
      </c>
      <c r="B699" t="s">
        <v>173</v>
      </c>
      <c r="C699" t="s">
        <v>169</v>
      </c>
      <c r="D699" s="9">
        <v>28</v>
      </c>
      <c r="E699" t="s">
        <v>74</v>
      </c>
      <c r="G699">
        <v>86.474999999999994</v>
      </c>
      <c r="H699">
        <v>86.4</v>
      </c>
      <c r="I699" t="s">
        <v>189</v>
      </c>
      <c r="K699">
        <f t="shared" si="20"/>
        <v>86.4</v>
      </c>
      <c r="L699">
        <f t="shared" si="21"/>
        <v>86.474999999999994</v>
      </c>
      <c r="M699" t="s">
        <v>143</v>
      </c>
      <c r="O699" s="7">
        <v>44552</v>
      </c>
      <c r="P699" t="s">
        <v>145</v>
      </c>
      <c r="Q699">
        <v>70611</v>
      </c>
      <c r="R699" t="s">
        <v>196</v>
      </c>
      <c r="S699">
        <v>28</v>
      </c>
      <c r="T699">
        <v>175</v>
      </c>
      <c r="U699" t="s">
        <v>208</v>
      </c>
    </row>
    <row r="700" spans="1:21" x14ac:dyDescent="0.15">
      <c r="A700" t="s">
        <v>162</v>
      </c>
      <c r="B700" t="s">
        <v>173</v>
      </c>
      <c r="C700" t="s">
        <v>169</v>
      </c>
      <c r="D700" s="9">
        <v>28</v>
      </c>
      <c r="E700" t="s">
        <v>76</v>
      </c>
      <c r="F700" t="s">
        <v>170</v>
      </c>
      <c r="G700">
        <v>92.4</v>
      </c>
      <c r="H700">
        <v>92.34</v>
      </c>
      <c r="I700" t="s">
        <v>91</v>
      </c>
      <c r="K700">
        <f t="shared" si="20"/>
        <v>92.34</v>
      </c>
      <c r="L700">
        <f t="shared" si="21"/>
        <v>92.4</v>
      </c>
      <c r="M700" t="s">
        <v>143</v>
      </c>
      <c r="O700" s="7">
        <v>44546</v>
      </c>
      <c r="P700" t="s">
        <v>145</v>
      </c>
      <c r="Q700">
        <v>70611</v>
      </c>
      <c r="R700" t="s">
        <v>196</v>
      </c>
      <c r="S700">
        <v>45</v>
      </c>
      <c r="T700">
        <v>175</v>
      </c>
      <c r="U700" t="s">
        <v>206</v>
      </c>
    </row>
    <row r="701" spans="1:21" x14ac:dyDescent="0.15">
      <c r="A701" t="s">
        <v>162</v>
      </c>
      <c r="B701" t="s">
        <v>173</v>
      </c>
      <c r="C701" t="s">
        <v>169</v>
      </c>
      <c r="D701" s="9">
        <v>28</v>
      </c>
      <c r="E701" t="s">
        <v>76</v>
      </c>
      <c r="F701" t="s">
        <v>170</v>
      </c>
      <c r="G701">
        <v>92.4</v>
      </c>
      <c r="H701">
        <v>92.34</v>
      </c>
      <c r="I701" t="s">
        <v>90</v>
      </c>
      <c r="K701">
        <f t="shared" si="20"/>
        <v>92.34</v>
      </c>
      <c r="L701">
        <f t="shared" si="21"/>
        <v>92.4</v>
      </c>
      <c r="M701" t="s">
        <v>143</v>
      </c>
      <c r="O701" s="7">
        <v>44546</v>
      </c>
      <c r="P701" t="s">
        <v>145</v>
      </c>
      <c r="Q701">
        <v>70611</v>
      </c>
      <c r="R701" t="s">
        <v>196</v>
      </c>
      <c r="S701">
        <v>45</v>
      </c>
      <c r="T701">
        <v>175</v>
      </c>
      <c r="U701" t="s">
        <v>206</v>
      </c>
    </row>
    <row r="702" spans="1:21" x14ac:dyDescent="0.15">
      <c r="A702" t="s">
        <v>214</v>
      </c>
      <c r="B702" t="s">
        <v>213</v>
      </c>
      <c r="C702">
        <v>31117689</v>
      </c>
      <c r="D702">
        <v>30</v>
      </c>
      <c r="E702" t="s">
        <v>74</v>
      </c>
      <c r="G702">
        <v>10.75</v>
      </c>
      <c r="H702">
        <v>10.45</v>
      </c>
      <c r="J702" t="s">
        <v>23</v>
      </c>
      <c r="K702">
        <f t="shared" si="20"/>
        <v>10.45</v>
      </c>
      <c r="L702">
        <f t="shared" si="21"/>
        <v>10.75</v>
      </c>
      <c r="M702" t="s">
        <v>25</v>
      </c>
      <c r="O702" s="7">
        <v>43971</v>
      </c>
      <c r="Q702">
        <v>757000</v>
      </c>
      <c r="R702" t="s">
        <v>220</v>
      </c>
      <c r="S702">
        <v>787</v>
      </c>
      <c r="T702" t="s">
        <v>221</v>
      </c>
    </row>
    <row r="703" spans="1:21" x14ac:dyDescent="0.15">
      <c r="A703" t="s">
        <v>214</v>
      </c>
      <c r="B703" t="s">
        <v>213</v>
      </c>
      <c r="C703">
        <v>31117689</v>
      </c>
      <c r="D703">
        <v>30</v>
      </c>
      <c r="E703" t="s">
        <v>74</v>
      </c>
      <c r="G703">
        <v>10.45</v>
      </c>
      <c r="H703">
        <v>10.25</v>
      </c>
      <c r="J703" t="s">
        <v>23</v>
      </c>
      <c r="K703">
        <f t="shared" si="20"/>
        <v>10.25</v>
      </c>
      <c r="L703">
        <f t="shared" si="21"/>
        <v>10.45</v>
      </c>
      <c r="M703" t="s">
        <v>25</v>
      </c>
      <c r="O703" s="7">
        <v>43971</v>
      </c>
      <c r="Q703">
        <v>757000</v>
      </c>
      <c r="R703" t="s">
        <v>220</v>
      </c>
    </row>
    <row r="704" spans="1:21" x14ac:dyDescent="0.15">
      <c r="A704" t="s">
        <v>214</v>
      </c>
      <c r="B704" t="s">
        <v>213</v>
      </c>
      <c r="C704">
        <v>31117689</v>
      </c>
      <c r="D704">
        <v>73</v>
      </c>
      <c r="E704" t="s">
        <v>75</v>
      </c>
      <c r="G704">
        <v>97.5</v>
      </c>
      <c r="H704">
        <v>98</v>
      </c>
      <c r="I704" t="s">
        <v>96</v>
      </c>
      <c r="J704">
        <v>1</v>
      </c>
      <c r="K704">
        <f t="shared" si="20"/>
        <v>97.5</v>
      </c>
      <c r="L704">
        <f t="shared" si="21"/>
        <v>98</v>
      </c>
      <c r="M704" t="s">
        <v>27</v>
      </c>
      <c r="O704" s="7">
        <v>44302</v>
      </c>
      <c r="Q704" t="s">
        <v>252</v>
      </c>
      <c r="R704" t="s">
        <v>222</v>
      </c>
      <c r="S704" t="s">
        <v>255</v>
      </c>
      <c r="T704" t="s">
        <v>256</v>
      </c>
    </row>
    <row r="705" spans="1:20" x14ac:dyDescent="0.15">
      <c r="A705" t="s">
        <v>214</v>
      </c>
      <c r="B705" t="s">
        <v>213</v>
      </c>
      <c r="C705">
        <v>31117689</v>
      </c>
      <c r="D705">
        <v>73</v>
      </c>
      <c r="E705" t="s">
        <v>75</v>
      </c>
      <c r="G705">
        <v>97.5</v>
      </c>
      <c r="H705">
        <v>98</v>
      </c>
      <c r="I705" t="s">
        <v>94</v>
      </c>
      <c r="J705">
        <v>1</v>
      </c>
      <c r="K705">
        <f t="shared" ref="K705:K768" si="22">MIN(G705:H705)</f>
        <v>97.5</v>
      </c>
      <c r="L705">
        <f t="shared" ref="L705:L768" si="23">MAX(G705:H705)</f>
        <v>98</v>
      </c>
      <c r="M705" t="s">
        <v>27</v>
      </c>
      <c r="O705" s="7">
        <v>44302</v>
      </c>
      <c r="Q705" t="s">
        <v>252</v>
      </c>
      <c r="R705" t="s">
        <v>222</v>
      </c>
    </row>
    <row r="706" spans="1:20" x14ac:dyDescent="0.15">
      <c r="A706" t="s">
        <v>214</v>
      </c>
      <c r="B706" t="s">
        <v>213</v>
      </c>
      <c r="C706">
        <v>31117689</v>
      </c>
      <c r="D706">
        <v>12</v>
      </c>
      <c r="E706" t="s">
        <v>75</v>
      </c>
      <c r="G706">
        <v>122.6</v>
      </c>
      <c r="H706">
        <v>122.63</v>
      </c>
      <c r="I706" t="s">
        <v>96</v>
      </c>
      <c r="J706">
        <v>1</v>
      </c>
      <c r="K706">
        <f t="shared" si="22"/>
        <v>122.6</v>
      </c>
      <c r="L706">
        <f t="shared" si="23"/>
        <v>122.63</v>
      </c>
      <c r="M706" t="s">
        <v>143</v>
      </c>
      <c r="O706" s="7">
        <v>44393</v>
      </c>
      <c r="Q706" t="s">
        <v>223</v>
      </c>
      <c r="R706" t="s">
        <v>222</v>
      </c>
      <c r="S706">
        <v>18</v>
      </c>
      <c r="T706" t="s">
        <v>224</v>
      </c>
    </row>
    <row r="707" spans="1:20" x14ac:dyDescent="0.15">
      <c r="A707" t="s">
        <v>214</v>
      </c>
      <c r="B707" t="s">
        <v>213</v>
      </c>
      <c r="C707">
        <v>31117689</v>
      </c>
      <c r="D707">
        <v>12</v>
      </c>
      <c r="E707" t="s">
        <v>76</v>
      </c>
      <c r="F707" t="s">
        <v>167</v>
      </c>
      <c r="G707">
        <v>122.6</v>
      </c>
      <c r="H707">
        <v>122.63</v>
      </c>
      <c r="I707" t="s">
        <v>96</v>
      </c>
      <c r="J707">
        <v>1</v>
      </c>
      <c r="K707">
        <f t="shared" si="22"/>
        <v>122.6</v>
      </c>
      <c r="L707">
        <f t="shared" si="23"/>
        <v>122.63</v>
      </c>
      <c r="M707" t="s">
        <v>143</v>
      </c>
      <c r="O707" s="7">
        <v>44370</v>
      </c>
      <c r="Q707" t="s">
        <v>225</v>
      </c>
      <c r="R707" t="s">
        <v>222</v>
      </c>
      <c r="S707">
        <v>73</v>
      </c>
      <c r="T707" t="s">
        <v>221</v>
      </c>
    </row>
    <row r="708" spans="1:20" x14ac:dyDescent="0.15">
      <c r="A708" t="s">
        <v>214</v>
      </c>
      <c r="B708" t="s">
        <v>213</v>
      </c>
      <c r="C708">
        <v>31117689</v>
      </c>
      <c r="D708">
        <v>30</v>
      </c>
      <c r="E708" t="s">
        <v>74</v>
      </c>
      <c r="G708">
        <v>22.25</v>
      </c>
      <c r="H708">
        <v>22.2</v>
      </c>
      <c r="I708" t="s">
        <v>91</v>
      </c>
      <c r="J708">
        <v>1</v>
      </c>
      <c r="K708">
        <f t="shared" si="22"/>
        <v>22.2</v>
      </c>
      <c r="L708">
        <f t="shared" si="23"/>
        <v>22.25</v>
      </c>
      <c r="M708" t="s">
        <v>25</v>
      </c>
      <c r="O708" s="7">
        <v>44296</v>
      </c>
      <c r="Q708" t="s">
        <v>226</v>
      </c>
      <c r="R708" t="s">
        <v>220</v>
      </c>
      <c r="S708">
        <v>23</v>
      </c>
      <c r="T708" t="s">
        <v>227</v>
      </c>
    </row>
    <row r="709" spans="1:20" x14ac:dyDescent="0.15">
      <c r="A709" t="s">
        <v>214</v>
      </c>
      <c r="B709" t="s">
        <v>213</v>
      </c>
      <c r="C709">
        <v>31117689</v>
      </c>
      <c r="D709">
        <v>30</v>
      </c>
      <c r="E709" t="s">
        <v>74</v>
      </c>
      <c r="G709">
        <v>22.4</v>
      </c>
      <c r="H709">
        <v>22.2</v>
      </c>
      <c r="I709" t="s">
        <v>95</v>
      </c>
      <c r="J709">
        <v>1</v>
      </c>
      <c r="K709">
        <f t="shared" si="22"/>
        <v>22.2</v>
      </c>
      <c r="L709">
        <f t="shared" si="23"/>
        <v>22.4</v>
      </c>
      <c r="M709" t="s">
        <v>25</v>
      </c>
      <c r="O709" s="7">
        <v>44439</v>
      </c>
      <c r="Q709" t="s">
        <v>226</v>
      </c>
      <c r="R709" t="s">
        <v>220</v>
      </c>
      <c r="S709">
        <v>146</v>
      </c>
      <c r="T709" t="s">
        <v>228</v>
      </c>
    </row>
    <row r="710" spans="1:20" x14ac:dyDescent="0.15">
      <c r="A710" t="s">
        <v>214</v>
      </c>
      <c r="B710" t="s">
        <v>213</v>
      </c>
      <c r="C710">
        <v>31117689</v>
      </c>
      <c r="D710">
        <v>30</v>
      </c>
      <c r="E710" t="s">
        <v>74</v>
      </c>
      <c r="G710">
        <v>22.4</v>
      </c>
      <c r="H710">
        <v>22.2</v>
      </c>
      <c r="I710" t="s">
        <v>90</v>
      </c>
      <c r="J710">
        <v>1</v>
      </c>
      <c r="K710">
        <f t="shared" si="22"/>
        <v>22.2</v>
      </c>
      <c r="L710">
        <f t="shared" si="23"/>
        <v>22.4</v>
      </c>
      <c r="M710" t="s">
        <v>25</v>
      </c>
      <c r="O710" s="7">
        <v>44439</v>
      </c>
      <c r="Q710" t="s">
        <v>226</v>
      </c>
      <c r="R710" t="s">
        <v>220</v>
      </c>
    </row>
    <row r="711" spans="1:20" x14ac:dyDescent="0.15">
      <c r="A711" t="s">
        <v>214</v>
      </c>
      <c r="B711" t="s">
        <v>213</v>
      </c>
      <c r="C711">
        <v>31117689</v>
      </c>
      <c r="D711">
        <v>30</v>
      </c>
      <c r="E711" t="s">
        <v>74</v>
      </c>
      <c r="G711">
        <v>21.4</v>
      </c>
      <c r="H711">
        <v>20.3</v>
      </c>
      <c r="I711" t="s">
        <v>92</v>
      </c>
      <c r="J711">
        <v>1</v>
      </c>
      <c r="K711">
        <f t="shared" si="22"/>
        <v>20.3</v>
      </c>
      <c r="L711">
        <f t="shared" si="23"/>
        <v>21.4</v>
      </c>
      <c r="M711" t="s">
        <v>25</v>
      </c>
      <c r="O711" s="7">
        <v>44296</v>
      </c>
      <c r="Q711" t="s">
        <v>226</v>
      </c>
      <c r="R711" t="s">
        <v>220</v>
      </c>
      <c r="S711">
        <v>547</v>
      </c>
      <c r="T711" t="s">
        <v>229</v>
      </c>
    </row>
    <row r="712" spans="1:20" x14ac:dyDescent="0.15">
      <c r="A712" t="s">
        <v>214</v>
      </c>
      <c r="B712" t="s">
        <v>213</v>
      </c>
      <c r="C712">
        <v>31117689</v>
      </c>
      <c r="D712">
        <v>30</v>
      </c>
      <c r="E712" t="s">
        <v>74</v>
      </c>
      <c r="G712">
        <v>21.4</v>
      </c>
      <c r="H712">
        <v>21.35</v>
      </c>
      <c r="I712" t="s">
        <v>91</v>
      </c>
      <c r="J712">
        <v>1</v>
      </c>
      <c r="K712">
        <f t="shared" si="22"/>
        <v>21.35</v>
      </c>
      <c r="L712">
        <f t="shared" si="23"/>
        <v>21.4</v>
      </c>
      <c r="M712" t="s">
        <v>25</v>
      </c>
      <c r="O712" s="7">
        <v>44296</v>
      </c>
      <c r="Q712" t="s">
        <v>226</v>
      </c>
      <c r="R712" t="s">
        <v>220</v>
      </c>
    </row>
    <row r="713" spans="1:20" x14ac:dyDescent="0.15">
      <c r="A713" t="s">
        <v>214</v>
      </c>
      <c r="B713" t="s">
        <v>213</v>
      </c>
      <c r="C713">
        <v>31117689</v>
      </c>
      <c r="D713">
        <v>30</v>
      </c>
      <c r="E713" t="s">
        <v>74</v>
      </c>
      <c r="G713">
        <v>20.82</v>
      </c>
      <c r="H713">
        <v>20.77</v>
      </c>
      <c r="I713" t="s">
        <v>91</v>
      </c>
      <c r="J713">
        <v>1</v>
      </c>
      <c r="K713">
        <f t="shared" si="22"/>
        <v>20.77</v>
      </c>
      <c r="L713">
        <f t="shared" si="23"/>
        <v>20.82</v>
      </c>
      <c r="M713" t="s">
        <v>25</v>
      </c>
      <c r="O713" s="7">
        <v>44296</v>
      </c>
      <c r="Q713" t="s">
        <v>226</v>
      </c>
      <c r="R713" t="s">
        <v>220</v>
      </c>
    </row>
    <row r="714" spans="1:20" x14ac:dyDescent="0.15">
      <c r="A714" t="s">
        <v>214</v>
      </c>
      <c r="B714" t="s">
        <v>213</v>
      </c>
      <c r="C714">
        <v>31117689</v>
      </c>
      <c r="D714">
        <v>30</v>
      </c>
      <c r="E714" t="s">
        <v>74</v>
      </c>
      <c r="G714">
        <v>20.6</v>
      </c>
      <c r="H714">
        <v>20.57</v>
      </c>
      <c r="I714" t="s">
        <v>91</v>
      </c>
      <c r="J714">
        <v>1</v>
      </c>
      <c r="K714">
        <f t="shared" si="22"/>
        <v>20.57</v>
      </c>
      <c r="L714">
        <f t="shared" si="23"/>
        <v>20.6</v>
      </c>
      <c r="M714" t="s">
        <v>25</v>
      </c>
      <c r="O714" s="7">
        <v>44296</v>
      </c>
      <c r="Q714" t="s">
        <v>226</v>
      </c>
      <c r="R714" t="s">
        <v>220</v>
      </c>
    </row>
    <row r="715" spans="1:20" x14ac:dyDescent="0.15">
      <c r="A715" t="s">
        <v>214</v>
      </c>
      <c r="B715" t="s">
        <v>213</v>
      </c>
      <c r="C715">
        <v>31117689</v>
      </c>
      <c r="D715">
        <v>30</v>
      </c>
      <c r="E715" t="s">
        <v>75</v>
      </c>
      <c r="G715">
        <v>18.920000000000002</v>
      </c>
      <c r="H715">
        <v>18.88</v>
      </c>
      <c r="I715" t="s">
        <v>96</v>
      </c>
      <c r="J715">
        <v>1</v>
      </c>
      <c r="K715">
        <f t="shared" si="22"/>
        <v>18.88</v>
      </c>
      <c r="L715">
        <f t="shared" si="23"/>
        <v>18.920000000000002</v>
      </c>
      <c r="M715" t="s">
        <v>25</v>
      </c>
      <c r="O715" s="7">
        <v>44587</v>
      </c>
      <c r="Q715" t="s">
        <v>223</v>
      </c>
      <c r="R715" t="s">
        <v>222</v>
      </c>
      <c r="S715">
        <v>65</v>
      </c>
      <c r="T715" t="s">
        <v>229</v>
      </c>
    </row>
    <row r="716" spans="1:20" x14ac:dyDescent="0.15">
      <c r="A716" t="s">
        <v>214</v>
      </c>
      <c r="B716" t="s">
        <v>213</v>
      </c>
      <c r="C716">
        <v>31117689</v>
      </c>
      <c r="D716">
        <v>30</v>
      </c>
      <c r="E716" t="s">
        <v>74</v>
      </c>
      <c r="G716">
        <v>10.4</v>
      </c>
      <c r="H716">
        <v>10.130000000000001</v>
      </c>
      <c r="J716" t="s">
        <v>23</v>
      </c>
      <c r="K716">
        <f t="shared" si="22"/>
        <v>10.130000000000001</v>
      </c>
      <c r="L716">
        <f t="shared" si="23"/>
        <v>10.4</v>
      </c>
      <c r="M716" t="s">
        <v>25</v>
      </c>
      <c r="O716" s="7">
        <v>44442</v>
      </c>
      <c r="Q716" t="s">
        <v>226</v>
      </c>
      <c r="R716" t="s">
        <v>220</v>
      </c>
      <c r="S716">
        <v>1051</v>
      </c>
      <c r="T716" t="s">
        <v>257</v>
      </c>
    </row>
    <row r="717" spans="1:20" x14ac:dyDescent="0.15">
      <c r="A717" t="s">
        <v>214</v>
      </c>
      <c r="B717" t="s">
        <v>213</v>
      </c>
      <c r="C717">
        <v>31117689</v>
      </c>
      <c r="D717">
        <v>30</v>
      </c>
      <c r="E717" t="s">
        <v>74</v>
      </c>
      <c r="G717">
        <v>10.130000000000001</v>
      </c>
      <c r="H717">
        <v>9.3000000000000007</v>
      </c>
      <c r="J717" t="s">
        <v>23</v>
      </c>
      <c r="K717">
        <f t="shared" si="22"/>
        <v>9.3000000000000007</v>
      </c>
      <c r="L717">
        <f t="shared" si="23"/>
        <v>10.130000000000001</v>
      </c>
      <c r="M717" t="s">
        <v>25</v>
      </c>
      <c r="O717" s="7">
        <v>44443</v>
      </c>
      <c r="Q717" t="s">
        <v>226</v>
      </c>
      <c r="R717" t="s">
        <v>220</v>
      </c>
      <c r="S717">
        <v>680</v>
      </c>
      <c r="T717" t="s">
        <v>221</v>
      </c>
    </row>
    <row r="718" spans="1:20" x14ac:dyDescent="0.15">
      <c r="A718" t="s">
        <v>214</v>
      </c>
      <c r="B718" t="s">
        <v>213</v>
      </c>
      <c r="C718">
        <v>31117689</v>
      </c>
      <c r="D718">
        <v>30</v>
      </c>
      <c r="E718" t="s">
        <v>74</v>
      </c>
      <c r="G718">
        <v>9.3000000000000007</v>
      </c>
      <c r="H718">
        <v>9</v>
      </c>
      <c r="J718" t="s">
        <v>23</v>
      </c>
      <c r="K718">
        <f t="shared" si="22"/>
        <v>9</v>
      </c>
      <c r="L718">
        <f t="shared" si="23"/>
        <v>9.3000000000000007</v>
      </c>
      <c r="M718" t="s">
        <v>25</v>
      </c>
      <c r="O718" s="7">
        <v>44446</v>
      </c>
      <c r="Q718" t="s">
        <v>226</v>
      </c>
      <c r="R718" t="s">
        <v>220</v>
      </c>
      <c r="S718">
        <v>250</v>
      </c>
      <c r="T718" t="s">
        <v>230</v>
      </c>
    </row>
    <row r="719" spans="1:20" x14ac:dyDescent="0.15">
      <c r="A719" t="s">
        <v>214</v>
      </c>
      <c r="B719" t="s">
        <v>213</v>
      </c>
      <c r="C719">
        <v>31117689</v>
      </c>
      <c r="D719">
        <v>30</v>
      </c>
      <c r="E719" t="s">
        <v>76</v>
      </c>
      <c r="F719" t="s">
        <v>77</v>
      </c>
      <c r="G719">
        <v>10.5</v>
      </c>
      <c r="H719">
        <v>10.199999999999999</v>
      </c>
      <c r="J719" t="s">
        <v>23</v>
      </c>
      <c r="K719">
        <f t="shared" si="22"/>
        <v>10.199999999999999</v>
      </c>
      <c r="L719">
        <f t="shared" si="23"/>
        <v>10.5</v>
      </c>
      <c r="M719" t="s">
        <v>218</v>
      </c>
      <c r="O719" s="7">
        <v>44442</v>
      </c>
      <c r="Q719" t="s">
        <v>231</v>
      </c>
      <c r="R719" t="s">
        <v>220</v>
      </c>
      <c r="S719">
        <v>221</v>
      </c>
      <c r="T719" t="s">
        <v>232</v>
      </c>
    </row>
    <row r="720" spans="1:20" x14ac:dyDescent="0.15">
      <c r="A720" t="s">
        <v>214</v>
      </c>
      <c r="B720" t="s">
        <v>213</v>
      </c>
      <c r="C720">
        <v>31117689</v>
      </c>
      <c r="D720">
        <v>30</v>
      </c>
      <c r="E720" t="s">
        <v>74</v>
      </c>
      <c r="G720">
        <v>24</v>
      </c>
      <c r="H720">
        <v>23.6</v>
      </c>
      <c r="I720" t="s">
        <v>96</v>
      </c>
      <c r="J720">
        <v>1</v>
      </c>
      <c r="K720">
        <f t="shared" si="22"/>
        <v>23.6</v>
      </c>
      <c r="L720">
        <f t="shared" si="23"/>
        <v>24</v>
      </c>
      <c r="M720" t="s">
        <v>25</v>
      </c>
      <c r="O720" s="7">
        <v>44447</v>
      </c>
      <c r="Q720" t="s">
        <v>226</v>
      </c>
      <c r="R720" t="s">
        <v>220</v>
      </c>
      <c r="S720">
        <v>231</v>
      </c>
      <c r="T720" t="s">
        <v>230</v>
      </c>
    </row>
    <row r="721" spans="1:20" x14ac:dyDescent="0.15">
      <c r="A721" t="s">
        <v>214</v>
      </c>
      <c r="B721" t="s">
        <v>213</v>
      </c>
      <c r="C721">
        <v>31117689</v>
      </c>
      <c r="D721">
        <v>30</v>
      </c>
      <c r="E721" t="s">
        <v>74</v>
      </c>
      <c r="G721">
        <v>23.5</v>
      </c>
      <c r="H721">
        <v>23.45</v>
      </c>
      <c r="I721" t="s">
        <v>96</v>
      </c>
      <c r="J721">
        <v>1</v>
      </c>
      <c r="K721">
        <f t="shared" si="22"/>
        <v>23.45</v>
      </c>
      <c r="L721">
        <f t="shared" si="23"/>
        <v>23.5</v>
      </c>
      <c r="M721" t="s">
        <v>25</v>
      </c>
      <c r="O721" s="7">
        <v>44447</v>
      </c>
      <c r="Q721" t="s">
        <v>226</v>
      </c>
      <c r="R721" t="s">
        <v>220</v>
      </c>
    </row>
    <row r="722" spans="1:20" x14ac:dyDescent="0.15">
      <c r="A722" t="s">
        <v>214</v>
      </c>
      <c r="B722" t="s">
        <v>213</v>
      </c>
      <c r="C722">
        <v>31117689</v>
      </c>
      <c r="D722">
        <v>30</v>
      </c>
      <c r="E722" t="s">
        <v>74</v>
      </c>
      <c r="G722">
        <v>23.25</v>
      </c>
      <c r="H722">
        <v>23.2</v>
      </c>
      <c r="I722" t="s">
        <v>96</v>
      </c>
      <c r="J722">
        <v>1</v>
      </c>
      <c r="K722">
        <f t="shared" si="22"/>
        <v>23.2</v>
      </c>
      <c r="L722">
        <f t="shared" si="23"/>
        <v>23.25</v>
      </c>
      <c r="M722" t="s">
        <v>25</v>
      </c>
      <c r="O722" s="7">
        <v>44447</v>
      </c>
      <c r="Q722" t="s">
        <v>226</v>
      </c>
      <c r="R722" t="s">
        <v>220</v>
      </c>
    </row>
    <row r="723" spans="1:20" x14ac:dyDescent="0.15">
      <c r="A723" t="s">
        <v>214</v>
      </c>
      <c r="B723" t="s">
        <v>213</v>
      </c>
      <c r="C723">
        <v>31117689</v>
      </c>
      <c r="D723">
        <v>30</v>
      </c>
      <c r="E723" t="s">
        <v>74</v>
      </c>
      <c r="G723">
        <v>23.15</v>
      </c>
      <c r="H723">
        <v>23.1</v>
      </c>
      <c r="I723" t="s">
        <v>96</v>
      </c>
      <c r="J723">
        <v>1</v>
      </c>
      <c r="K723">
        <f t="shared" si="22"/>
        <v>23.1</v>
      </c>
      <c r="L723">
        <f t="shared" si="23"/>
        <v>23.15</v>
      </c>
      <c r="M723" t="s">
        <v>25</v>
      </c>
      <c r="O723" s="7">
        <v>44447</v>
      </c>
      <c r="Q723" t="s">
        <v>226</v>
      </c>
      <c r="R723" t="s">
        <v>220</v>
      </c>
    </row>
    <row r="724" spans="1:20" x14ac:dyDescent="0.15">
      <c r="A724" t="s">
        <v>214</v>
      </c>
      <c r="B724" t="s">
        <v>213</v>
      </c>
      <c r="C724">
        <v>31117689</v>
      </c>
      <c r="D724">
        <v>30</v>
      </c>
      <c r="E724" t="s">
        <v>74</v>
      </c>
      <c r="G724">
        <v>22.93</v>
      </c>
      <c r="H724">
        <v>22.9</v>
      </c>
      <c r="I724" t="s">
        <v>96</v>
      </c>
      <c r="J724">
        <v>1</v>
      </c>
      <c r="K724">
        <f t="shared" si="22"/>
        <v>22.9</v>
      </c>
      <c r="L724">
        <f t="shared" si="23"/>
        <v>22.93</v>
      </c>
      <c r="M724" t="s">
        <v>25</v>
      </c>
      <c r="O724" s="7">
        <v>44447</v>
      </c>
      <c r="Q724" t="s">
        <v>226</v>
      </c>
      <c r="R724" t="s">
        <v>220</v>
      </c>
    </row>
    <row r="725" spans="1:20" x14ac:dyDescent="0.15">
      <c r="A725" t="s">
        <v>214</v>
      </c>
      <c r="B725" t="s">
        <v>213</v>
      </c>
      <c r="C725">
        <v>31117689</v>
      </c>
      <c r="D725">
        <v>30</v>
      </c>
      <c r="E725" t="s">
        <v>74</v>
      </c>
      <c r="G725">
        <v>24</v>
      </c>
      <c r="H725">
        <v>23.6</v>
      </c>
      <c r="I725" t="s">
        <v>92</v>
      </c>
      <c r="J725">
        <v>1</v>
      </c>
      <c r="K725">
        <f t="shared" si="22"/>
        <v>23.6</v>
      </c>
      <c r="L725">
        <f t="shared" si="23"/>
        <v>24</v>
      </c>
      <c r="M725" t="s">
        <v>25</v>
      </c>
      <c r="O725" s="7">
        <v>44449</v>
      </c>
      <c r="Q725" t="s">
        <v>226</v>
      </c>
      <c r="R725" t="s">
        <v>220</v>
      </c>
      <c r="S725">
        <v>411</v>
      </c>
      <c r="T725" t="s">
        <v>233</v>
      </c>
    </row>
    <row r="726" spans="1:20" x14ac:dyDescent="0.15">
      <c r="A726" t="s">
        <v>214</v>
      </c>
      <c r="B726" t="s">
        <v>213</v>
      </c>
      <c r="C726">
        <v>31117689</v>
      </c>
      <c r="D726">
        <v>30</v>
      </c>
      <c r="E726" t="s">
        <v>74</v>
      </c>
      <c r="G726">
        <v>23.5</v>
      </c>
      <c r="H726">
        <v>23</v>
      </c>
      <c r="I726" t="s">
        <v>92</v>
      </c>
      <c r="J726">
        <v>1</v>
      </c>
      <c r="K726">
        <f t="shared" si="22"/>
        <v>23</v>
      </c>
      <c r="L726">
        <f t="shared" si="23"/>
        <v>23.5</v>
      </c>
      <c r="M726" t="s">
        <v>25</v>
      </c>
      <c r="O726" s="7">
        <v>44449</v>
      </c>
      <c r="Q726" t="s">
        <v>226</v>
      </c>
      <c r="R726" t="s">
        <v>220</v>
      </c>
    </row>
    <row r="727" spans="1:20" x14ac:dyDescent="0.15">
      <c r="A727" t="s">
        <v>214</v>
      </c>
      <c r="B727" t="s">
        <v>213</v>
      </c>
      <c r="C727">
        <v>31117689</v>
      </c>
      <c r="D727">
        <v>30</v>
      </c>
      <c r="E727" t="s">
        <v>74</v>
      </c>
      <c r="G727">
        <v>22.93</v>
      </c>
      <c r="H727">
        <v>22.9</v>
      </c>
      <c r="I727" t="s">
        <v>92</v>
      </c>
      <c r="J727">
        <v>1</v>
      </c>
      <c r="K727">
        <f t="shared" si="22"/>
        <v>22.9</v>
      </c>
      <c r="L727">
        <f t="shared" si="23"/>
        <v>22.93</v>
      </c>
      <c r="M727" t="s">
        <v>25</v>
      </c>
      <c r="O727" s="7">
        <v>44449</v>
      </c>
      <c r="Q727" t="s">
        <v>226</v>
      </c>
      <c r="R727" t="s">
        <v>220</v>
      </c>
    </row>
    <row r="728" spans="1:20" x14ac:dyDescent="0.15">
      <c r="A728" t="s">
        <v>214</v>
      </c>
      <c r="B728" t="s">
        <v>213</v>
      </c>
      <c r="C728">
        <v>31117689</v>
      </c>
      <c r="D728">
        <v>30</v>
      </c>
      <c r="E728" t="s">
        <v>74</v>
      </c>
      <c r="G728">
        <v>23.45</v>
      </c>
      <c r="H728">
        <v>23.1</v>
      </c>
      <c r="I728" t="s">
        <v>93</v>
      </c>
      <c r="J728">
        <v>1</v>
      </c>
      <c r="K728">
        <f t="shared" si="22"/>
        <v>23.1</v>
      </c>
      <c r="L728">
        <f t="shared" si="23"/>
        <v>23.45</v>
      </c>
      <c r="M728" t="s">
        <v>25</v>
      </c>
      <c r="O728" s="7">
        <v>44448</v>
      </c>
      <c r="Q728" t="s">
        <v>226</v>
      </c>
      <c r="R728" t="s">
        <v>220</v>
      </c>
      <c r="S728">
        <v>255</v>
      </c>
      <c r="T728" t="s">
        <v>228</v>
      </c>
    </row>
    <row r="729" spans="1:20" x14ac:dyDescent="0.15">
      <c r="A729" t="s">
        <v>214</v>
      </c>
      <c r="B729" t="s">
        <v>213</v>
      </c>
      <c r="C729">
        <v>31117689</v>
      </c>
      <c r="D729">
        <v>30</v>
      </c>
      <c r="E729" t="s">
        <v>74</v>
      </c>
      <c r="G729">
        <v>23.45</v>
      </c>
      <c r="H729">
        <v>23.1</v>
      </c>
      <c r="I729" t="s">
        <v>90</v>
      </c>
      <c r="J729">
        <v>1</v>
      </c>
      <c r="K729">
        <f t="shared" si="22"/>
        <v>23.1</v>
      </c>
      <c r="L729">
        <f t="shared" si="23"/>
        <v>23.45</v>
      </c>
      <c r="M729" t="s">
        <v>25</v>
      </c>
      <c r="O729" s="7">
        <v>44448</v>
      </c>
      <c r="Q729" t="s">
        <v>226</v>
      </c>
      <c r="R729" t="s">
        <v>220</v>
      </c>
    </row>
    <row r="730" spans="1:20" x14ac:dyDescent="0.15">
      <c r="A730" t="s">
        <v>214</v>
      </c>
      <c r="B730" t="s">
        <v>213</v>
      </c>
      <c r="C730">
        <v>31117689</v>
      </c>
      <c r="D730">
        <v>30</v>
      </c>
      <c r="E730" t="s">
        <v>75</v>
      </c>
      <c r="G730">
        <v>8.52</v>
      </c>
      <c r="H730">
        <v>9.1</v>
      </c>
      <c r="I730" t="s">
        <v>94</v>
      </c>
      <c r="J730">
        <v>1</v>
      </c>
      <c r="K730">
        <f t="shared" si="22"/>
        <v>8.52</v>
      </c>
      <c r="L730">
        <f t="shared" si="23"/>
        <v>9.1</v>
      </c>
      <c r="M730" t="s">
        <v>25</v>
      </c>
      <c r="O730" s="7">
        <v>44464</v>
      </c>
      <c r="Q730" t="s">
        <v>226</v>
      </c>
      <c r="R730" t="s">
        <v>220</v>
      </c>
      <c r="S730">
        <v>50</v>
      </c>
      <c r="T730" t="s">
        <v>234</v>
      </c>
    </row>
    <row r="731" spans="1:20" x14ac:dyDescent="0.15">
      <c r="A731" t="s">
        <v>214</v>
      </c>
      <c r="B731" t="s">
        <v>213</v>
      </c>
      <c r="C731">
        <v>31117689</v>
      </c>
      <c r="D731">
        <v>30</v>
      </c>
      <c r="E731" t="s">
        <v>75</v>
      </c>
      <c r="G731">
        <v>8.52</v>
      </c>
      <c r="H731">
        <v>9</v>
      </c>
      <c r="I731" t="s">
        <v>187</v>
      </c>
      <c r="J731">
        <v>1</v>
      </c>
      <c r="K731">
        <f t="shared" si="22"/>
        <v>8.52</v>
      </c>
      <c r="L731">
        <f t="shared" si="23"/>
        <v>9</v>
      </c>
      <c r="M731" t="s">
        <v>25</v>
      </c>
      <c r="O731" s="7">
        <v>44456</v>
      </c>
      <c r="Q731" t="s">
        <v>226</v>
      </c>
      <c r="R731" t="s">
        <v>220</v>
      </c>
      <c r="S731">
        <v>611</v>
      </c>
      <c r="T731" t="s">
        <v>258</v>
      </c>
    </row>
    <row r="732" spans="1:20" x14ac:dyDescent="0.15">
      <c r="A732" t="s">
        <v>214</v>
      </c>
      <c r="B732" t="s">
        <v>213</v>
      </c>
      <c r="C732">
        <v>31117689</v>
      </c>
      <c r="D732">
        <v>30</v>
      </c>
      <c r="E732" t="s">
        <v>75</v>
      </c>
      <c r="G732">
        <v>8.52</v>
      </c>
      <c r="H732">
        <v>9.1</v>
      </c>
      <c r="I732" t="s">
        <v>97</v>
      </c>
      <c r="J732">
        <v>1</v>
      </c>
      <c r="K732">
        <f t="shared" si="22"/>
        <v>8.52</v>
      </c>
      <c r="L732">
        <f t="shared" si="23"/>
        <v>9.1</v>
      </c>
      <c r="M732" t="s">
        <v>25</v>
      </c>
      <c r="O732" s="7">
        <v>44456</v>
      </c>
      <c r="Q732" t="s">
        <v>226</v>
      </c>
      <c r="R732" t="s">
        <v>220</v>
      </c>
    </row>
    <row r="733" spans="1:20" x14ac:dyDescent="0.15">
      <c r="A733" t="s">
        <v>214</v>
      </c>
      <c r="B733" t="s">
        <v>213</v>
      </c>
      <c r="C733">
        <v>31117689</v>
      </c>
      <c r="D733">
        <v>30</v>
      </c>
      <c r="E733" t="s">
        <v>75</v>
      </c>
      <c r="G733">
        <v>14.8</v>
      </c>
      <c r="H733">
        <v>15.58</v>
      </c>
      <c r="I733" t="s">
        <v>94</v>
      </c>
      <c r="J733">
        <v>1</v>
      </c>
      <c r="K733">
        <f t="shared" si="22"/>
        <v>14.8</v>
      </c>
      <c r="L733">
        <f t="shared" si="23"/>
        <v>15.58</v>
      </c>
      <c r="M733" t="s">
        <v>25</v>
      </c>
      <c r="O733" s="7">
        <v>44454</v>
      </c>
      <c r="Q733" t="s">
        <v>226</v>
      </c>
      <c r="R733" t="s">
        <v>220</v>
      </c>
      <c r="S733">
        <v>340</v>
      </c>
      <c r="T733" t="s">
        <v>230</v>
      </c>
    </row>
    <row r="734" spans="1:20" x14ac:dyDescent="0.15">
      <c r="A734" t="s">
        <v>214</v>
      </c>
      <c r="B734" t="s">
        <v>213</v>
      </c>
      <c r="C734">
        <v>31117689</v>
      </c>
      <c r="D734">
        <v>30</v>
      </c>
      <c r="E734" t="s">
        <v>75</v>
      </c>
      <c r="G734">
        <v>18.989999999999998</v>
      </c>
      <c r="H734">
        <v>19.100000000000001</v>
      </c>
      <c r="I734" t="s">
        <v>98</v>
      </c>
      <c r="J734">
        <v>1</v>
      </c>
      <c r="K734">
        <f t="shared" si="22"/>
        <v>18.989999999999998</v>
      </c>
      <c r="L734">
        <f t="shared" si="23"/>
        <v>19.100000000000001</v>
      </c>
      <c r="M734" t="s">
        <v>25</v>
      </c>
      <c r="O734" s="7">
        <v>44453</v>
      </c>
      <c r="Q734" t="s">
        <v>226</v>
      </c>
      <c r="R734" t="s">
        <v>220</v>
      </c>
      <c r="S734">
        <v>80</v>
      </c>
      <c r="T734" t="s">
        <v>221</v>
      </c>
    </row>
    <row r="735" spans="1:20" x14ac:dyDescent="0.15">
      <c r="A735" t="s">
        <v>214</v>
      </c>
      <c r="B735" t="s">
        <v>213</v>
      </c>
      <c r="C735">
        <v>31117689</v>
      </c>
      <c r="D735">
        <v>30</v>
      </c>
      <c r="E735" t="s">
        <v>75</v>
      </c>
      <c r="G735">
        <v>18.989999999999998</v>
      </c>
      <c r="H735">
        <v>19.100000000000001</v>
      </c>
      <c r="I735" t="s">
        <v>97</v>
      </c>
      <c r="J735">
        <v>1</v>
      </c>
      <c r="K735">
        <f t="shared" si="22"/>
        <v>18.989999999999998</v>
      </c>
      <c r="L735">
        <f t="shared" si="23"/>
        <v>19.100000000000001</v>
      </c>
      <c r="M735" t="s">
        <v>25</v>
      </c>
      <c r="O735" s="7">
        <v>44453</v>
      </c>
      <c r="Q735" t="s">
        <v>226</v>
      </c>
      <c r="R735" t="s">
        <v>220</v>
      </c>
    </row>
    <row r="736" spans="1:20" x14ac:dyDescent="0.15">
      <c r="A736" t="s">
        <v>214</v>
      </c>
      <c r="B736" t="s">
        <v>213</v>
      </c>
      <c r="C736">
        <v>31117689</v>
      </c>
      <c r="D736">
        <v>30</v>
      </c>
      <c r="E736" t="s">
        <v>76</v>
      </c>
      <c r="F736" t="s">
        <v>82</v>
      </c>
      <c r="G736">
        <v>19.27</v>
      </c>
      <c r="H736">
        <v>19.614999999999998</v>
      </c>
      <c r="J736" t="s">
        <v>23</v>
      </c>
      <c r="K736">
        <f t="shared" si="22"/>
        <v>19.27</v>
      </c>
      <c r="L736">
        <f t="shared" si="23"/>
        <v>19.614999999999998</v>
      </c>
      <c r="M736" t="s">
        <v>218</v>
      </c>
      <c r="O736" s="7">
        <v>44453</v>
      </c>
      <c r="Q736" t="s">
        <v>231</v>
      </c>
      <c r="R736" t="s">
        <v>220</v>
      </c>
      <c r="S736">
        <v>231</v>
      </c>
      <c r="T736" t="s">
        <v>221</v>
      </c>
    </row>
    <row r="737" spans="1:20" x14ac:dyDescent="0.15">
      <c r="A737" t="s">
        <v>214</v>
      </c>
      <c r="B737" t="s">
        <v>213</v>
      </c>
      <c r="C737">
        <v>31117689</v>
      </c>
      <c r="D737">
        <v>30</v>
      </c>
      <c r="E737" t="s">
        <v>75</v>
      </c>
      <c r="G737">
        <v>19.53</v>
      </c>
      <c r="H737">
        <v>19.829999999999998</v>
      </c>
      <c r="I737" t="s">
        <v>94</v>
      </c>
      <c r="J737">
        <v>1</v>
      </c>
      <c r="K737">
        <f t="shared" si="22"/>
        <v>19.53</v>
      </c>
      <c r="L737">
        <f t="shared" si="23"/>
        <v>19.829999999999998</v>
      </c>
      <c r="M737" t="s">
        <v>25</v>
      </c>
      <c r="O737" s="7">
        <v>44461</v>
      </c>
      <c r="Q737" t="s">
        <v>226</v>
      </c>
      <c r="R737" t="s">
        <v>220</v>
      </c>
      <c r="S737">
        <v>135</v>
      </c>
      <c r="T737" t="s">
        <v>230</v>
      </c>
    </row>
    <row r="738" spans="1:20" x14ac:dyDescent="0.15">
      <c r="A738" t="s">
        <v>214</v>
      </c>
      <c r="B738" t="s">
        <v>213</v>
      </c>
      <c r="C738">
        <v>31117689</v>
      </c>
      <c r="D738">
        <v>325</v>
      </c>
      <c r="E738" t="s">
        <v>76</v>
      </c>
      <c r="F738" t="s">
        <v>216</v>
      </c>
      <c r="G738">
        <v>12.05</v>
      </c>
      <c r="H738">
        <v>12.02</v>
      </c>
      <c r="I738" t="s">
        <v>91</v>
      </c>
      <c r="J738">
        <v>1</v>
      </c>
      <c r="K738">
        <f t="shared" si="22"/>
        <v>12.02</v>
      </c>
      <c r="L738">
        <f t="shared" si="23"/>
        <v>12.05</v>
      </c>
      <c r="M738" t="s">
        <v>218</v>
      </c>
      <c r="O738" s="7">
        <v>44460</v>
      </c>
      <c r="Q738" t="s">
        <v>231</v>
      </c>
      <c r="R738" t="s">
        <v>222</v>
      </c>
      <c r="S738">
        <v>35</v>
      </c>
      <c r="T738" t="s">
        <v>230</v>
      </c>
    </row>
    <row r="739" spans="1:20" x14ac:dyDescent="0.15">
      <c r="A739" t="s">
        <v>214</v>
      </c>
      <c r="B739" t="s">
        <v>213</v>
      </c>
      <c r="C739">
        <v>31117689</v>
      </c>
      <c r="D739">
        <v>325</v>
      </c>
      <c r="E739" t="s">
        <v>76</v>
      </c>
      <c r="F739" t="s">
        <v>216</v>
      </c>
      <c r="G739">
        <v>11.98</v>
      </c>
      <c r="H739">
        <v>11.952</v>
      </c>
      <c r="I739" t="s">
        <v>91</v>
      </c>
      <c r="J739">
        <v>1</v>
      </c>
      <c r="K739">
        <f t="shared" si="22"/>
        <v>11.952</v>
      </c>
      <c r="L739">
        <f t="shared" si="23"/>
        <v>11.98</v>
      </c>
      <c r="M739" t="s">
        <v>218</v>
      </c>
      <c r="O739" s="7">
        <v>44460</v>
      </c>
      <c r="Q739" t="s">
        <v>231</v>
      </c>
      <c r="R739" t="s">
        <v>222</v>
      </c>
    </row>
    <row r="740" spans="1:20" x14ac:dyDescent="0.15">
      <c r="A740" t="s">
        <v>214</v>
      </c>
      <c r="B740" t="s">
        <v>213</v>
      </c>
      <c r="C740">
        <v>31117689</v>
      </c>
      <c r="D740">
        <v>325</v>
      </c>
      <c r="E740" t="s">
        <v>76</v>
      </c>
      <c r="F740" t="s">
        <v>86</v>
      </c>
      <c r="G740">
        <v>12.01</v>
      </c>
      <c r="H740">
        <v>12.03</v>
      </c>
      <c r="I740" t="s">
        <v>96</v>
      </c>
      <c r="J740">
        <v>1</v>
      </c>
      <c r="K740">
        <f t="shared" si="22"/>
        <v>12.01</v>
      </c>
      <c r="L740">
        <f t="shared" si="23"/>
        <v>12.03</v>
      </c>
      <c r="M740" t="s">
        <v>25</v>
      </c>
      <c r="O740" s="7">
        <v>44460</v>
      </c>
      <c r="Q740" t="s">
        <v>226</v>
      </c>
      <c r="R740" t="s">
        <v>222</v>
      </c>
      <c r="S740">
        <v>16</v>
      </c>
      <c r="T740" t="s">
        <v>234</v>
      </c>
    </row>
    <row r="741" spans="1:20" x14ac:dyDescent="0.15">
      <c r="A741" t="s">
        <v>214</v>
      </c>
      <c r="B741" t="s">
        <v>213</v>
      </c>
      <c r="C741">
        <v>31117689</v>
      </c>
      <c r="D741">
        <v>50</v>
      </c>
      <c r="E741" t="s">
        <v>74</v>
      </c>
      <c r="G741">
        <v>164.1</v>
      </c>
      <c r="H741">
        <v>163.69999999999999</v>
      </c>
      <c r="I741" t="s">
        <v>182</v>
      </c>
      <c r="J741">
        <v>1</v>
      </c>
      <c r="K741">
        <f t="shared" si="22"/>
        <v>163.69999999999999</v>
      </c>
      <c r="L741">
        <f t="shared" si="23"/>
        <v>164.1</v>
      </c>
      <c r="M741" t="s">
        <v>27</v>
      </c>
      <c r="O741" s="7">
        <v>44467</v>
      </c>
      <c r="Q741" t="s">
        <v>252</v>
      </c>
      <c r="R741" t="s">
        <v>222</v>
      </c>
      <c r="S741" t="s">
        <v>260</v>
      </c>
      <c r="T741" t="s">
        <v>259</v>
      </c>
    </row>
    <row r="742" spans="1:20" x14ac:dyDescent="0.15">
      <c r="A742" t="s">
        <v>214</v>
      </c>
      <c r="B742" t="s">
        <v>213</v>
      </c>
      <c r="C742">
        <v>31117689</v>
      </c>
      <c r="D742">
        <v>50</v>
      </c>
      <c r="E742" t="s">
        <v>75</v>
      </c>
      <c r="G742">
        <v>147.13</v>
      </c>
      <c r="H742">
        <v>147.155</v>
      </c>
      <c r="J742" t="s">
        <v>23</v>
      </c>
      <c r="K742">
        <f t="shared" si="22"/>
        <v>147.13</v>
      </c>
      <c r="L742">
        <f t="shared" si="23"/>
        <v>147.155</v>
      </c>
      <c r="M742" t="s">
        <v>143</v>
      </c>
      <c r="N742">
        <v>51</v>
      </c>
      <c r="O742" s="7">
        <v>44393</v>
      </c>
      <c r="Q742" t="s">
        <v>235</v>
      </c>
      <c r="R742" t="s">
        <v>222</v>
      </c>
      <c r="S742" t="s">
        <v>261</v>
      </c>
      <c r="T742" t="s">
        <v>262</v>
      </c>
    </row>
    <row r="743" spans="1:20" x14ac:dyDescent="0.15">
      <c r="A743" t="s">
        <v>214</v>
      </c>
      <c r="B743" t="s">
        <v>213</v>
      </c>
      <c r="C743">
        <v>31117689</v>
      </c>
      <c r="D743">
        <v>50</v>
      </c>
      <c r="E743" t="s">
        <v>76</v>
      </c>
      <c r="F743" t="s">
        <v>78</v>
      </c>
      <c r="G743">
        <v>152.16999999999999</v>
      </c>
      <c r="H743">
        <v>152.18</v>
      </c>
      <c r="I743" t="s">
        <v>96</v>
      </c>
      <c r="J743">
        <v>1</v>
      </c>
      <c r="K743">
        <f t="shared" si="22"/>
        <v>152.16999999999999</v>
      </c>
      <c r="L743">
        <f t="shared" si="23"/>
        <v>152.18</v>
      </c>
      <c r="M743" t="s">
        <v>27</v>
      </c>
      <c r="O743" s="7">
        <v>44309</v>
      </c>
      <c r="Q743" t="s">
        <v>252</v>
      </c>
      <c r="R743" t="s">
        <v>222</v>
      </c>
      <c r="S743" t="s">
        <v>263</v>
      </c>
      <c r="T743" t="s">
        <v>264</v>
      </c>
    </row>
    <row r="744" spans="1:20" x14ac:dyDescent="0.15">
      <c r="A744" t="s">
        <v>214</v>
      </c>
      <c r="B744" t="s">
        <v>213</v>
      </c>
      <c r="C744">
        <v>31117689</v>
      </c>
      <c r="D744">
        <v>50</v>
      </c>
      <c r="E744" t="s">
        <v>76</v>
      </c>
      <c r="F744" t="s">
        <v>78</v>
      </c>
      <c r="G744">
        <v>152.13</v>
      </c>
      <c r="H744">
        <v>152.4</v>
      </c>
      <c r="I744" t="s">
        <v>94</v>
      </c>
      <c r="J744">
        <v>1</v>
      </c>
      <c r="K744">
        <f t="shared" si="22"/>
        <v>152.13</v>
      </c>
      <c r="L744">
        <f t="shared" si="23"/>
        <v>152.4</v>
      </c>
      <c r="M744" t="s">
        <v>27</v>
      </c>
      <c r="O744" s="7">
        <v>44309</v>
      </c>
      <c r="Q744" t="s">
        <v>252</v>
      </c>
      <c r="R744" t="s">
        <v>222</v>
      </c>
    </row>
    <row r="745" spans="1:20" x14ac:dyDescent="0.15">
      <c r="A745" t="s">
        <v>214</v>
      </c>
      <c r="B745" t="s">
        <v>213</v>
      </c>
      <c r="C745">
        <v>31117689</v>
      </c>
      <c r="D745">
        <v>50</v>
      </c>
      <c r="E745" t="s">
        <v>76</v>
      </c>
      <c r="F745" t="s">
        <v>78</v>
      </c>
      <c r="G745">
        <v>152.16999999999999</v>
      </c>
      <c r="H745">
        <v>152.18</v>
      </c>
      <c r="I745" t="s">
        <v>97</v>
      </c>
      <c r="J745">
        <v>1</v>
      </c>
      <c r="K745">
        <f t="shared" si="22"/>
        <v>152.16999999999999</v>
      </c>
      <c r="L745">
        <f t="shared" si="23"/>
        <v>152.18</v>
      </c>
      <c r="M745" t="s">
        <v>27</v>
      </c>
      <c r="O745" s="7">
        <v>44309</v>
      </c>
      <c r="Q745" t="s">
        <v>252</v>
      </c>
      <c r="R745" t="s">
        <v>222</v>
      </c>
    </row>
    <row r="746" spans="1:20" ht="33.75" customHeight="1" x14ac:dyDescent="0.15">
      <c r="A746" t="s">
        <v>214</v>
      </c>
      <c r="B746" t="s">
        <v>213</v>
      </c>
      <c r="C746">
        <v>31117689</v>
      </c>
      <c r="D746">
        <v>50</v>
      </c>
      <c r="E746" t="s">
        <v>74</v>
      </c>
      <c r="G746">
        <v>155.1</v>
      </c>
      <c r="H746">
        <v>154.97999999999999</v>
      </c>
      <c r="J746" t="s">
        <v>23</v>
      </c>
      <c r="K746">
        <f t="shared" si="22"/>
        <v>154.97999999999999</v>
      </c>
      <c r="L746">
        <f t="shared" si="23"/>
        <v>155.1</v>
      </c>
      <c r="M746" t="s">
        <v>27</v>
      </c>
      <c r="N746">
        <v>51</v>
      </c>
      <c r="O746" s="7">
        <v>44470</v>
      </c>
      <c r="Q746" t="s">
        <v>253</v>
      </c>
      <c r="R746" t="s">
        <v>222</v>
      </c>
      <c r="S746" s="15" t="s">
        <v>236</v>
      </c>
      <c r="T746" t="s">
        <v>237</v>
      </c>
    </row>
    <row r="747" spans="1:20" x14ac:dyDescent="0.15">
      <c r="A747" t="s">
        <v>214</v>
      </c>
      <c r="B747" t="s">
        <v>213</v>
      </c>
      <c r="C747">
        <v>31117689</v>
      </c>
      <c r="D747">
        <v>50</v>
      </c>
      <c r="E747" t="s">
        <v>74</v>
      </c>
      <c r="G747">
        <v>154.88999999999999</v>
      </c>
      <c r="H747">
        <v>154.80000000000001</v>
      </c>
      <c r="J747" t="s">
        <v>23</v>
      </c>
      <c r="K747">
        <f t="shared" si="22"/>
        <v>154.80000000000001</v>
      </c>
      <c r="L747">
        <f t="shared" si="23"/>
        <v>154.88999999999999</v>
      </c>
      <c r="M747" t="s">
        <v>27</v>
      </c>
      <c r="N747">
        <v>51</v>
      </c>
      <c r="O747" s="7">
        <v>44470</v>
      </c>
      <c r="Q747" t="s">
        <v>253</v>
      </c>
      <c r="R747" t="s">
        <v>222</v>
      </c>
    </row>
    <row r="748" spans="1:20" x14ac:dyDescent="0.15">
      <c r="A748" t="s">
        <v>214</v>
      </c>
      <c r="B748" t="s">
        <v>213</v>
      </c>
      <c r="C748">
        <v>31117689</v>
      </c>
      <c r="D748">
        <v>50</v>
      </c>
      <c r="E748" t="s">
        <v>74</v>
      </c>
      <c r="G748">
        <v>154.66999999999999</v>
      </c>
      <c r="H748">
        <v>154.63999999999999</v>
      </c>
      <c r="J748" t="s">
        <v>23</v>
      </c>
      <c r="K748">
        <f t="shared" si="22"/>
        <v>154.63999999999999</v>
      </c>
      <c r="L748">
        <f t="shared" si="23"/>
        <v>154.66999999999999</v>
      </c>
      <c r="M748" t="s">
        <v>27</v>
      </c>
      <c r="N748">
        <v>51</v>
      </c>
      <c r="O748" s="7">
        <v>44470</v>
      </c>
      <c r="Q748" t="s">
        <v>253</v>
      </c>
      <c r="R748" t="s">
        <v>222</v>
      </c>
    </row>
    <row r="749" spans="1:20" x14ac:dyDescent="0.15">
      <c r="A749" t="s">
        <v>214</v>
      </c>
      <c r="B749" t="s">
        <v>213</v>
      </c>
      <c r="C749">
        <v>31117689</v>
      </c>
      <c r="D749">
        <v>50</v>
      </c>
      <c r="E749" t="s">
        <v>75</v>
      </c>
      <c r="G749">
        <v>162.81</v>
      </c>
      <c r="H749">
        <v>162.88</v>
      </c>
      <c r="I749" t="s">
        <v>22</v>
      </c>
      <c r="J749">
        <v>1</v>
      </c>
      <c r="K749">
        <f t="shared" si="22"/>
        <v>162.81</v>
      </c>
      <c r="L749">
        <f t="shared" si="23"/>
        <v>162.88</v>
      </c>
      <c r="M749" t="s">
        <v>27</v>
      </c>
      <c r="O749" s="7">
        <v>44468</v>
      </c>
      <c r="Q749" t="s">
        <v>254</v>
      </c>
      <c r="R749" t="s">
        <v>222</v>
      </c>
      <c r="S749" t="s">
        <v>238</v>
      </c>
      <c r="T749" t="s">
        <v>239</v>
      </c>
    </row>
    <row r="750" spans="1:20" x14ac:dyDescent="0.15">
      <c r="A750" t="s">
        <v>214</v>
      </c>
      <c r="B750" t="s">
        <v>213</v>
      </c>
      <c r="C750">
        <v>31117689</v>
      </c>
      <c r="D750">
        <v>50</v>
      </c>
      <c r="E750" t="s">
        <v>75</v>
      </c>
      <c r="G750">
        <v>162.81</v>
      </c>
      <c r="H750">
        <v>162.88</v>
      </c>
      <c r="I750" t="s">
        <v>97</v>
      </c>
      <c r="J750">
        <v>1</v>
      </c>
      <c r="K750">
        <f t="shared" si="22"/>
        <v>162.81</v>
      </c>
      <c r="L750">
        <f t="shared" si="23"/>
        <v>162.88</v>
      </c>
      <c r="M750" t="s">
        <v>27</v>
      </c>
      <c r="O750" s="7">
        <v>44468</v>
      </c>
      <c r="Q750" t="s">
        <v>254</v>
      </c>
      <c r="R750" t="s">
        <v>222</v>
      </c>
    </row>
    <row r="751" spans="1:20" x14ac:dyDescent="0.15">
      <c r="A751" t="s">
        <v>214</v>
      </c>
      <c r="B751" t="s">
        <v>213</v>
      </c>
      <c r="C751">
        <v>31117689</v>
      </c>
      <c r="D751">
        <v>12</v>
      </c>
      <c r="E751" t="s">
        <v>75</v>
      </c>
      <c r="G751">
        <v>134.79</v>
      </c>
      <c r="H751">
        <v>134.94</v>
      </c>
      <c r="J751" t="s">
        <v>23</v>
      </c>
      <c r="K751">
        <f t="shared" si="22"/>
        <v>134.79</v>
      </c>
      <c r="L751">
        <f t="shared" si="23"/>
        <v>134.94</v>
      </c>
      <c r="M751" t="s">
        <v>25</v>
      </c>
      <c r="O751" s="7">
        <v>44526</v>
      </c>
      <c r="Q751" t="s">
        <v>226</v>
      </c>
      <c r="R751" t="s">
        <v>222</v>
      </c>
      <c r="S751">
        <v>304</v>
      </c>
      <c r="T751" t="s">
        <v>221</v>
      </c>
    </row>
    <row r="752" spans="1:20" x14ac:dyDescent="0.15">
      <c r="A752" t="s">
        <v>214</v>
      </c>
      <c r="B752" t="s">
        <v>213</v>
      </c>
      <c r="C752">
        <v>31117689</v>
      </c>
      <c r="D752">
        <v>12</v>
      </c>
      <c r="E752" t="s">
        <v>75</v>
      </c>
      <c r="G752">
        <v>126.28</v>
      </c>
      <c r="H752">
        <v>126.33</v>
      </c>
      <c r="I752" t="s">
        <v>96</v>
      </c>
      <c r="J752">
        <v>1</v>
      </c>
      <c r="K752">
        <f t="shared" si="22"/>
        <v>126.28</v>
      </c>
      <c r="L752">
        <f t="shared" si="23"/>
        <v>126.33</v>
      </c>
      <c r="M752" t="s">
        <v>25</v>
      </c>
      <c r="O752" s="7">
        <v>44575</v>
      </c>
      <c r="Q752" t="s">
        <v>226</v>
      </c>
      <c r="R752" t="s">
        <v>222</v>
      </c>
      <c r="S752">
        <v>123</v>
      </c>
      <c r="T752" t="s">
        <v>227</v>
      </c>
    </row>
    <row r="753" spans="1:20" x14ac:dyDescent="0.15">
      <c r="A753" t="s">
        <v>214</v>
      </c>
      <c r="B753" t="s">
        <v>213</v>
      </c>
      <c r="C753">
        <v>31117689</v>
      </c>
      <c r="D753">
        <v>12</v>
      </c>
      <c r="E753" t="s">
        <v>75</v>
      </c>
      <c r="G753">
        <v>126.44</v>
      </c>
      <c r="H753">
        <v>126.46</v>
      </c>
      <c r="I753" t="s">
        <v>96</v>
      </c>
      <c r="J753">
        <v>1</v>
      </c>
      <c r="K753">
        <f t="shared" si="22"/>
        <v>126.44</v>
      </c>
      <c r="L753">
        <f t="shared" si="23"/>
        <v>126.46</v>
      </c>
      <c r="M753" t="s">
        <v>25</v>
      </c>
      <c r="O753" s="7">
        <v>44575</v>
      </c>
      <c r="Q753" t="s">
        <v>226</v>
      </c>
      <c r="R753" t="s">
        <v>222</v>
      </c>
    </row>
    <row r="754" spans="1:20" x14ac:dyDescent="0.15">
      <c r="A754" t="s">
        <v>214</v>
      </c>
      <c r="B754" t="s">
        <v>213</v>
      </c>
      <c r="C754">
        <v>31117689</v>
      </c>
      <c r="D754">
        <v>12</v>
      </c>
      <c r="E754" t="s">
        <v>75</v>
      </c>
      <c r="G754">
        <v>126.35</v>
      </c>
      <c r="H754">
        <v>126.45</v>
      </c>
      <c r="I754" t="s">
        <v>98</v>
      </c>
      <c r="J754">
        <v>1</v>
      </c>
      <c r="K754">
        <f t="shared" si="22"/>
        <v>126.35</v>
      </c>
      <c r="L754">
        <f t="shared" si="23"/>
        <v>126.45</v>
      </c>
      <c r="M754" t="s">
        <v>25</v>
      </c>
      <c r="O754" s="7">
        <v>44575</v>
      </c>
      <c r="Q754" t="s">
        <v>226</v>
      </c>
      <c r="R754" t="s">
        <v>222</v>
      </c>
    </row>
    <row r="755" spans="1:20" x14ac:dyDescent="0.15">
      <c r="A755" t="s">
        <v>214</v>
      </c>
      <c r="B755" t="s">
        <v>213</v>
      </c>
      <c r="C755">
        <v>31117689</v>
      </c>
      <c r="D755">
        <v>12</v>
      </c>
      <c r="E755" t="s">
        <v>75</v>
      </c>
      <c r="G755">
        <v>126.5</v>
      </c>
      <c r="H755">
        <v>126.56</v>
      </c>
      <c r="I755" t="s">
        <v>188</v>
      </c>
      <c r="J755">
        <v>1</v>
      </c>
      <c r="K755">
        <f t="shared" si="22"/>
        <v>126.5</v>
      </c>
      <c r="L755">
        <f t="shared" si="23"/>
        <v>126.56</v>
      </c>
      <c r="M755" t="s">
        <v>25</v>
      </c>
      <c r="O755" s="7">
        <v>44575</v>
      </c>
      <c r="Q755" t="s">
        <v>226</v>
      </c>
      <c r="R755" t="s">
        <v>222</v>
      </c>
    </row>
    <row r="756" spans="1:20" x14ac:dyDescent="0.15">
      <c r="A756" t="s">
        <v>214</v>
      </c>
      <c r="B756" t="s">
        <v>213</v>
      </c>
      <c r="C756">
        <v>31117689</v>
      </c>
      <c r="D756">
        <v>50</v>
      </c>
      <c r="E756" t="s">
        <v>75</v>
      </c>
      <c r="G756">
        <v>154.80000000000001</v>
      </c>
      <c r="H756">
        <v>154.97999999999999</v>
      </c>
      <c r="I756" t="s">
        <v>94</v>
      </c>
      <c r="J756">
        <v>1</v>
      </c>
      <c r="K756">
        <f t="shared" si="22"/>
        <v>154.80000000000001</v>
      </c>
      <c r="L756">
        <f t="shared" si="23"/>
        <v>154.97999999999999</v>
      </c>
      <c r="M756" t="s">
        <v>27</v>
      </c>
      <c r="O756" s="7">
        <v>44371</v>
      </c>
      <c r="Q756" t="s">
        <v>254</v>
      </c>
      <c r="R756" t="s">
        <v>222</v>
      </c>
      <c r="S756" t="s">
        <v>240</v>
      </c>
      <c r="T756" t="s">
        <v>239</v>
      </c>
    </row>
    <row r="757" spans="1:20" x14ac:dyDescent="0.15">
      <c r="A757" t="s">
        <v>214</v>
      </c>
      <c r="B757" t="s">
        <v>213</v>
      </c>
      <c r="C757">
        <v>31117689</v>
      </c>
      <c r="D757">
        <v>50</v>
      </c>
      <c r="E757" t="s">
        <v>75</v>
      </c>
      <c r="G757">
        <v>155.12</v>
      </c>
      <c r="H757">
        <v>155.15</v>
      </c>
      <c r="J757" t="s">
        <v>23</v>
      </c>
      <c r="K757">
        <f t="shared" si="22"/>
        <v>155.12</v>
      </c>
      <c r="L757">
        <f t="shared" si="23"/>
        <v>155.15</v>
      </c>
      <c r="M757" t="s">
        <v>27</v>
      </c>
      <c r="O757" s="7">
        <v>44371</v>
      </c>
      <c r="Q757" t="s">
        <v>254</v>
      </c>
      <c r="R757" t="s">
        <v>222</v>
      </c>
    </row>
    <row r="758" spans="1:20" x14ac:dyDescent="0.15">
      <c r="A758" t="s">
        <v>214</v>
      </c>
      <c r="B758" t="s">
        <v>213</v>
      </c>
      <c r="C758">
        <v>31117689</v>
      </c>
      <c r="D758">
        <v>50</v>
      </c>
      <c r="E758" t="s">
        <v>75</v>
      </c>
      <c r="G758">
        <v>155.15</v>
      </c>
      <c r="H758">
        <v>155.22</v>
      </c>
      <c r="I758" t="s">
        <v>94</v>
      </c>
      <c r="J758">
        <v>1</v>
      </c>
      <c r="K758">
        <f t="shared" si="22"/>
        <v>155.15</v>
      </c>
      <c r="L758">
        <f t="shared" si="23"/>
        <v>155.22</v>
      </c>
      <c r="M758" t="s">
        <v>27</v>
      </c>
      <c r="O758" s="7">
        <v>44371</v>
      </c>
      <c r="Q758" t="s">
        <v>254</v>
      </c>
      <c r="R758" t="s">
        <v>222</v>
      </c>
    </row>
    <row r="759" spans="1:20" x14ac:dyDescent="0.15">
      <c r="A759" t="s">
        <v>214</v>
      </c>
      <c r="B759" t="s">
        <v>213</v>
      </c>
      <c r="C759">
        <v>31117689</v>
      </c>
      <c r="D759">
        <v>50</v>
      </c>
      <c r="E759" t="s">
        <v>75</v>
      </c>
      <c r="G759">
        <v>155.44999999999999</v>
      </c>
      <c r="H759">
        <v>155.77000000000001</v>
      </c>
      <c r="I759" t="s">
        <v>94</v>
      </c>
      <c r="J759">
        <v>1</v>
      </c>
      <c r="K759">
        <f t="shared" si="22"/>
        <v>155.44999999999999</v>
      </c>
      <c r="L759">
        <f t="shared" si="23"/>
        <v>155.77000000000001</v>
      </c>
      <c r="M759" t="s">
        <v>27</v>
      </c>
      <c r="O759" s="7">
        <v>44372</v>
      </c>
      <c r="Q759" t="s">
        <v>254</v>
      </c>
      <c r="R759" t="s">
        <v>222</v>
      </c>
      <c r="S759" t="s">
        <v>241</v>
      </c>
      <c r="T759" t="s">
        <v>239</v>
      </c>
    </row>
    <row r="760" spans="1:20" x14ac:dyDescent="0.15">
      <c r="A760" t="s">
        <v>214</v>
      </c>
      <c r="B760" t="s">
        <v>213</v>
      </c>
      <c r="C760">
        <v>31117689</v>
      </c>
      <c r="D760">
        <v>50</v>
      </c>
      <c r="E760" t="s">
        <v>75</v>
      </c>
      <c r="G760">
        <v>155.85</v>
      </c>
      <c r="H760">
        <v>156</v>
      </c>
      <c r="I760" t="s">
        <v>94</v>
      </c>
      <c r="J760">
        <v>1</v>
      </c>
      <c r="K760">
        <f t="shared" si="22"/>
        <v>155.85</v>
      </c>
      <c r="L760">
        <f t="shared" si="23"/>
        <v>156</v>
      </c>
      <c r="M760" t="s">
        <v>27</v>
      </c>
      <c r="O760" s="7">
        <v>44372</v>
      </c>
      <c r="Q760" t="s">
        <v>254</v>
      </c>
      <c r="R760" t="s">
        <v>222</v>
      </c>
    </row>
    <row r="761" spans="1:20" x14ac:dyDescent="0.15">
      <c r="A761" t="s">
        <v>214</v>
      </c>
      <c r="B761" t="s">
        <v>213</v>
      </c>
      <c r="C761">
        <v>31117689</v>
      </c>
      <c r="D761">
        <v>50</v>
      </c>
      <c r="E761" t="s">
        <v>75</v>
      </c>
      <c r="G761">
        <v>155.9</v>
      </c>
      <c r="H761">
        <v>155.965</v>
      </c>
      <c r="I761" t="s">
        <v>210</v>
      </c>
      <c r="J761">
        <v>1</v>
      </c>
      <c r="K761">
        <f t="shared" si="22"/>
        <v>155.9</v>
      </c>
      <c r="L761">
        <f t="shared" si="23"/>
        <v>155.965</v>
      </c>
      <c r="M761" t="s">
        <v>27</v>
      </c>
      <c r="O761" s="7">
        <v>44372</v>
      </c>
      <c r="Q761" t="s">
        <v>254</v>
      </c>
      <c r="R761" t="s">
        <v>222</v>
      </c>
    </row>
    <row r="762" spans="1:20" x14ac:dyDescent="0.15">
      <c r="A762" t="s">
        <v>214</v>
      </c>
      <c r="B762" t="s">
        <v>213</v>
      </c>
      <c r="C762">
        <v>31117689</v>
      </c>
      <c r="D762">
        <v>50</v>
      </c>
      <c r="E762" t="s">
        <v>75</v>
      </c>
      <c r="G762">
        <v>161.15</v>
      </c>
      <c r="H762">
        <v>161.19</v>
      </c>
      <c r="I762" t="s">
        <v>96</v>
      </c>
      <c r="J762">
        <v>1</v>
      </c>
      <c r="K762">
        <f t="shared" si="22"/>
        <v>161.15</v>
      </c>
      <c r="L762">
        <f t="shared" si="23"/>
        <v>161.19</v>
      </c>
      <c r="M762" t="s">
        <v>27</v>
      </c>
      <c r="O762" t="s">
        <v>219</v>
      </c>
      <c r="Q762" t="s">
        <v>254</v>
      </c>
      <c r="R762" t="s">
        <v>222</v>
      </c>
      <c r="S762" t="s">
        <v>242</v>
      </c>
      <c r="T762" t="s">
        <v>243</v>
      </c>
    </row>
    <row r="763" spans="1:20" x14ac:dyDescent="0.15">
      <c r="A763" t="s">
        <v>214</v>
      </c>
      <c r="B763" t="s">
        <v>213</v>
      </c>
      <c r="C763">
        <v>31117689</v>
      </c>
      <c r="D763">
        <v>50</v>
      </c>
      <c r="E763" t="s">
        <v>75</v>
      </c>
      <c r="G763">
        <v>161.46</v>
      </c>
      <c r="H763">
        <v>161.47999999999999</v>
      </c>
      <c r="I763" t="s">
        <v>96</v>
      </c>
      <c r="J763">
        <v>1</v>
      </c>
      <c r="K763">
        <f t="shared" si="22"/>
        <v>161.46</v>
      </c>
      <c r="L763">
        <f t="shared" si="23"/>
        <v>161.47999999999999</v>
      </c>
      <c r="M763" t="s">
        <v>27</v>
      </c>
      <c r="O763" t="s">
        <v>219</v>
      </c>
      <c r="Q763" t="s">
        <v>254</v>
      </c>
      <c r="R763" t="s">
        <v>222</v>
      </c>
    </row>
    <row r="764" spans="1:20" x14ac:dyDescent="0.15">
      <c r="A764" t="s">
        <v>214</v>
      </c>
      <c r="B764" t="s">
        <v>213</v>
      </c>
      <c r="C764">
        <v>31117689</v>
      </c>
      <c r="D764">
        <v>50</v>
      </c>
      <c r="E764" t="s">
        <v>75</v>
      </c>
      <c r="G764">
        <v>161.1</v>
      </c>
      <c r="H764">
        <v>161.61000000000001</v>
      </c>
      <c r="I764" t="s">
        <v>96</v>
      </c>
      <c r="J764">
        <v>1</v>
      </c>
      <c r="K764">
        <f t="shared" si="22"/>
        <v>161.1</v>
      </c>
      <c r="L764">
        <f t="shared" si="23"/>
        <v>161.61000000000001</v>
      </c>
      <c r="M764" t="s">
        <v>27</v>
      </c>
      <c r="O764" t="s">
        <v>219</v>
      </c>
      <c r="Q764" t="s">
        <v>254</v>
      </c>
      <c r="R764" t="s">
        <v>222</v>
      </c>
    </row>
    <row r="765" spans="1:20" x14ac:dyDescent="0.15">
      <c r="A765" t="s">
        <v>214</v>
      </c>
      <c r="B765" t="s">
        <v>213</v>
      </c>
      <c r="C765">
        <v>31117689</v>
      </c>
      <c r="D765">
        <v>50</v>
      </c>
      <c r="E765" t="s">
        <v>75</v>
      </c>
      <c r="G765">
        <v>160.815</v>
      </c>
      <c r="H765">
        <v>161.80000000000001</v>
      </c>
      <c r="I765" t="s">
        <v>181</v>
      </c>
      <c r="J765">
        <v>1</v>
      </c>
      <c r="K765">
        <f t="shared" si="22"/>
        <v>160.815</v>
      </c>
      <c r="L765">
        <f t="shared" si="23"/>
        <v>161.80000000000001</v>
      </c>
      <c r="M765" t="s">
        <v>27</v>
      </c>
      <c r="O765" t="s">
        <v>219</v>
      </c>
      <c r="Q765" t="s">
        <v>254</v>
      </c>
      <c r="R765" t="s">
        <v>222</v>
      </c>
    </row>
    <row r="766" spans="1:20" x14ac:dyDescent="0.15">
      <c r="A766" t="s">
        <v>214</v>
      </c>
      <c r="B766" t="s">
        <v>213</v>
      </c>
      <c r="C766">
        <v>31117689</v>
      </c>
      <c r="D766">
        <v>12</v>
      </c>
      <c r="E766" t="s">
        <v>74</v>
      </c>
      <c r="G766">
        <v>143.6</v>
      </c>
      <c r="H766">
        <v>143.4</v>
      </c>
      <c r="I766" t="s">
        <v>92</v>
      </c>
      <c r="J766">
        <v>1</v>
      </c>
      <c r="K766">
        <f t="shared" si="22"/>
        <v>143.4</v>
      </c>
      <c r="L766">
        <f t="shared" si="23"/>
        <v>143.6</v>
      </c>
      <c r="M766" t="s">
        <v>25</v>
      </c>
      <c r="O766" s="7">
        <v>44523</v>
      </c>
      <c r="Q766" t="s">
        <v>226</v>
      </c>
      <c r="R766" t="s">
        <v>222</v>
      </c>
      <c r="S766">
        <v>85</v>
      </c>
      <c r="T766" t="s">
        <v>221</v>
      </c>
    </row>
    <row r="767" spans="1:20" x14ac:dyDescent="0.15">
      <c r="A767" t="s">
        <v>214</v>
      </c>
      <c r="B767" t="s">
        <v>213</v>
      </c>
      <c r="C767">
        <v>31117689</v>
      </c>
      <c r="D767">
        <v>12</v>
      </c>
      <c r="E767" t="s">
        <v>74</v>
      </c>
      <c r="G767">
        <v>144.9</v>
      </c>
      <c r="H767">
        <v>144.80000000000001</v>
      </c>
      <c r="I767" t="s">
        <v>91</v>
      </c>
      <c r="J767">
        <v>1</v>
      </c>
      <c r="K767">
        <f t="shared" si="22"/>
        <v>144.80000000000001</v>
      </c>
      <c r="L767">
        <f t="shared" si="23"/>
        <v>144.9</v>
      </c>
      <c r="M767" t="s">
        <v>25</v>
      </c>
      <c r="O767" s="7">
        <v>44523</v>
      </c>
      <c r="Q767" t="s">
        <v>226</v>
      </c>
      <c r="R767" t="s">
        <v>222</v>
      </c>
      <c r="S767">
        <v>52</v>
      </c>
      <c r="T767" t="s">
        <v>244</v>
      </c>
    </row>
    <row r="768" spans="1:20" x14ac:dyDescent="0.15">
      <c r="A768" t="s">
        <v>214</v>
      </c>
      <c r="B768" t="s">
        <v>213</v>
      </c>
      <c r="C768">
        <v>31117689</v>
      </c>
      <c r="D768">
        <v>12</v>
      </c>
      <c r="E768" t="s">
        <v>75</v>
      </c>
      <c r="G768">
        <v>120.3</v>
      </c>
      <c r="H768">
        <v>120.76</v>
      </c>
      <c r="I768" t="s">
        <v>181</v>
      </c>
      <c r="J768">
        <v>1</v>
      </c>
      <c r="K768">
        <f t="shared" si="22"/>
        <v>120.3</v>
      </c>
      <c r="L768">
        <f t="shared" si="23"/>
        <v>120.76</v>
      </c>
      <c r="M768" t="s">
        <v>25</v>
      </c>
      <c r="O768" s="7">
        <v>44545</v>
      </c>
      <c r="Q768" t="s">
        <v>226</v>
      </c>
      <c r="R768" t="s">
        <v>222</v>
      </c>
      <c r="S768">
        <v>212</v>
      </c>
      <c r="T768" t="s">
        <v>245</v>
      </c>
    </row>
    <row r="769" spans="1:21" x14ac:dyDescent="0.15">
      <c r="A769" t="s">
        <v>214</v>
      </c>
      <c r="B769" t="s">
        <v>213</v>
      </c>
      <c r="C769">
        <v>31117689</v>
      </c>
      <c r="D769">
        <v>12</v>
      </c>
      <c r="E769" t="s">
        <v>75</v>
      </c>
      <c r="G769">
        <v>143.75</v>
      </c>
      <c r="H769">
        <v>145.13999999999999</v>
      </c>
      <c r="I769" t="s">
        <v>94</v>
      </c>
      <c r="J769">
        <v>1</v>
      </c>
      <c r="K769">
        <f t="shared" ref="K769:K832" si="24">MIN(G769:H769)</f>
        <v>143.75</v>
      </c>
      <c r="L769">
        <f t="shared" ref="L769:L832" si="25">MAX(G769:H769)</f>
        <v>145.13999999999999</v>
      </c>
      <c r="M769" t="s">
        <v>25</v>
      </c>
      <c r="O769" s="7">
        <v>44531</v>
      </c>
      <c r="Q769" t="s">
        <v>226</v>
      </c>
      <c r="R769" t="s">
        <v>222</v>
      </c>
      <c r="S769">
        <v>1047</v>
      </c>
      <c r="T769" t="s">
        <v>246</v>
      </c>
    </row>
    <row r="770" spans="1:21" x14ac:dyDescent="0.15">
      <c r="A770" t="s">
        <v>214</v>
      </c>
      <c r="B770" t="s">
        <v>213</v>
      </c>
      <c r="C770">
        <v>31117689</v>
      </c>
      <c r="D770">
        <v>12</v>
      </c>
      <c r="E770" t="s">
        <v>75</v>
      </c>
      <c r="G770">
        <v>145.19</v>
      </c>
      <c r="H770">
        <v>146.9</v>
      </c>
      <c r="I770" t="s">
        <v>94</v>
      </c>
      <c r="J770">
        <v>1</v>
      </c>
      <c r="K770">
        <f t="shared" si="24"/>
        <v>145.19</v>
      </c>
      <c r="L770">
        <f t="shared" si="25"/>
        <v>146.9</v>
      </c>
      <c r="M770" t="s">
        <v>25</v>
      </c>
      <c r="O770" s="7">
        <v>44532</v>
      </c>
      <c r="Q770" t="s">
        <v>226</v>
      </c>
      <c r="R770" t="s">
        <v>222</v>
      </c>
      <c r="S770">
        <v>434</v>
      </c>
      <c r="T770" t="s">
        <v>234</v>
      </c>
    </row>
    <row r="771" spans="1:21" x14ac:dyDescent="0.15">
      <c r="A771" t="s">
        <v>214</v>
      </c>
      <c r="B771" t="s">
        <v>213</v>
      </c>
      <c r="C771">
        <v>31117689</v>
      </c>
      <c r="D771">
        <v>12</v>
      </c>
      <c r="E771" t="s">
        <v>76</v>
      </c>
      <c r="F771" t="s">
        <v>84</v>
      </c>
      <c r="G771">
        <v>147.13</v>
      </c>
      <c r="H771">
        <v>147.19999999999999</v>
      </c>
      <c r="J771" t="s">
        <v>23</v>
      </c>
      <c r="K771">
        <f t="shared" si="24"/>
        <v>147.13</v>
      </c>
      <c r="L771">
        <f t="shared" si="25"/>
        <v>147.19999999999999</v>
      </c>
      <c r="M771" t="s">
        <v>25</v>
      </c>
      <c r="O771" s="7">
        <v>44533</v>
      </c>
      <c r="Q771" t="s">
        <v>226</v>
      </c>
      <c r="R771" t="s">
        <v>222</v>
      </c>
      <c r="S771">
        <v>31</v>
      </c>
      <c r="T771" t="s">
        <v>244</v>
      </c>
    </row>
    <row r="772" spans="1:21" x14ac:dyDescent="0.15">
      <c r="A772" t="s">
        <v>214</v>
      </c>
      <c r="B772" t="s">
        <v>213</v>
      </c>
      <c r="C772">
        <v>31117689</v>
      </c>
      <c r="D772">
        <v>12</v>
      </c>
      <c r="E772" t="s">
        <v>76</v>
      </c>
      <c r="F772" t="s">
        <v>84</v>
      </c>
      <c r="G772">
        <v>147.19999999999999</v>
      </c>
      <c r="H772">
        <v>147.83000000000001</v>
      </c>
      <c r="J772" t="s">
        <v>23</v>
      </c>
      <c r="K772">
        <f t="shared" si="24"/>
        <v>147.19999999999999</v>
      </c>
      <c r="L772">
        <f t="shared" si="25"/>
        <v>147.83000000000001</v>
      </c>
      <c r="M772" t="s">
        <v>218</v>
      </c>
      <c r="O772" s="7">
        <v>44533</v>
      </c>
      <c r="Q772" t="s">
        <v>231</v>
      </c>
      <c r="R772" t="s">
        <v>222</v>
      </c>
      <c r="S772">
        <v>488</v>
      </c>
      <c r="T772" t="s">
        <v>230</v>
      </c>
    </row>
    <row r="773" spans="1:21" x14ac:dyDescent="0.15">
      <c r="A773" t="s">
        <v>214</v>
      </c>
      <c r="B773" t="s">
        <v>213</v>
      </c>
      <c r="C773">
        <v>31117689</v>
      </c>
      <c r="D773">
        <v>18</v>
      </c>
      <c r="E773" t="s">
        <v>75</v>
      </c>
      <c r="G773">
        <v>189.1</v>
      </c>
      <c r="H773">
        <v>189.15</v>
      </c>
      <c r="J773" t="s">
        <v>23</v>
      </c>
      <c r="K773">
        <f t="shared" si="24"/>
        <v>189.1</v>
      </c>
      <c r="L773">
        <f t="shared" si="25"/>
        <v>189.15</v>
      </c>
      <c r="M773" t="s">
        <v>25</v>
      </c>
      <c r="O773" s="7">
        <v>44533</v>
      </c>
      <c r="Q773" t="s">
        <v>226</v>
      </c>
      <c r="R773" t="s">
        <v>222</v>
      </c>
      <c r="U773" t="s">
        <v>247</v>
      </c>
    </row>
    <row r="774" spans="1:21" x14ac:dyDescent="0.15">
      <c r="A774" t="s">
        <v>214</v>
      </c>
      <c r="B774" t="s">
        <v>213</v>
      </c>
      <c r="C774">
        <v>31117689</v>
      </c>
      <c r="D774">
        <v>12</v>
      </c>
      <c r="E774" t="s">
        <v>76</v>
      </c>
      <c r="F774" t="s">
        <v>82</v>
      </c>
      <c r="G774">
        <v>142.5</v>
      </c>
      <c r="H774">
        <v>142.6</v>
      </c>
      <c r="I774" t="s">
        <v>96</v>
      </c>
      <c r="J774">
        <v>1</v>
      </c>
      <c r="K774">
        <f t="shared" si="24"/>
        <v>142.5</v>
      </c>
      <c r="L774">
        <f t="shared" si="25"/>
        <v>142.6</v>
      </c>
      <c r="M774" t="s">
        <v>99</v>
      </c>
      <c r="O774" s="7">
        <v>44462</v>
      </c>
      <c r="R774" t="s">
        <v>215</v>
      </c>
      <c r="S774" t="s">
        <v>215</v>
      </c>
    </row>
    <row r="775" spans="1:21" x14ac:dyDescent="0.15">
      <c r="A775" t="s">
        <v>214</v>
      </c>
      <c r="B775" t="s">
        <v>213</v>
      </c>
      <c r="C775">
        <v>31117689</v>
      </c>
      <c r="D775">
        <v>15</v>
      </c>
      <c r="E775" t="s">
        <v>74</v>
      </c>
      <c r="G775">
        <v>159.9</v>
      </c>
      <c r="H775">
        <v>159.80000000000001</v>
      </c>
      <c r="I775" t="s">
        <v>92</v>
      </c>
      <c r="J775">
        <v>1</v>
      </c>
      <c r="K775">
        <f t="shared" si="24"/>
        <v>159.80000000000001</v>
      </c>
      <c r="L775">
        <f t="shared" si="25"/>
        <v>159.9</v>
      </c>
      <c r="M775" t="s">
        <v>99</v>
      </c>
      <c r="O775" s="7">
        <v>44462</v>
      </c>
      <c r="R775" t="s">
        <v>215</v>
      </c>
      <c r="S775" t="s">
        <v>215</v>
      </c>
    </row>
    <row r="776" spans="1:21" x14ac:dyDescent="0.15">
      <c r="A776" t="s">
        <v>214</v>
      </c>
      <c r="B776" t="s">
        <v>213</v>
      </c>
      <c r="C776">
        <v>31117689</v>
      </c>
      <c r="D776">
        <v>15</v>
      </c>
      <c r="E776" t="s">
        <v>74</v>
      </c>
      <c r="G776">
        <v>161.30000000000001</v>
      </c>
      <c r="H776">
        <v>161.19999999999999</v>
      </c>
      <c r="I776" t="s">
        <v>92</v>
      </c>
      <c r="J776">
        <v>1</v>
      </c>
      <c r="K776">
        <f t="shared" si="24"/>
        <v>161.19999999999999</v>
      </c>
      <c r="L776">
        <f t="shared" si="25"/>
        <v>161.30000000000001</v>
      </c>
      <c r="M776" t="s">
        <v>99</v>
      </c>
      <c r="O776" s="7">
        <v>44462</v>
      </c>
      <c r="R776" t="s">
        <v>215</v>
      </c>
      <c r="S776" t="s">
        <v>215</v>
      </c>
    </row>
    <row r="777" spans="1:21" x14ac:dyDescent="0.15">
      <c r="A777" t="s">
        <v>214</v>
      </c>
      <c r="B777" t="s">
        <v>213</v>
      </c>
      <c r="C777">
        <v>31117689</v>
      </c>
      <c r="D777">
        <v>15</v>
      </c>
      <c r="E777" t="s">
        <v>75</v>
      </c>
      <c r="G777">
        <v>159.5</v>
      </c>
      <c r="H777">
        <v>159.6</v>
      </c>
      <c r="I777" t="s">
        <v>94</v>
      </c>
      <c r="J777">
        <v>1</v>
      </c>
      <c r="K777">
        <f t="shared" si="24"/>
        <v>159.5</v>
      </c>
      <c r="L777">
        <f t="shared" si="25"/>
        <v>159.6</v>
      </c>
      <c r="M777" t="s">
        <v>99</v>
      </c>
      <c r="O777" s="7">
        <v>44462</v>
      </c>
      <c r="R777" t="s">
        <v>215</v>
      </c>
      <c r="S777" t="s">
        <v>215</v>
      </c>
    </row>
    <row r="778" spans="1:21" x14ac:dyDescent="0.15">
      <c r="A778" t="s">
        <v>214</v>
      </c>
      <c r="B778" t="s">
        <v>213</v>
      </c>
      <c r="C778">
        <v>31117689</v>
      </c>
      <c r="D778">
        <v>30</v>
      </c>
      <c r="E778" t="s">
        <v>74</v>
      </c>
      <c r="G778">
        <v>13.6</v>
      </c>
      <c r="H778">
        <v>13.35</v>
      </c>
      <c r="I778" t="s">
        <v>92</v>
      </c>
      <c r="J778">
        <v>1</v>
      </c>
      <c r="K778">
        <f t="shared" si="24"/>
        <v>13.35</v>
      </c>
      <c r="L778">
        <f t="shared" si="25"/>
        <v>13.6</v>
      </c>
      <c r="M778" t="s">
        <v>25</v>
      </c>
      <c r="O778" s="7">
        <v>44517</v>
      </c>
      <c r="Q778" t="s">
        <v>226</v>
      </c>
      <c r="R778" t="s">
        <v>220</v>
      </c>
      <c r="S778">
        <v>110</v>
      </c>
      <c r="T778" t="s">
        <v>248</v>
      </c>
    </row>
    <row r="779" spans="1:21" x14ac:dyDescent="0.15">
      <c r="A779" t="s">
        <v>214</v>
      </c>
      <c r="B779" t="s">
        <v>213</v>
      </c>
      <c r="C779">
        <v>31117689</v>
      </c>
      <c r="D779">
        <v>30</v>
      </c>
      <c r="E779" t="s">
        <v>75</v>
      </c>
      <c r="G779">
        <v>18.7</v>
      </c>
      <c r="H779">
        <v>19.399999999999999</v>
      </c>
      <c r="I779" t="s">
        <v>96</v>
      </c>
      <c r="J779">
        <v>1</v>
      </c>
      <c r="K779">
        <f t="shared" si="24"/>
        <v>18.7</v>
      </c>
      <c r="L779">
        <f t="shared" si="25"/>
        <v>19.399999999999999</v>
      </c>
      <c r="M779" t="s">
        <v>25</v>
      </c>
      <c r="O779" s="7">
        <v>44477</v>
      </c>
      <c r="Q779" t="s">
        <v>226</v>
      </c>
      <c r="R779" t="s">
        <v>220</v>
      </c>
      <c r="S779">
        <v>201</v>
      </c>
      <c r="T779" t="s">
        <v>249</v>
      </c>
    </row>
    <row r="780" spans="1:21" x14ac:dyDescent="0.15">
      <c r="A780" t="s">
        <v>214</v>
      </c>
      <c r="B780" t="s">
        <v>213</v>
      </c>
      <c r="C780">
        <v>31117689</v>
      </c>
      <c r="D780">
        <v>50</v>
      </c>
      <c r="E780" t="s">
        <v>74</v>
      </c>
      <c r="G780">
        <v>182</v>
      </c>
      <c r="H780">
        <v>181.8</v>
      </c>
      <c r="I780" t="s">
        <v>92</v>
      </c>
      <c r="J780">
        <v>1</v>
      </c>
      <c r="K780">
        <f t="shared" si="24"/>
        <v>181.8</v>
      </c>
      <c r="L780">
        <f t="shared" si="25"/>
        <v>182</v>
      </c>
      <c r="M780" t="s">
        <v>25</v>
      </c>
      <c r="O780" s="7">
        <v>44538</v>
      </c>
      <c r="Q780" t="s">
        <v>226</v>
      </c>
      <c r="R780" t="s">
        <v>220</v>
      </c>
      <c r="S780">
        <v>81</v>
      </c>
      <c r="T780" t="s">
        <v>228</v>
      </c>
    </row>
    <row r="781" spans="1:21" x14ac:dyDescent="0.15">
      <c r="A781" t="s">
        <v>214</v>
      </c>
      <c r="B781" t="s">
        <v>213</v>
      </c>
      <c r="C781">
        <v>31117689</v>
      </c>
      <c r="D781">
        <v>50</v>
      </c>
      <c r="E781" t="s">
        <v>74</v>
      </c>
      <c r="G781">
        <v>183.82</v>
      </c>
      <c r="H781">
        <v>183.65</v>
      </c>
      <c r="I781" t="s">
        <v>92</v>
      </c>
      <c r="J781">
        <v>1</v>
      </c>
      <c r="K781">
        <f t="shared" si="24"/>
        <v>183.65</v>
      </c>
      <c r="L781">
        <f t="shared" si="25"/>
        <v>183.82</v>
      </c>
      <c r="M781" t="s">
        <v>25</v>
      </c>
      <c r="O781" s="7">
        <v>44538</v>
      </c>
      <c r="Q781" t="s">
        <v>226</v>
      </c>
      <c r="R781" t="s">
        <v>220</v>
      </c>
      <c r="S781">
        <v>70</v>
      </c>
      <c r="T781" t="s">
        <v>228</v>
      </c>
    </row>
    <row r="782" spans="1:21" x14ac:dyDescent="0.15">
      <c r="A782" t="s">
        <v>214</v>
      </c>
      <c r="B782" t="s">
        <v>213</v>
      </c>
      <c r="C782">
        <v>31117689</v>
      </c>
      <c r="D782">
        <v>50</v>
      </c>
      <c r="E782" t="s">
        <v>75</v>
      </c>
      <c r="G782">
        <v>187.9</v>
      </c>
      <c r="H782">
        <v>188.1</v>
      </c>
      <c r="I782" t="s">
        <v>96</v>
      </c>
      <c r="J782">
        <v>1</v>
      </c>
      <c r="K782">
        <f t="shared" si="24"/>
        <v>187.9</v>
      </c>
      <c r="L782">
        <f t="shared" si="25"/>
        <v>188.1</v>
      </c>
      <c r="M782" t="s">
        <v>25</v>
      </c>
      <c r="O782" s="7">
        <v>44517</v>
      </c>
      <c r="Q782" t="s">
        <v>226</v>
      </c>
      <c r="R782" t="s">
        <v>220</v>
      </c>
      <c r="S782">
        <v>90</v>
      </c>
      <c r="T782" t="s">
        <v>229</v>
      </c>
    </row>
    <row r="783" spans="1:21" x14ac:dyDescent="0.15">
      <c r="A783" t="s">
        <v>214</v>
      </c>
      <c r="B783" t="s">
        <v>213</v>
      </c>
      <c r="C783">
        <v>31117689</v>
      </c>
      <c r="D783">
        <v>15</v>
      </c>
      <c r="E783" t="s">
        <v>74</v>
      </c>
      <c r="G783">
        <v>148.51499999999999</v>
      </c>
      <c r="H783">
        <v>147.80000000000001</v>
      </c>
      <c r="I783" t="s">
        <v>92</v>
      </c>
      <c r="J783">
        <v>1</v>
      </c>
      <c r="K783">
        <f t="shared" si="24"/>
        <v>147.80000000000001</v>
      </c>
      <c r="L783">
        <f t="shared" si="25"/>
        <v>148.51499999999999</v>
      </c>
      <c r="M783" t="s">
        <v>25</v>
      </c>
      <c r="O783" s="7">
        <v>44463</v>
      </c>
      <c r="Q783" t="s">
        <v>226</v>
      </c>
      <c r="R783" t="s">
        <v>222</v>
      </c>
      <c r="S783">
        <v>297</v>
      </c>
      <c r="T783" t="s">
        <v>245</v>
      </c>
    </row>
    <row r="784" spans="1:21" x14ac:dyDescent="0.15">
      <c r="A784" t="s">
        <v>214</v>
      </c>
      <c r="B784" t="s">
        <v>213</v>
      </c>
      <c r="C784">
        <v>31117689</v>
      </c>
      <c r="D784">
        <v>30</v>
      </c>
      <c r="E784" t="s">
        <v>75</v>
      </c>
      <c r="G784">
        <v>11.75</v>
      </c>
      <c r="H784">
        <v>12.05</v>
      </c>
      <c r="I784" t="s">
        <v>98</v>
      </c>
      <c r="J784">
        <v>1</v>
      </c>
      <c r="K784">
        <f t="shared" si="24"/>
        <v>11.75</v>
      </c>
      <c r="L784">
        <f t="shared" si="25"/>
        <v>12.05</v>
      </c>
      <c r="M784" t="s">
        <v>25</v>
      </c>
      <c r="O784" s="7">
        <v>44539</v>
      </c>
      <c r="Q784" t="s">
        <v>226</v>
      </c>
      <c r="R784" t="s">
        <v>220</v>
      </c>
      <c r="S784">
        <v>301</v>
      </c>
      <c r="T784" t="s">
        <v>230</v>
      </c>
    </row>
    <row r="785" spans="1:20" x14ac:dyDescent="0.15">
      <c r="A785" t="s">
        <v>214</v>
      </c>
      <c r="B785" t="s">
        <v>213</v>
      </c>
      <c r="C785">
        <v>31117689</v>
      </c>
      <c r="D785">
        <v>30</v>
      </c>
      <c r="E785" t="s">
        <v>75</v>
      </c>
      <c r="G785">
        <v>12.65</v>
      </c>
      <c r="H785">
        <v>12.98</v>
      </c>
      <c r="I785" t="s">
        <v>22</v>
      </c>
      <c r="J785">
        <v>1</v>
      </c>
      <c r="K785">
        <f t="shared" si="24"/>
        <v>12.65</v>
      </c>
      <c r="L785">
        <f t="shared" si="25"/>
        <v>12.98</v>
      </c>
      <c r="M785" t="s">
        <v>25</v>
      </c>
      <c r="O785" s="7">
        <v>44539</v>
      </c>
      <c r="Q785" t="s">
        <v>226</v>
      </c>
      <c r="R785" t="s">
        <v>220</v>
      </c>
    </row>
    <row r="786" spans="1:20" x14ac:dyDescent="0.15">
      <c r="A786" t="s">
        <v>214</v>
      </c>
      <c r="B786" t="s">
        <v>213</v>
      </c>
      <c r="C786">
        <v>31117689</v>
      </c>
      <c r="D786">
        <v>73</v>
      </c>
      <c r="E786" t="s">
        <v>75</v>
      </c>
      <c r="G786">
        <v>103.6</v>
      </c>
      <c r="H786">
        <v>103.8</v>
      </c>
      <c r="I786" t="s">
        <v>94</v>
      </c>
      <c r="J786">
        <v>1</v>
      </c>
      <c r="K786">
        <f t="shared" si="24"/>
        <v>103.6</v>
      </c>
      <c r="L786">
        <f t="shared" si="25"/>
        <v>103.8</v>
      </c>
      <c r="M786" t="s">
        <v>25</v>
      </c>
      <c r="O786" s="7">
        <v>44463</v>
      </c>
      <c r="Q786" t="s">
        <v>254</v>
      </c>
      <c r="R786" t="s">
        <v>222</v>
      </c>
      <c r="S786" t="s">
        <v>250</v>
      </c>
      <c r="T786" t="s">
        <v>233</v>
      </c>
    </row>
    <row r="787" spans="1:20" x14ac:dyDescent="0.15">
      <c r="A787" t="s">
        <v>214</v>
      </c>
      <c r="B787" t="s">
        <v>213</v>
      </c>
      <c r="C787">
        <v>31117689</v>
      </c>
      <c r="D787">
        <v>73</v>
      </c>
      <c r="E787" t="s">
        <v>75</v>
      </c>
      <c r="G787">
        <v>104.95</v>
      </c>
      <c r="H787">
        <v>110.58</v>
      </c>
      <c r="I787" t="s">
        <v>22</v>
      </c>
      <c r="J787">
        <v>1</v>
      </c>
      <c r="K787">
        <f t="shared" si="24"/>
        <v>104.95</v>
      </c>
      <c r="L787">
        <f t="shared" si="25"/>
        <v>110.58</v>
      </c>
      <c r="M787" t="s">
        <v>25</v>
      </c>
      <c r="O787" s="7">
        <v>44540</v>
      </c>
      <c r="Q787" t="s">
        <v>226</v>
      </c>
      <c r="R787" t="s">
        <v>222</v>
      </c>
      <c r="S787">
        <v>688</v>
      </c>
      <c r="T787" t="s">
        <v>229</v>
      </c>
    </row>
    <row r="788" spans="1:20" x14ac:dyDescent="0.15">
      <c r="A788" t="s">
        <v>214</v>
      </c>
      <c r="B788" t="s">
        <v>213</v>
      </c>
      <c r="C788">
        <v>31117689</v>
      </c>
      <c r="D788">
        <v>73</v>
      </c>
      <c r="E788" t="s">
        <v>75</v>
      </c>
      <c r="G788">
        <v>104.95</v>
      </c>
      <c r="H788">
        <v>110.3</v>
      </c>
      <c r="I788" t="s">
        <v>210</v>
      </c>
      <c r="J788">
        <v>1</v>
      </c>
      <c r="K788">
        <f t="shared" si="24"/>
        <v>104.95</v>
      </c>
      <c r="L788">
        <f t="shared" si="25"/>
        <v>110.3</v>
      </c>
      <c r="M788" t="s">
        <v>25</v>
      </c>
      <c r="O788" s="7">
        <v>44540</v>
      </c>
      <c r="Q788" t="s">
        <v>226</v>
      </c>
      <c r="R788" t="s">
        <v>222</v>
      </c>
    </row>
    <row r="789" spans="1:20" x14ac:dyDescent="0.15">
      <c r="A789" t="s">
        <v>214</v>
      </c>
      <c r="B789" t="s">
        <v>213</v>
      </c>
      <c r="C789">
        <v>31117689</v>
      </c>
      <c r="D789">
        <v>73</v>
      </c>
      <c r="E789" t="s">
        <v>75</v>
      </c>
      <c r="G789">
        <v>110</v>
      </c>
      <c r="H789">
        <v>110.58</v>
      </c>
      <c r="I789" t="s">
        <v>94</v>
      </c>
      <c r="J789">
        <v>1</v>
      </c>
      <c r="K789">
        <f t="shared" si="24"/>
        <v>110</v>
      </c>
      <c r="L789">
        <f t="shared" si="25"/>
        <v>110.58</v>
      </c>
      <c r="M789" t="s">
        <v>25</v>
      </c>
      <c r="O789" s="7">
        <v>44540</v>
      </c>
      <c r="Q789" t="s">
        <v>226</v>
      </c>
      <c r="R789" t="s">
        <v>222</v>
      </c>
    </row>
    <row r="790" spans="1:20" x14ac:dyDescent="0.15">
      <c r="A790" t="s">
        <v>214</v>
      </c>
      <c r="B790" t="s">
        <v>213</v>
      </c>
      <c r="C790">
        <v>31117689</v>
      </c>
      <c r="D790">
        <v>73</v>
      </c>
      <c r="E790" t="s">
        <v>75</v>
      </c>
      <c r="G790">
        <v>111.13</v>
      </c>
      <c r="H790">
        <v>111.48</v>
      </c>
      <c r="I790" t="s">
        <v>98</v>
      </c>
      <c r="J790">
        <v>1</v>
      </c>
      <c r="K790">
        <f t="shared" si="24"/>
        <v>111.13</v>
      </c>
      <c r="L790">
        <f t="shared" si="25"/>
        <v>111.48</v>
      </c>
      <c r="M790" t="s">
        <v>25</v>
      </c>
      <c r="O790" s="7">
        <v>44540</v>
      </c>
      <c r="Q790" t="s">
        <v>226</v>
      </c>
      <c r="R790" t="s">
        <v>222</v>
      </c>
    </row>
    <row r="791" spans="1:20" x14ac:dyDescent="0.15">
      <c r="A791" t="s">
        <v>214</v>
      </c>
      <c r="B791" t="s">
        <v>213</v>
      </c>
      <c r="C791">
        <v>31117689</v>
      </c>
      <c r="D791">
        <v>12</v>
      </c>
      <c r="E791" t="s">
        <v>74</v>
      </c>
      <c r="G791">
        <v>142.51</v>
      </c>
      <c r="H791">
        <v>140.19999999999999</v>
      </c>
      <c r="I791" t="s">
        <v>91</v>
      </c>
      <c r="J791">
        <v>1</v>
      </c>
      <c r="K791">
        <f t="shared" si="24"/>
        <v>140.19999999999999</v>
      </c>
      <c r="L791">
        <f t="shared" si="25"/>
        <v>142.51</v>
      </c>
      <c r="M791" t="s">
        <v>25</v>
      </c>
      <c r="O791" s="7">
        <v>44547</v>
      </c>
      <c r="Q791" t="s">
        <v>226</v>
      </c>
      <c r="R791" t="s">
        <v>222</v>
      </c>
      <c r="S791">
        <v>626</v>
      </c>
      <c r="T791" t="s">
        <v>232</v>
      </c>
    </row>
    <row r="792" spans="1:20" x14ac:dyDescent="0.15">
      <c r="A792" t="s">
        <v>214</v>
      </c>
      <c r="B792" t="s">
        <v>213</v>
      </c>
      <c r="C792">
        <v>31117689</v>
      </c>
      <c r="D792">
        <v>12</v>
      </c>
      <c r="E792" t="s">
        <v>74</v>
      </c>
      <c r="G792">
        <v>142.51</v>
      </c>
      <c r="H792">
        <v>141.745</v>
      </c>
      <c r="I792" t="s">
        <v>92</v>
      </c>
      <c r="J792">
        <v>1</v>
      </c>
      <c r="K792">
        <f t="shared" si="24"/>
        <v>141.745</v>
      </c>
      <c r="L792">
        <f t="shared" si="25"/>
        <v>142.51</v>
      </c>
      <c r="M792" t="s">
        <v>25</v>
      </c>
      <c r="O792" s="7">
        <v>44546</v>
      </c>
      <c r="Q792" t="s">
        <v>226</v>
      </c>
      <c r="R792" t="s">
        <v>222</v>
      </c>
      <c r="S792">
        <v>732</v>
      </c>
      <c r="T792" t="s">
        <v>251</v>
      </c>
    </row>
    <row r="793" spans="1:20" x14ac:dyDescent="0.15">
      <c r="A793" t="s">
        <v>265</v>
      </c>
      <c r="B793" t="s">
        <v>266</v>
      </c>
      <c r="D793">
        <v>4</v>
      </c>
      <c r="E793" t="s">
        <v>74</v>
      </c>
      <c r="G793" s="16">
        <v>230.1</v>
      </c>
      <c r="H793">
        <v>230.2</v>
      </c>
      <c r="I793" t="s">
        <v>92</v>
      </c>
      <c r="K793">
        <f t="shared" si="24"/>
        <v>230.1</v>
      </c>
      <c r="L793">
        <f t="shared" si="25"/>
        <v>230.2</v>
      </c>
      <c r="M793" t="s">
        <v>25</v>
      </c>
      <c r="O793" s="7">
        <v>44322</v>
      </c>
    </row>
    <row r="794" spans="1:20" x14ac:dyDescent="0.15">
      <c r="A794" t="s">
        <v>265</v>
      </c>
      <c r="B794" t="s">
        <v>266</v>
      </c>
      <c r="D794">
        <v>4</v>
      </c>
      <c r="E794" t="s">
        <v>74</v>
      </c>
      <c r="G794">
        <v>101.2</v>
      </c>
      <c r="H794">
        <v>101.3</v>
      </c>
      <c r="I794" t="s">
        <v>95</v>
      </c>
      <c r="K794">
        <f t="shared" si="24"/>
        <v>101.2</v>
      </c>
      <c r="L794">
        <f t="shared" si="25"/>
        <v>101.3</v>
      </c>
      <c r="M794" t="s">
        <v>25</v>
      </c>
      <c r="O794" s="7">
        <v>44459</v>
      </c>
    </row>
    <row r="795" spans="1:20" x14ac:dyDescent="0.15">
      <c r="A795" t="s">
        <v>265</v>
      </c>
      <c r="B795" t="s">
        <v>266</v>
      </c>
      <c r="D795">
        <v>4</v>
      </c>
      <c r="E795" t="s">
        <v>74</v>
      </c>
      <c r="G795">
        <v>101.2</v>
      </c>
      <c r="H795">
        <v>101.3</v>
      </c>
      <c r="I795" t="s">
        <v>92</v>
      </c>
      <c r="K795">
        <f t="shared" si="24"/>
        <v>101.2</v>
      </c>
      <c r="L795">
        <f t="shared" si="25"/>
        <v>101.3</v>
      </c>
      <c r="M795" t="s">
        <v>25</v>
      </c>
      <c r="O795" s="7">
        <v>44459</v>
      </c>
    </row>
    <row r="796" spans="1:20" x14ac:dyDescent="0.15">
      <c r="A796" t="s">
        <v>265</v>
      </c>
      <c r="B796" t="s">
        <v>266</v>
      </c>
      <c r="D796">
        <v>4</v>
      </c>
      <c r="E796" t="s">
        <v>74</v>
      </c>
      <c r="G796">
        <v>213.9</v>
      </c>
      <c r="H796">
        <v>213.9</v>
      </c>
      <c r="I796" t="s">
        <v>90</v>
      </c>
      <c r="K796">
        <f t="shared" si="24"/>
        <v>213.9</v>
      </c>
      <c r="L796">
        <f t="shared" si="25"/>
        <v>213.9</v>
      </c>
      <c r="O796" s="7">
        <v>44439</v>
      </c>
    </row>
    <row r="797" spans="1:20" x14ac:dyDescent="0.15">
      <c r="A797" t="s">
        <v>265</v>
      </c>
      <c r="B797" t="s">
        <v>266</v>
      </c>
      <c r="D797">
        <v>4</v>
      </c>
      <c r="E797" t="s">
        <v>74</v>
      </c>
      <c r="G797">
        <v>229.9</v>
      </c>
      <c r="H797">
        <v>230.1</v>
      </c>
      <c r="I797" t="s">
        <v>92</v>
      </c>
      <c r="K797">
        <f t="shared" si="24"/>
        <v>229.9</v>
      </c>
      <c r="L797">
        <f t="shared" si="25"/>
        <v>230.1</v>
      </c>
      <c r="M797" t="s">
        <v>25</v>
      </c>
      <c r="O797" s="7">
        <v>44322</v>
      </c>
    </row>
    <row r="798" spans="1:20" x14ac:dyDescent="0.15">
      <c r="A798" s="12" t="s">
        <v>267</v>
      </c>
      <c r="B798" t="s">
        <v>266</v>
      </c>
      <c r="D798">
        <v>4</v>
      </c>
      <c r="E798" t="s">
        <v>74</v>
      </c>
      <c r="G798">
        <v>234.8</v>
      </c>
      <c r="H798">
        <v>236.2</v>
      </c>
      <c r="J798" t="s">
        <v>23</v>
      </c>
      <c r="K798">
        <f t="shared" si="24"/>
        <v>234.8</v>
      </c>
      <c r="L798">
        <f t="shared" si="25"/>
        <v>236.2</v>
      </c>
      <c r="M798" t="s">
        <v>285</v>
      </c>
      <c r="O798" s="7">
        <v>2021</v>
      </c>
    </row>
    <row r="799" spans="1:20" x14ac:dyDescent="0.15">
      <c r="A799" s="12" t="s">
        <v>267</v>
      </c>
      <c r="B799" t="s">
        <v>266</v>
      </c>
      <c r="D799">
        <v>4</v>
      </c>
      <c r="E799" t="s">
        <v>74</v>
      </c>
      <c r="G799">
        <v>236.2</v>
      </c>
      <c r="H799">
        <v>236.8</v>
      </c>
      <c r="J799" t="s">
        <v>23</v>
      </c>
      <c r="K799">
        <f t="shared" si="24"/>
        <v>236.2</v>
      </c>
      <c r="L799">
        <f t="shared" si="25"/>
        <v>236.8</v>
      </c>
      <c r="M799" t="s">
        <v>27</v>
      </c>
      <c r="O799" s="7">
        <v>2021</v>
      </c>
    </row>
    <row r="800" spans="1:20" x14ac:dyDescent="0.15">
      <c r="A800" t="s">
        <v>265</v>
      </c>
      <c r="B800" t="s">
        <v>266</v>
      </c>
      <c r="D800">
        <v>4</v>
      </c>
      <c r="E800" t="s">
        <v>74</v>
      </c>
      <c r="G800">
        <v>237.72</v>
      </c>
      <c r="H800">
        <v>238.73</v>
      </c>
      <c r="I800" t="s">
        <v>90</v>
      </c>
      <c r="K800">
        <f t="shared" si="24"/>
        <v>237.72</v>
      </c>
      <c r="L800">
        <f t="shared" si="25"/>
        <v>238.73</v>
      </c>
      <c r="M800" t="s">
        <v>286</v>
      </c>
      <c r="O800" s="7">
        <v>44351</v>
      </c>
    </row>
    <row r="801" spans="1:15" x14ac:dyDescent="0.15">
      <c r="A801" t="s">
        <v>265</v>
      </c>
      <c r="B801" t="s">
        <v>266</v>
      </c>
      <c r="D801">
        <v>4</v>
      </c>
      <c r="E801" t="s">
        <v>74</v>
      </c>
      <c r="G801">
        <v>238.5</v>
      </c>
      <c r="H801">
        <v>238.82</v>
      </c>
      <c r="I801" t="s">
        <v>92</v>
      </c>
      <c r="K801">
        <f t="shared" si="24"/>
        <v>238.5</v>
      </c>
      <c r="L801">
        <f t="shared" si="25"/>
        <v>238.82</v>
      </c>
      <c r="M801" t="s">
        <v>286</v>
      </c>
      <c r="O801" s="7">
        <v>44351</v>
      </c>
    </row>
    <row r="802" spans="1:15" x14ac:dyDescent="0.15">
      <c r="A802" t="s">
        <v>265</v>
      </c>
      <c r="B802" t="s">
        <v>266</v>
      </c>
      <c r="D802">
        <v>4</v>
      </c>
      <c r="E802" t="s">
        <v>75</v>
      </c>
      <c r="G802">
        <v>237</v>
      </c>
      <c r="H802">
        <v>237.1</v>
      </c>
      <c r="I802" t="s">
        <v>96</v>
      </c>
      <c r="K802">
        <f t="shared" si="24"/>
        <v>237</v>
      </c>
      <c r="L802">
        <f t="shared" si="25"/>
        <v>237.1</v>
      </c>
      <c r="M802" t="s">
        <v>286</v>
      </c>
      <c r="O802" s="7">
        <v>44397</v>
      </c>
    </row>
    <row r="803" spans="1:15" x14ac:dyDescent="0.15">
      <c r="A803" t="s">
        <v>265</v>
      </c>
      <c r="B803" t="s">
        <v>266</v>
      </c>
      <c r="D803">
        <v>4</v>
      </c>
      <c r="E803" t="s">
        <v>75</v>
      </c>
      <c r="G803">
        <v>237.1</v>
      </c>
      <c r="H803">
        <v>237.1</v>
      </c>
      <c r="I803" t="s">
        <v>97</v>
      </c>
      <c r="K803">
        <f t="shared" si="24"/>
        <v>237.1</v>
      </c>
      <c r="L803">
        <f t="shared" si="25"/>
        <v>237.1</v>
      </c>
      <c r="O803" s="7">
        <v>44439</v>
      </c>
    </row>
    <row r="804" spans="1:15" x14ac:dyDescent="0.15">
      <c r="A804" t="s">
        <v>265</v>
      </c>
      <c r="B804" t="s">
        <v>266</v>
      </c>
      <c r="D804">
        <v>4</v>
      </c>
      <c r="E804" t="s">
        <v>75</v>
      </c>
      <c r="G804">
        <v>237.3</v>
      </c>
      <c r="H804">
        <v>237.4</v>
      </c>
      <c r="I804" t="s">
        <v>96</v>
      </c>
      <c r="K804">
        <f t="shared" si="24"/>
        <v>237.3</v>
      </c>
      <c r="L804">
        <f t="shared" si="25"/>
        <v>237.4</v>
      </c>
      <c r="M804" t="s">
        <v>286</v>
      </c>
      <c r="O804" s="7">
        <v>44397</v>
      </c>
    </row>
    <row r="805" spans="1:15" x14ac:dyDescent="0.15">
      <c r="A805" t="s">
        <v>265</v>
      </c>
      <c r="B805" t="s">
        <v>266</v>
      </c>
      <c r="D805">
        <v>4</v>
      </c>
      <c r="E805" t="s">
        <v>75</v>
      </c>
      <c r="G805">
        <v>237.9</v>
      </c>
      <c r="H805">
        <v>238.4</v>
      </c>
      <c r="I805" t="s">
        <v>96</v>
      </c>
      <c r="K805">
        <f t="shared" si="24"/>
        <v>237.9</v>
      </c>
      <c r="L805">
        <f t="shared" si="25"/>
        <v>238.4</v>
      </c>
      <c r="M805" t="s">
        <v>286</v>
      </c>
      <c r="O805" s="7">
        <v>44397</v>
      </c>
    </row>
    <row r="806" spans="1:15" x14ac:dyDescent="0.15">
      <c r="A806" t="s">
        <v>265</v>
      </c>
      <c r="B806" t="s">
        <v>266</v>
      </c>
      <c r="D806">
        <v>4</v>
      </c>
      <c r="E806" t="s">
        <v>75</v>
      </c>
      <c r="G806">
        <v>238.9</v>
      </c>
      <c r="H806">
        <v>239.3</v>
      </c>
      <c r="I806" t="s">
        <v>96</v>
      </c>
      <c r="K806">
        <f t="shared" si="24"/>
        <v>238.9</v>
      </c>
      <c r="L806">
        <f t="shared" si="25"/>
        <v>239.3</v>
      </c>
      <c r="M806" t="s">
        <v>286</v>
      </c>
      <c r="O806" s="7">
        <v>44398</v>
      </c>
    </row>
    <row r="807" spans="1:15" x14ac:dyDescent="0.15">
      <c r="A807" t="s">
        <v>265</v>
      </c>
      <c r="B807" t="s">
        <v>266</v>
      </c>
      <c r="D807">
        <v>4</v>
      </c>
      <c r="E807" t="s">
        <v>75</v>
      </c>
      <c r="G807">
        <v>239.5</v>
      </c>
      <c r="H807">
        <v>239.7</v>
      </c>
      <c r="I807" t="s">
        <v>96</v>
      </c>
      <c r="K807">
        <f t="shared" si="24"/>
        <v>239.5</v>
      </c>
      <c r="L807">
        <f t="shared" si="25"/>
        <v>239.7</v>
      </c>
      <c r="M807" t="s">
        <v>286</v>
      </c>
      <c r="O807" s="7">
        <v>44398</v>
      </c>
    </row>
    <row r="808" spans="1:15" x14ac:dyDescent="0.15">
      <c r="A808" s="12" t="s">
        <v>267</v>
      </c>
      <c r="B808" t="s">
        <v>266</v>
      </c>
      <c r="D808">
        <v>4</v>
      </c>
      <c r="E808" t="s">
        <v>74</v>
      </c>
      <c r="G808">
        <v>242.9</v>
      </c>
      <c r="H808" t="s">
        <v>273</v>
      </c>
      <c r="J808" t="s">
        <v>23</v>
      </c>
      <c r="K808">
        <f t="shared" si="24"/>
        <v>242.9</v>
      </c>
      <c r="L808">
        <f t="shared" si="25"/>
        <v>242.9</v>
      </c>
      <c r="M808" t="s">
        <v>27</v>
      </c>
      <c r="O808" s="7">
        <v>2021</v>
      </c>
    </row>
    <row r="809" spans="1:15" x14ac:dyDescent="0.15">
      <c r="A809" s="12" t="s">
        <v>267</v>
      </c>
      <c r="B809" t="s">
        <v>266</v>
      </c>
      <c r="D809">
        <v>4</v>
      </c>
      <c r="E809" t="s">
        <v>74</v>
      </c>
      <c r="G809">
        <v>244.2</v>
      </c>
      <c r="H809">
        <v>244.7</v>
      </c>
      <c r="J809" t="s">
        <v>23</v>
      </c>
      <c r="K809">
        <f t="shared" si="24"/>
        <v>244.2</v>
      </c>
      <c r="L809">
        <f t="shared" si="25"/>
        <v>244.7</v>
      </c>
      <c r="M809" t="s">
        <v>27</v>
      </c>
      <c r="O809" s="7">
        <v>2021</v>
      </c>
    </row>
    <row r="810" spans="1:15" x14ac:dyDescent="0.15">
      <c r="A810" s="12" t="s">
        <v>267</v>
      </c>
      <c r="B810" t="s">
        <v>266</v>
      </c>
      <c r="D810">
        <v>4</v>
      </c>
      <c r="E810" t="s">
        <v>74</v>
      </c>
      <c r="G810">
        <v>244.7</v>
      </c>
      <c r="H810">
        <v>245.2</v>
      </c>
      <c r="J810" t="s">
        <v>23</v>
      </c>
      <c r="K810">
        <f t="shared" si="24"/>
        <v>244.7</v>
      </c>
      <c r="L810">
        <f t="shared" si="25"/>
        <v>245.2</v>
      </c>
      <c r="M810" t="s">
        <v>143</v>
      </c>
      <c r="O810" s="7">
        <v>2021</v>
      </c>
    </row>
    <row r="811" spans="1:15" x14ac:dyDescent="0.15">
      <c r="A811" s="12" t="s">
        <v>267</v>
      </c>
      <c r="B811" t="s">
        <v>266</v>
      </c>
      <c r="D811">
        <v>4</v>
      </c>
      <c r="E811" t="s">
        <v>74</v>
      </c>
      <c r="G811">
        <v>245.2</v>
      </c>
      <c r="H811">
        <v>246.8</v>
      </c>
      <c r="J811" t="s">
        <v>23</v>
      </c>
      <c r="K811">
        <f t="shared" si="24"/>
        <v>245.2</v>
      </c>
      <c r="L811">
        <f t="shared" si="25"/>
        <v>246.8</v>
      </c>
      <c r="M811" t="s">
        <v>27</v>
      </c>
      <c r="O811" s="7">
        <v>2021</v>
      </c>
    </row>
    <row r="812" spans="1:15" x14ac:dyDescent="0.15">
      <c r="A812" s="12" t="s">
        <v>267</v>
      </c>
      <c r="B812" t="s">
        <v>266</v>
      </c>
      <c r="D812">
        <v>4</v>
      </c>
      <c r="E812" t="s">
        <v>74</v>
      </c>
      <c r="G812">
        <v>246.8</v>
      </c>
      <c r="H812">
        <v>247.8</v>
      </c>
      <c r="J812" t="s">
        <v>23</v>
      </c>
      <c r="K812">
        <f t="shared" si="24"/>
        <v>246.8</v>
      </c>
      <c r="L812">
        <f t="shared" si="25"/>
        <v>247.8</v>
      </c>
      <c r="M812" t="s">
        <v>143</v>
      </c>
      <c r="O812" s="7">
        <v>2021</v>
      </c>
    </row>
    <row r="813" spans="1:15" x14ac:dyDescent="0.15">
      <c r="A813" s="12" t="s">
        <v>267</v>
      </c>
      <c r="B813" t="s">
        <v>266</v>
      </c>
      <c r="D813">
        <v>4</v>
      </c>
      <c r="E813" t="s">
        <v>74</v>
      </c>
      <c r="G813">
        <v>247.8</v>
      </c>
      <c r="H813">
        <v>248.4</v>
      </c>
      <c r="J813" t="s">
        <v>23</v>
      </c>
      <c r="K813">
        <f t="shared" si="24"/>
        <v>247.8</v>
      </c>
      <c r="L813">
        <f t="shared" si="25"/>
        <v>248.4</v>
      </c>
      <c r="M813" t="s">
        <v>27</v>
      </c>
      <c r="O813" s="7">
        <v>2021</v>
      </c>
    </row>
    <row r="814" spans="1:15" x14ac:dyDescent="0.15">
      <c r="A814" s="12" t="s">
        <v>267</v>
      </c>
      <c r="B814" t="s">
        <v>266</v>
      </c>
      <c r="D814">
        <v>4</v>
      </c>
      <c r="E814" t="s">
        <v>74</v>
      </c>
      <c r="G814">
        <v>248.4</v>
      </c>
      <c r="H814">
        <v>249.4</v>
      </c>
      <c r="J814" t="s">
        <v>23</v>
      </c>
      <c r="K814">
        <f t="shared" si="24"/>
        <v>248.4</v>
      </c>
      <c r="L814">
        <f t="shared" si="25"/>
        <v>249.4</v>
      </c>
      <c r="M814" t="s">
        <v>143</v>
      </c>
      <c r="O814" s="7">
        <v>2021</v>
      </c>
    </row>
    <row r="815" spans="1:15" x14ac:dyDescent="0.15">
      <c r="A815" s="12" t="s">
        <v>267</v>
      </c>
      <c r="B815" t="s">
        <v>266</v>
      </c>
      <c r="D815">
        <v>4</v>
      </c>
      <c r="E815" t="s">
        <v>74</v>
      </c>
      <c r="G815">
        <v>249.4</v>
      </c>
      <c r="H815">
        <v>250.2</v>
      </c>
      <c r="J815" t="s">
        <v>23</v>
      </c>
      <c r="K815">
        <f t="shared" si="24"/>
        <v>249.4</v>
      </c>
      <c r="L815">
        <f t="shared" si="25"/>
        <v>250.2</v>
      </c>
      <c r="M815" t="s">
        <v>27</v>
      </c>
      <c r="O815" s="7">
        <v>2021</v>
      </c>
    </row>
    <row r="816" spans="1:15" x14ac:dyDescent="0.15">
      <c r="A816" s="12" t="s">
        <v>267</v>
      </c>
      <c r="B816" t="s">
        <v>266</v>
      </c>
      <c r="D816">
        <v>4</v>
      </c>
      <c r="E816" t="s">
        <v>75</v>
      </c>
      <c r="G816">
        <v>233.5</v>
      </c>
      <c r="H816">
        <v>234.2</v>
      </c>
      <c r="J816" t="s">
        <v>23</v>
      </c>
      <c r="K816">
        <f t="shared" si="24"/>
        <v>233.5</v>
      </c>
      <c r="L816">
        <f t="shared" si="25"/>
        <v>234.2</v>
      </c>
      <c r="M816" t="s">
        <v>27</v>
      </c>
      <c r="O816" s="7">
        <v>2021</v>
      </c>
    </row>
    <row r="817" spans="1:15" x14ac:dyDescent="0.15">
      <c r="A817" s="12" t="s">
        <v>267</v>
      </c>
      <c r="B817" t="s">
        <v>266</v>
      </c>
      <c r="D817">
        <v>4</v>
      </c>
      <c r="E817" t="s">
        <v>75</v>
      </c>
      <c r="G817">
        <v>235.9</v>
      </c>
      <c r="H817">
        <v>236.4</v>
      </c>
      <c r="J817" t="s">
        <v>23</v>
      </c>
      <c r="K817">
        <f t="shared" si="24"/>
        <v>235.9</v>
      </c>
      <c r="L817">
        <f t="shared" si="25"/>
        <v>236.4</v>
      </c>
      <c r="M817" t="s">
        <v>285</v>
      </c>
      <c r="O817" s="7">
        <v>2021</v>
      </c>
    </row>
    <row r="818" spans="1:15" x14ac:dyDescent="0.15">
      <c r="A818" s="12" t="s">
        <v>267</v>
      </c>
      <c r="B818" t="s">
        <v>266</v>
      </c>
      <c r="D818">
        <v>4</v>
      </c>
      <c r="E818" t="s">
        <v>75</v>
      </c>
      <c r="G818">
        <v>236.4</v>
      </c>
      <c r="H818">
        <v>236.8</v>
      </c>
      <c r="J818" t="s">
        <v>23</v>
      </c>
      <c r="K818">
        <f t="shared" si="24"/>
        <v>236.4</v>
      </c>
      <c r="L818">
        <f t="shared" si="25"/>
        <v>236.8</v>
      </c>
      <c r="M818" t="s">
        <v>27</v>
      </c>
      <c r="O818" s="7">
        <v>2021</v>
      </c>
    </row>
    <row r="819" spans="1:15" x14ac:dyDescent="0.15">
      <c r="A819" t="s">
        <v>265</v>
      </c>
      <c r="B819" t="s">
        <v>266</v>
      </c>
      <c r="D819">
        <v>4</v>
      </c>
      <c r="E819" t="s">
        <v>75</v>
      </c>
      <c r="G819">
        <v>240</v>
      </c>
      <c r="H819">
        <v>240.2</v>
      </c>
      <c r="I819" t="s">
        <v>96</v>
      </c>
      <c r="K819">
        <f t="shared" si="24"/>
        <v>240</v>
      </c>
      <c r="L819">
        <f t="shared" si="25"/>
        <v>240.2</v>
      </c>
      <c r="M819" t="s">
        <v>286</v>
      </c>
      <c r="O819" s="7">
        <v>44398</v>
      </c>
    </row>
    <row r="820" spans="1:15" x14ac:dyDescent="0.15">
      <c r="A820" s="12" t="s">
        <v>267</v>
      </c>
      <c r="B820" t="s">
        <v>266</v>
      </c>
      <c r="D820">
        <v>4</v>
      </c>
      <c r="E820" t="s">
        <v>75</v>
      </c>
      <c r="G820">
        <v>242.3</v>
      </c>
      <c r="H820" t="s">
        <v>274</v>
      </c>
      <c r="J820" t="s">
        <v>23</v>
      </c>
      <c r="K820">
        <f t="shared" si="24"/>
        <v>242.3</v>
      </c>
      <c r="L820">
        <f t="shared" si="25"/>
        <v>242.3</v>
      </c>
      <c r="M820" t="s">
        <v>285</v>
      </c>
      <c r="O820" s="7">
        <v>2021</v>
      </c>
    </row>
    <row r="821" spans="1:15" x14ac:dyDescent="0.15">
      <c r="A821" s="12" t="s">
        <v>267</v>
      </c>
      <c r="B821" t="s">
        <v>266</v>
      </c>
      <c r="D821">
        <v>4</v>
      </c>
      <c r="E821" t="s">
        <v>76</v>
      </c>
      <c r="F821" t="s">
        <v>82</v>
      </c>
      <c r="G821">
        <v>236.4</v>
      </c>
      <c r="H821">
        <v>236.6</v>
      </c>
      <c r="J821" t="s">
        <v>23</v>
      </c>
      <c r="K821">
        <f t="shared" si="24"/>
        <v>236.4</v>
      </c>
      <c r="L821">
        <f t="shared" si="25"/>
        <v>236.6</v>
      </c>
      <c r="M821" t="s">
        <v>100</v>
      </c>
      <c r="O821" s="7">
        <v>2021</v>
      </c>
    </row>
    <row r="822" spans="1:15" x14ac:dyDescent="0.15">
      <c r="A822" s="12" t="s">
        <v>267</v>
      </c>
      <c r="B822" t="s">
        <v>266</v>
      </c>
      <c r="D822">
        <v>4</v>
      </c>
      <c r="E822" t="s">
        <v>76</v>
      </c>
      <c r="F822" t="s">
        <v>88</v>
      </c>
      <c r="G822">
        <v>236.4</v>
      </c>
      <c r="H822">
        <v>236.6</v>
      </c>
      <c r="J822" t="s">
        <v>23</v>
      </c>
      <c r="K822">
        <f t="shared" si="24"/>
        <v>236.4</v>
      </c>
      <c r="L822">
        <f t="shared" si="25"/>
        <v>236.6</v>
      </c>
      <c r="M822" t="s">
        <v>100</v>
      </c>
      <c r="O822" s="7">
        <v>2021</v>
      </c>
    </row>
    <row r="823" spans="1:15" x14ac:dyDescent="0.15">
      <c r="A823" s="12" t="s">
        <v>267</v>
      </c>
      <c r="B823" t="s">
        <v>266</v>
      </c>
      <c r="D823">
        <v>4</v>
      </c>
      <c r="E823" t="s">
        <v>76</v>
      </c>
      <c r="F823" t="s">
        <v>80</v>
      </c>
      <c r="G823">
        <v>235.6</v>
      </c>
      <c r="H823">
        <v>235.7</v>
      </c>
      <c r="J823" t="s">
        <v>23</v>
      </c>
      <c r="K823">
        <f t="shared" si="24"/>
        <v>235.6</v>
      </c>
      <c r="L823">
        <f t="shared" si="25"/>
        <v>235.7</v>
      </c>
      <c r="M823" t="s">
        <v>100</v>
      </c>
      <c r="O823" s="7">
        <v>2021</v>
      </c>
    </row>
    <row r="824" spans="1:15" x14ac:dyDescent="0.15">
      <c r="A824" s="12" t="s">
        <v>267</v>
      </c>
      <c r="B824" t="s">
        <v>266</v>
      </c>
      <c r="D824">
        <v>4</v>
      </c>
      <c r="E824" t="s">
        <v>76</v>
      </c>
      <c r="F824" t="s">
        <v>77</v>
      </c>
      <c r="G824">
        <v>235.4</v>
      </c>
      <c r="H824">
        <v>235.6</v>
      </c>
      <c r="J824" t="s">
        <v>23</v>
      </c>
      <c r="K824">
        <f t="shared" si="24"/>
        <v>235.4</v>
      </c>
      <c r="L824">
        <f t="shared" si="25"/>
        <v>235.6</v>
      </c>
      <c r="M824" t="s">
        <v>100</v>
      </c>
      <c r="O824" s="7">
        <v>2021</v>
      </c>
    </row>
    <row r="825" spans="1:15" x14ac:dyDescent="0.15">
      <c r="A825" t="s">
        <v>265</v>
      </c>
      <c r="B825" t="s">
        <v>266</v>
      </c>
      <c r="D825">
        <v>16</v>
      </c>
      <c r="E825" t="s">
        <v>75</v>
      </c>
      <c r="G825">
        <v>68.930000000000007</v>
      </c>
      <c r="H825">
        <v>68.930000000000007</v>
      </c>
      <c r="I825" t="s">
        <v>97</v>
      </c>
      <c r="K825">
        <f t="shared" si="24"/>
        <v>68.930000000000007</v>
      </c>
      <c r="L825">
        <f t="shared" si="25"/>
        <v>68.930000000000007</v>
      </c>
      <c r="O825" s="7">
        <v>44439</v>
      </c>
    </row>
    <row r="826" spans="1:15" x14ac:dyDescent="0.15">
      <c r="A826" t="s">
        <v>265</v>
      </c>
      <c r="B826" t="s">
        <v>266</v>
      </c>
      <c r="D826">
        <v>16</v>
      </c>
      <c r="E826" t="s">
        <v>75</v>
      </c>
      <c r="G826">
        <v>70.3</v>
      </c>
      <c r="H826">
        <v>70.400000000000006</v>
      </c>
      <c r="I826" t="s">
        <v>94</v>
      </c>
      <c r="K826">
        <f t="shared" si="24"/>
        <v>70.3</v>
      </c>
      <c r="L826">
        <f t="shared" si="25"/>
        <v>70.400000000000006</v>
      </c>
      <c r="M826" t="s">
        <v>25</v>
      </c>
      <c r="O826" s="7">
        <v>44285</v>
      </c>
    </row>
    <row r="827" spans="1:15" x14ac:dyDescent="0.15">
      <c r="A827" t="s">
        <v>265</v>
      </c>
      <c r="B827" t="s">
        <v>266</v>
      </c>
      <c r="D827">
        <v>16</v>
      </c>
      <c r="E827" t="s">
        <v>75</v>
      </c>
      <c r="G827">
        <v>70.400000000000006</v>
      </c>
      <c r="H827">
        <v>70.7</v>
      </c>
      <c r="I827" t="s">
        <v>94</v>
      </c>
      <c r="K827">
        <f t="shared" si="24"/>
        <v>70.400000000000006</v>
      </c>
      <c r="L827">
        <f t="shared" si="25"/>
        <v>70.7</v>
      </c>
      <c r="M827" t="s">
        <v>25</v>
      </c>
      <c r="O827" s="7">
        <v>44285</v>
      </c>
    </row>
    <row r="828" spans="1:15" x14ac:dyDescent="0.15">
      <c r="A828" s="12" t="s">
        <v>267</v>
      </c>
      <c r="B828" t="s">
        <v>266</v>
      </c>
      <c r="D828">
        <v>16</v>
      </c>
      <c r="E828" t="s">
        <v>76</v>
      </c>
      <c r="F828" t="s">
        <v>269</v>
      </c>
      <c r="G828">
        <v>46.6</v>
      </c>
      <c r="H828">
        <v>46.95</v>
      </c>
      <c r="I828" t="s">
        <v>94</v>
      </c>
      <c r="K828">
        <f t="shared" si="24"/>
        <v>46.6</v>
      </c>
      <c r="L828">
        <f t="shared" si="25"/>
        <v>46.95</v>
      </c>
      <c r="M828" t="s">
        <v>25</v>
      </c>
      <c r="O828" s="7">
        <v>44251</v>
      </c>
    </row>
    <row r="829" spans="1:15" x14ac:dyDescent="0.15">
      <c r="A829" s="12" t="s">
        <v>267</v>
      </c>
      <c r="B829" t="s">
        <v>266</v>
      </c>
      <c r="D829">
        <v>16</v>
      </c>
      <c r="E829" t="s">
        <v>76</v>
      </c>
      <c r="F829" t="s">
        <v>269</v>
      </c>
      <c r="G829">
        <v>46.95</v>
      </c>
      <c r="H829">
        <v>47.1</v>
      </c>
      <c r="I829" t="s">
        <v>96</v>
      </c>
      <c r="K829">
        <f t="shared" si="24"/>
        <v>46.95</v>
      </c>
      <c r="L829">
        <f t="shared" si="25"/>
        <v>47.1</v>
      </c>
      <c r="M829" t="s">
        <v>25</v>
      </c>
      <c r="O829" s="7">
        <v>44251</v>
      </c>
    </row>
    <row r="830" spans="1:15" x14ac:dyDescent="0.15">
      <c r="A830" s="12" t="s">
        <v>267</v>
      </c>
      <c r="B830" t="s">
        <v>266</v>
      </c>
      <c r="D830">
        <v>16</v>
      </c>
      <c r="E830" t="s">
        <v>76</v>
      </c>
      <c r="F830" t="s">
        <v>269</v>
      </c>
      <c r="G830">
        <v>46.95</v>
      </c>
      <c r="H830">
        <v>47.1</v>
      </c>
      <c r="I830" t="s">
        <v>94</v>
      </c>
      <c r="K830">
        <f t="shared" si="24"/>
        <v>46.95</v>
      </c>
      <c r="L830">
        <f t="shared" si="25"/>
        <v>47.1</v>
      </c>
      <c r="M830" t="s">
        <v>25</v>
      </c>
      <c r="O830" s="7">
        <v>44251</v>
      </c>
    </row>
    <row r="831" spans="1:15" x14ac:dyDescent="0.15">
      <c r="A831" s="12" t="s">
        <v>267</v>
      </c>
      <c r="B831" t="s">
        <v>266</v>
      </c>
      <c r="D831">
        <v>16</v>
      </c>
      <c r="E831" t="s">
        <v>76</v>
      </c>
      <c r="F831" t="s">
        <v>269</v>
      </c>
      <c r="G831">
        <v>47</v>
      </c>
      <c r="H831">
        <v>47.075000000000003</v>
      </c>
      <c r="I831" t="s">
        <v>94</v>
      </c>
      <c r="K831">
        <f t="shared" si="24"/>
        <v>47</v>
      </c>
      <c r="L831">
        <f t="shared" si="25"/>
        <v>47.075000000000003</v>
      </c>
      <c r="M831" t="s">
        <v>25</v>
      </c>
      <c r="O831" s="7">
        <v>44251</v>
      </c>
    </row>
    <row r="832" spans="1:15" x14ac:dyDescent="0.15">
      <c r="A832" t="s">
        <v>265</v>
      </c>
      <c r="B832" t="s">
        <v>266</v>
      </c>
      <c r="D832">
        <v>16</v>
      </c>
      <c r="E832" t="s">
        <v>76</v>
      </c>
      <c r="F832" t="s">
        <v>269</v>
      </c>
      <c r="G832">
        <v>47.1</v>
      </c>
      <c r="H832">
        <v>47.2</v>
      </c>
      <c r="I832" t="s">
        <v>91</v>
      </c>
      <c r="K832">
        <f t="shared" si="24"/>
        <v>47.1</v>
      </c>
      <c r="L832">
        <f t="shared" si="25"/>
        <v>47.2</v>
      </c>
      <c r="M832" t="s">
        <v>25</v>
      </c>
      <c r="O832" s="7">
        <v>44342</v>
      </c>
    </row>
    <row r="833" spans="1:15" x14ac:dyDescent="0.15">
      <c r="A833" t="s">
        <v>265</v>
      </c>
      <c r="B833" t="s">
        <v>266</v>
      </c>
      <c r="D833">
        <v>16</v>
      </c>
      <c r="E833" t="s">
        <v>76</v>
      </c>
      <c r="F833" t="s">
        <v>167</v>
      </c>
      <c r="G833">
        <v>53.8</v>
      </c>
      <c r="H833">
        <v>53.9</v>
      </c>
      <c r="K833">
        <f t="shared" ref="K833:K896" si="26">MIN(G833:H833)</f>
        <v>53.8</v>
      </c>
      <c r="L833">
        <f t="shared" ref="L833:L896" si="27">MAX(G833:H833)</f>
        <v>53.9</v>
      </c>
      <c r="M833" t="s">
        <v>25</v>
      </c>
      <c r="O833" s="7">
        <v>44445</v>
      </c>
    </row>
    <row r="834" spans="1:15" x14ac:dyDescent="0.15">
      <c r="A834" t="s">
        <v>265</v>
      </c>
      <c r="B834" t="s">
        <v>266</v>
      </c>
      <c r="D834">
        <v>16</v>
      </c>
      <c r="E834" t="s">
        <v>76</v>
      </c>
      <c r="F834" t="s">
        <v>270</v>
      </c>
      <c r="G834">
        <v>46.55</v>
      </c>
      <c r="H834">
        <v>46.71</v>
      </c>
      <c r="I834" t="s">
        <v>91</v>
      </c>
      <c r="K834">
        <f t="shared" si="26"/>
        <v>46.55</v>
      </c>
      <c r="L834">
        <f t="shared" si="27"/>
        <v>46.71</v>
      </c>
      <c r="M834" t="s">
        <v>100</v>
      </c>
      <c r="O834" s="7">
        <v>44342</v>
      </c>
    </row>
    <row r="835" spans="1:15" x14ac:dyDescent="0.15">
      <c r="A835" t="s">
        <v>265</v>
      </c>
      <c r="B835" t="s">
        <v>266</v>
      </c>
      <c r="D835">
        <v>17</v>
      </c>
      <c r="E835" t="s">
        <v>74</v>
      </c>
      <c r="G835">
        <v>7.7</v>
      </c>
      <c r="H835">
        <v>7.9</v>
      </c>
      <c r="I835" t="s">
        <v>92</v>
      </c>
      <c r="K835">
        <f t="shared" si="26"/>
        <v>7.7</v>
      </c>
      <c r="L835">
        <f t="shared" si="27"/>
        <v>7.9</v>
      </c>
      <c r="M835" t="s">
        <v>25</v>
      </c>
      <c r="O835" s="7">
        <v>44342</v>
      </c>
    </row>
    <row r="836" spans="1:15" x14ac:dyDescent="0.15">
      <c r="A836" t="s">
        <v>265</v>
      </c>
      <c r="B836" t="s">
        <v>266</v>
      </c>
      <c r="D836">
        <v>17</v>
      </c>
      <c r="E836" t="s">
        <v>74</v>
      </c>
      <c r="G836">
        <v>7.9</v>
      </c>
      <c r="H836">
        <v>8.3000000000000007</v>
      </c>
      <c r="I836" t="s">
        <v>92</v>
      </c>
      <c r="K836">
        <f t="shared" si="26"/>
        <v>7.9</v>
      </c>
      <c r="L836">
        <f t="shared" si="27"/>
        <v>8.3000000000000007</v>
      </c>
      <c r="M836" t="s">
        <v>143</v>
      </c>
      <c r="O836" s="7">
        <v>44342</v>
      </c>
    </row>
    <row r="837" spans="1:15" x14ac:dyDescent="0.15">
      <c r="A837" t="s">
        <v>265</v>
      </c>
      <c r="B837" t="s">
        <v>266</v>
      </c>
      <c r="D837">
        <v>17</v>
      </c>
      <c r="E837" t="s">
        <v>74</v>
      </c>
      <c r="G837">
        <v>8.3000000000000007</v>
      </c>
      <c r="H837">
        <v>8.4</v>
      </c>
      <c r="I837" t="s">
        <v>92</v>
      </c>
      <c r="K837">
        <f t="shared" si="26"/>
        <v>8.3000000000000007</v>
      </c>
      <c r="L837">
        <f t="shared" si="27"/>
        <v>8.4</v>
      </c>
      <c r="M837" t="s">
        <v>143</v>
      </c>
      <c r="O837" s="7">
        <v>44342</v>
      </c>
    </row>
    <row r="838" spans="1:15" x14ac:dyDescent="0.15">
      <c r="A838" t="s">
        <v>265</v>
      </c>
      <c r="B838" t="s">
        <v>266</v>
      </c>
      <c r="D838">
        <v>17</v>
      </c>
      <c r="E838" t="s">
        <v>74</v>
      </c>
      <c r="G838">
        <v>29.9</v>
      </c>
      <c r="H838">
        <v>30.1</v>
      </c>
      <c r="I838" t="s">
        <v>92</v>
      </c>
      <c r="K838">
        <f t="shared" si="26"/>
        <v>29.9</v>
      </c>
      <c r="L838">
        <f t="shared" si="27"/>
        <v>30.1</v>
      </c>
      <c r="M838" t="s">
        <v>25</v>
      </c>
      <c r="O838" s="7">
        <v>44321</v>
      </c>
    </row>
    <row r="839" spans="1:15" x14ac:dyDescent="0.15">
      <c r="A839" t="s">
        <v>265</v>
      </c>
      <c r="B839" t="s">
        <v>266</v>
      </c>
      <c r="D839">
        <v>17</v>
      </c>
      <c r="E839" t="s">
        <v>74</v>
      </c>
      <c r="G839">
        <v>30.1</v>
      </c>
      <c r="H839">
        <v>30.2</v>
      </c>
      <c r="I839" t="s">
        <v>92</v>
      </c>
      <c r="K839">
        <f t="shared" si="26"/>
        <v>30.1</v>
      </c>
      <c r="L839">
        <f t="shared" si="27"/>
        <v>30.2</v>
      </c>
      <c r="M839" t="s">
        <v>25</v>
      </c>
      <c r="O839" s="7">
        <v>44321</v>
      </c>
    </row>
    <row r="840" spans="1:15" x14ac:dyDescent="0.15">
      <c r="A840" t="s">
        <v>265</v>
      </c>
      <c r="B840" t="s">
        <v>266</v>
      </c>
      <c r="D840">
        <v>17</v>
      </c>
      <c r="E840" t="s">
        <v>74</v>
      </c>
      <c r="G840">
        <v>30.3</v>
      </c>
      <c r="H840">
        <v>30.43</v>
      </c>
      <c r="I840" t="s">
        <v>92</v>
      </c>
      <c r="K840">
        <f t="shared" si="26"/>
        <v>30.3</v>
      </c>
      <c r="L840">
        <f t="shared" si="27"/>
        <v>30.43</v>
      </c>
      <c r="M840" t="s">
        <v>25</v>
      </c>
      <c r="O840" s="7">
        <v>44321</v>
      </c>
    </row>
    <row r="841" spans="1:15" x14ac:dyDescent="0.15">
      <c r="A841" t="s">
        <v>265</v>
      </c>
      <c r="B841" t="s">
        <v>266</v>
      </c>
      <c r="D841">
        <v>17</v>
      </c>
      <c r="E841" t="s">
        <v>268</v>
      </c>
      <c r="G841">
        <v>7.7</v>
      </c>
      <c r="H841">
        <v>7.9</v>
      </c>
      <c r="I841" t="s">
        <v>91</v>
      </c>
      <c r="K841">
        <f t="shared" si="26"/>
        <v>7.7</v>
      </c>
      <c r="L841">
        <f t="shared" si="27"/>
        <v>7.9</v>
      </c>
      <c r="M841" t="s">
        <v>143</v>
      </c>
      <c r="O841" s="7">
        <v>44342</v>
      </c>
    </row>
    <row r="842" spans="1:15" x14ac:dyDescent="0.15">
      <c r="A842" s="12" t="s">
        <v>267</v>
      </c>
      <c r="B842" t="s">
        <v>266</v>
      </c>
      <c r="D842">
        <v>17</v>
      </c>
      <c r="E842" t="s">
        <v>75</v>
      </c>
      <c r="G842">
        <v>2.125</v>
      </c>
      <c r="H842">
        <v>2.4249999999999998</v>
      </c>
      <c r="I842" t="s">
        <v>94</v>
      </c>
      <c r="K842">
        <f t="shared" si="26"/>
        <v>2.125</v>
      </c>
      <c r="L842">
        <f t="shared" si="27"/>
        <v>2.4249999999999998</v>
      </c>
      <c r="M842" t="s">
        <v>25</v>
      </c>
      <c r="O842" s="7">
        <v>44251</v>
      </c>
    </row>
    <row r="843" spans="1:15" x14ac:dyDescent="0.15">
      <c r="A843" t="s">
        <v>265</v>
      </c>
      <c r="B843" t="s">
        <v>266</v>
      </c>
      <c r="D843">
        <v>17</v>
      </c>
      <c r="E843" t="s">
        <v>75</v>
      </c>
      <c r="G843">
        <v>13.275</v>
      </c>
      <c r="H843">
        <v>13.4</v>
      </c>
      <c r="I843" t="s">
        <v>96</v>
      </c>
      <c r="K843">
        <f t="shared" si="26"/>
        <v>13.275</v>
      </c>
      <c r="L843">
        <f t="shared" si="27"/>
        <v>13.4</v>
      </c>
      <c r="M843" t="s">
        <v>25</v>
      </c>
      <c r="O843" s="7">
        <v>44321</v>
      </c>
    </row>
    <row r="844" spans="1:15" x14ac:dyDescent="0.15">
      <c r="A844" t="s">
        <v>265</v>
      </c>
      <c r="B844" t="s">
        <v>266</v>
      </c>
      <c r="D844">
        <v>17</v>
      </c>
      <c r="E844" t="s">
        <v>75</v>
      </c>
      <c r="G844">
        <v>22.24</v>
      </c>
      <c r="H844">
        <v>22.24</v>
      </c>
      <c r="I844" t="s">
        <v>97</v>
      </c>
      <c r="K844">
        <f t="shared" si="26"/>
        <v>22.24</v>
      </c>
      <c r="L844">
        <f t="shared" si="27"/>
        <v>22.24</v>
      </c>
      <c r="M844" t="s">
        <v>100</v>
      </c>
      <c r="O844" s="7">
        <v>44355</v>
      </c>
    </row>
    <row r="845" spans="1:15" x14ac:dyDescent="0.15">
      <c r="A845" t="s">
        <v>265</v>
      </c>
      <c r="B845" t="s">
        <v>266</v>
      </c>
      <c r="D845">
        <v>27</v>
      </c>
      <c r="E845" t="s">
        <v>74</v>
      </c>
      <c r="G845">
        <v>2.5499999999999998</v>
      </c>
      <c r="H845">
        <v>5.86</v>
      </c>
      <c r="I845" t="s">
        <v>92</v>
      </c>
      <c r="K845">
        <f t="shared" si="26"/>
        <v>2.5499999999999998</v>
      </c>
      <c r="L845">
        <f t="shared" si="27"/>
        <v>5.86</v>
      </c>
      <c r="M845" t="s">
        <v>280</v>
      </c>
      <c r="O845" s="7">
        <v>44253</v>
      </c>
    </row>
    <row r="846" spans="1:15" x14ac:dyDescent="0.15">
      <c r="A846" t="s">
        <v>265</v>
      </c>
      <c r="B846" t="s">
        <v>266</v>
      </c>
      <c r="D846">
        <v>27</v>
      </c>
      <c r="E846" t="s">
        <v>74</v>
      </c>
      <c r="G846">
        <v>2.5499999999999998</v>
      </c>
      <c r="H846">
        <v>6.36</v>
      </c>
      <c r="I846" t="s">
        <v>92</v>
      </c>
      <c r="K846">
        <f t="shared" si="26"/>
        <v>2.5499999999999998</v>
      </c>
      <c r="L846">
        <f t="shared" si="27"/>
        <v>6.36</v>
      </c>
      <c r="M846" t="s">
        <v>25</v>
      </c>
      <c r="O846" s="7">
        <v>44253</v>
      </c>
    </row>
    <row r="847" spans="1:15" x14ac:dyDescent="0.15">
      <c r="A847" t="s">
        <v>265</v>
      </c>
      <c r="B847" t="s">
        <v>266</v>
      </c>
      <c r="D847">
        <v>27</v>
      </c>
      <c r="E847" t="s">
        <v>74</v>
      </c>
      <c r="G847">
        <v>7.0220000000000002</v>
      </c>
      <c r="H847">
        <v>7.0469999999999997</v>
      </c>
      <c r="I847" t="s">
        <v>91</v>
      </c>
      <c r="K847">
        <f t="shared" si="26"/>
        <v>7.0220000000000002</v>
      </c>
      <c r="L847">
        <f t="shared" si="27"/>
        <v>7.0469999999999997</v>
      </c>
      <c r="M847" t="s">
        <v>25</v>
      </c>
      <c r="O847" s="7">
        <v>44251</v>
      </c>
    </row>
    <row r="848" spans="1:15" x14ac:dyDescent="0.15">
      <c r="A848" t="s">
        <v>265</v>
      </c>
      <c r="B848" t="s">
        <v>266</v>
      </c>
      <c r="D848">
        <v>27</v>
      </c>
      <c r="E848" t="s">
        <v>74</v>
      </c>
      <c r="G848">
        <v>7.0220000000000002</v>
      </c>
      <c r="H848">
        <v>7.11</v>
      </c>
      <c r="I848" t="s">
        <v>92</v>
      </c>
      <c r="K848">
        <f t="shared" si="26"/>
        <v>7.0220000000000002</v>
      </c>
      <c r="L848">
        <f t="shared" si="27"/>
        <v>7.11</v>
      </c>
      <c r="M848" t="s">
        <v>25</v>
      </c>
      <c r="O848" s="7">
        <v>44251</v>
      </c>
    </row>
    <row r="849" spans="1:15" x14ac:dyDescent="0.15">
      <c r="A849" t="s">
        <v>265</v>
      </c>
      <c r="B849" t="s">
        <v>266</v>
      </c>
      <c r="D849">
        <v>27</v>
      </c>
      <c r="E849" t="s">
        <v>74</v>
      </c>
      <c r="G849">
        <v>7.4</v>
      </c>
      <c r="H849">
        <v>7.9</v>
      </c>
      <c r="I849" t="s">
        <v>92</v>
      </c>
      <c r="K849">
        <f t="shared" si="26"/>
        <v>7.4</v>
      </c>
      <c r="L849">
        <f t="shared" si="27"/>
        <v>7.9</v>
      </c>
      <c r="M849" t="s">
        <v>25</v>
      </c>
      <c r="O849" s="7">
        <v>44251</v>
      </c>
    </row>
    <row r="850" spans="1:15" x14ac:dyDescent="0.15">
      <c r="A850" t="s">
        <v>265</v>
      </c>
      <c r="B850" t="s">
        <v>266</v>
      </c>
      <c r="D850">
        <v>27</v>
      </c>
      <c r="E850" t="s">
        <v>74</v>
      </c>
      <c r="G850">
        <v>8.35</v>
      </c>
      <c r="H850">
        <v>8.8000000000000007</v>
      </c>
      <c r="I850" t="s">
        <v>92</v>
      </c>
      <c r="K850">
        <f t="shared" si="26"/>
        <v>8.35</v>
      </c>
      <c r="L850">
        <f t="shared" si="27"/>
        <v>8.8000000000000007</v>
      </c>
      <c r="M850" t="s">
        <v>25</v>
      </c>
      <c r="O850" s="7">
        <v>44244</v>
      </c>
    </row>
    <row r="851" spans="1:15" x14ac:dyDescent="0.15">
      <c r="A851" t="s">
        <v>265</v>
      </c>
      <c r="B851" t="s">
        <v>266</v>
      </c>
      <c r="D851">
        <v>27</v>
      </c>
      <c r="E851" t="s">
        <v>74</v>
      </c>
      <c r="G851">
        <v>9.15</v>
      </c>
      <c r="H851">
        <v>9.4</v>
      </c>
      <c r="I851" t="s">
        <v>92</v>
      </c>
      <c r="K851">
        <f t="shared" si="26"/>
        <v>9.15</v>
      </c>
      <c r="L851">
        <f t="shared" si="27"/>
        <v>9.4</v>
      </c>
      <c r="M851" t="s">
        <v>25</v>
      </c>
      <c r="O851" s="7">
        <v>44244</v>
      </c>
    </row>
    <row r="852" spans="1:15" x14ac:dyDescent="0.15">
      <c r="A852" t="s">
        <v>265</v>
      </c>
      <c r="B852" t="s">
        <v>266</v>
      </c>
      <c r="D852">
        <v>27</v>
      </c>
      <c r="E852" t="s">
        <v>74</v>
      </c>
      <c r="G852">
        <v>10.6</v>
      </c>
      <c r="H852">
        <v>10.8</v>
      </c>
      <c r="I852" t="s">
        <v>92</v>
      </c>
      <c r="K852">
        <f t="shared" si="26"/>
        <v>10.6</v>
      </c>
      <c r="L852">
        <f t="shared" si="27"/>
        <v>10.8</v>
      </c>
      <c r="M852" t="s">
        <v>25</v>
      </c>
      <c r="O852" s="7">
        <v>44244</v>
      </c>
    </row>
    <row r="853" spans="1:15" x14ac:dyDescent="0.15">
      <c r="A853" t="s">
        <v>265</v>
      </c>
      <c r="B853" t="s">
        <v>266</v>
      </c>
      <c r="D853">
        <v>27</v>
      </c>
      <c r="E853" t="s">
        <v>74</v>
      </c>
      <c r="G853">
        <v>11.3</v>
      </c>
      <c r="H853">
        <v>11.38</v>
      </c>
      <c r="I853" t="s">
        <v>92</v>
      </c>
      <c r="K853">
        <f t="shared" si="26"/>
        <v>11.3</v>
      </c>
      <c r="L853">
        <f t="shared" si="27"/>
        <v>11.38</v>
      </c>
      <c r="M853" t="s">
        <v>25</v>
      </c>
      <c r="O853" s="7">
        <v>44244</v>
      </c>
    </row>
    <row r="854" spans="1:15" x14ac:dyDescent="0.15">
      <c r="A854" t="s">
        <v>265</v>
      </c>
      <c r="B854" t="s">
        <v>266</v>
      </c>
      <c r="D854">
        <v>27</v>
      </c>
      <c r="E854" t="s">
        <v>74</v>
      </c>
      <c r="G854">
        <v>11.38</v>
      </c>
      <c r="H854">
        <v>11.42</v>
      </c>
      <c r="I854" t="s">
        <v>92</v>
      </c>
      <c r="K854">
        <f t="shared" si="26"/>
        <v>11.38</v>
      </c>
      <c r="L854">
        <f t="shared" si="27"/>
        <v>11.42</v>
      </c>
      <c r="M854" t="s">
        <v>25</v>
      </c>
      <c r="O854" s="7">
        <v>44244</v>
      </c>
    </row>
    <row r="855" spans="1:15" x14ac:dyDescent="0.15">
      <c r="A855" t="s">
        <v>265</v>
      </c>
      <c r="B855" t="s">
        <v>266</v>
      </c>
      <c r="D855">
        <v>27</v>
      </c>
      <c r="E855" t="s">
        <v>74</v>
      </c>
      <c r="G855">
        <v>11.38</v>
      </c>
      <c r="H855">
        <v>11.42</v>
      </c>
      <c r="I855" t="s">
        <v>93</v>
      </c>
      <c r="K855">
        <f t="shared" si="26"/>
        <v>11.38</v>
      </c>
      <c r="L855">
        <f t="shared" si="27"/>
        <v>11.42</v>
      </c>
      <c r="M855" t="s">
        <v>25</v>
      </c>
      <c r="O855" s="7">
        <v>44244</v>
      </c>
    </row>
    <row r="856" spans="1:15" x14ac:dyDescent="0.15">
      <c r="A856" t="s">
        <v>265</v>
      </c>
      <c r="B856" t="s">
        <v>266</v>
      </c>
      <c r="D856">
        <v>27</v>
      </c>
      <c r="E856" t="s">
        <v>74</v>
      </c>
      <c r="G856">
        <v>11.51</v>
      </c>
      <c r="H856">
        <v>11.583</v>
      </c>
      <c r="J856" t="s">
        <v>23</v>
      </c>
      <c r="K856">
        <f t="shared" si="26"/>
        <v>11.51</v>
      </c>
      <c r="L856">
        <f t="shared" si="27"/>
        <v>11.583</v>
      </c>
      <c r="M856" t="s">
        <v>100</v>
      </c>
      <c r="O856" s="7">
        <v>44349</v>
      </c>
    </row>
    <row r="857" spans="1:15" x14ac:dyDescent="0.15">
      <c r="A857" t="s">
        <v>265</v>
      </c>
      <c r="B857" t="s">
        <v>266</v>
      </c>
      <c r="D857">
        <v>27</v>
      </c>
      <c r="E857" t="s">
        <v>74</v>
      </c>
      <c r="G857">
        <v>11.6</v>
      </c>
      <c r="H857">
        <v>11.9</v>
      </c>
      <c r="I857" t="s">
        <v>92</v>
      </c>
      <c r="K857">
        <f t="shared" si="26"/>
        <v>11.6</v>
      </c>
      <c r="L857">
        <f t="shared" si="27"/>
        <v>11.9</v>
      </c>
      <c r="M857" t="s">
        <v>25</v>
      </c>
      <c r="O857" s="7">
        <v>44245</v>
      </c>
    </row>
    <row r="858" spans="1:15" x14ac:dyDescent="0.15">
      <c r="A858" t="s">
        <v>265</v>
      </c>
      <c r="B858" t="s">
        <v>266</v>
      </c>
      <c r="D858">
        <v>27</v>
      </c>
      <c r="E858" t="s">
        <v>74</v>
      </c>
      <c r="G858">
        <v>13.1</v>
      </c>
      <c r="H858">
        <v>14</v>
      </c>
      <c r="I858" t="s">
        <v>92</v>
      </c>
      <c r="K858">
        <f t="shared" si="26"/>
        <v>13.1</v>
      </c>
      <c r="L858">
        <f t="shared" si="27"/>
        <v>14</v>
      </c>
      <c r="M858" t="s">
        <v>25</v>
      </c>
      <c r="O858" s="7">
        <v>44243</v>
      </c>
    </row>
    <row r="859" spans="1:15" x14ac:dyDescent="0.15">
      <c r="A859" t="s">
        <v>265</v>
      </c>
      <c r="B859" t="s">
        <v>266</v>
      </c>
      <c r="D859">
        <v>27</v>
      </c>
      <c r="E859" t="s">
        <v>74</v>
      </c>
      <c r="G859">
        <v>13.31</v>
      </c>
      <c r="H859">
        <v>13.65</v>
      </c>
      <c r="I859" t="s">
        <v>95</v>
      </c>
      <c r="K859">
        <f t="shared" si="26"/>
        <v>13.31</v>
      </c>
      <c r="L859">
        <f t="shared" si="27"/>
        <v>13.65</v>
      </c>
      <c r="M859" t="s">
        <v>25</v>
      </c>
      <c r="O859" s="7">
        <v>44243</v>
      </c>
    </row>
    <row r="860" spans="1:15" x14ac:dyDescent="0.15">
      <c r="A860" t="s">
        <v>265</v>
      </c>
      <c r="B860" t="s">
        <v>266</v>
      </c>
      <c r="D860">
        <v>27</v>
      </c>
      <c r="E860" t="s">
        <v>74</v>
      </c>
      <c r="G860">
        <v>14.58</v>
      </c>
      <c r="H860">
        <v>15.4</v>
      </c>
      <c r="I860" t="s">
        <v>92</v>
      </c>
      <c r="K860">
        <f t="shared" si="26"/>
        <v>14.58</v>
      </c>
      <c r="L860">
        <f t="shared" si="27"/>
        <v>15.4</v>
      </c>
      <c r="M860" t="s">
        <v>25</v>
      </c>
      <c r="O860" s="7">
        <v>44245</v>
      </c>
    </row>
    <row r="861" spans="1:15" x14ac:dyDescent="0.15">
      <c r="A861" t="s">
        <v>265</v>
      </c>
      <c r="B861" t="s">
        <v>266</v>
      </c>
      <c r="D861">
        <v>27</v>
      </c>
      <c r="E861" t="s">
        <v>74</v>
      </c>
      <c r="G861">
        <v>16.8</v>
      </c>
      <c r="H861">
        <v>17.45</v>
      </c>
      <c r="I861" t="s">
        <v>92</v>
      </c>
      <c r="K861">
        <f t="shared" si="26"/>
        <v>16.8</v>
      </c>
      <c r="L861">
        <f t="shared" si="27"/>
        <v>17.45</v>
      </c>
      <c r="M861" t="s">
        <v>25</v>
      </c>
      <c r="O861" s="7">
        <v>44242</v>
      </c>
    </row>
    <row r="862" spans="1:15" x14ac:dyDescent="0.15">
      <c r="A862" t="s">
        <v>265</v>
      </c>
      <c r="B862" t="s">
        <v>266</v>
      </c>
      <c r="D862">
        <v>27</v>
      </c>
      <c r="E862" t="s">
        <v>74</v>
      </c>
      <c r="G862">
        <v>17.45</v>
      </c>
      <c r="H862">
        <v>17.66</v>
      </c>
      <c r="I862" t="s">
        <v>95</v>
      </c>
      <c r="K862">
        <f t="shared" si="26"/>
        <v>17.45</v>
      </c>
      <c r="L862">
        <f t="shared" si="27"/>
        <v>17.66</v>
      </c>
      <c r="M862" t="s">
        <v>25</v>
      </c>
      <c r="O862" s="7">
        <v>44242</v>
      </c>
    </row>
    <row r="863" spans="1:15" x14ac:dyDescent="0.15">
      <c r="A863" t="s">
        <v>265</v>
      </c>
      <c r="B863" t="s">
        <v>266</v>
      </c>
      <c r="D863">
        <v>27</v>
      </c>
      <c r="E863" t="s">
        <v>74</v>
      </c>
      <c r="G863">
        <v>17.45</v>
      </c>
      <c r="H863">
        <v>17.66</v>
      </c>
      <c r="I863" t="s">
        <v>92</v>
      </c>
      <c r="K863">
        <f t="shared" si="26"/>
        <v>17.45</v>
      </c>
      <c r="L863">
        <f t="shared" si="27"/>
        <v>17.66</v>
      </c>
      <c r="M863" t="s">
        <v>25</v>
      </c>
      <c r="O863" s="7">
        <v>44242</v>
      </c>
    </row>
    <row r="864" spans="1:15" x14ac:dyDescent="0.15">
      <c r="A864" t="s">
        <v>265</v>
      </c>
      <c r="B864" t="s">
        <v>266</v>
      </c>
      <c r="D864">
        <v>27</v>
      </c>
      <c r="E864" t="s">
        <v>74</v>
      </c>
      <c r="G864">
        <v>17.728000000000002</v>
      </c>
      <c r="H864">
        <v>17.835000000000001</v>
      </c>
      <c r="I864" t="s">
        <v>95</v>
      </c>
      <c r="K864">
        <f t="shared" si="26"/>
        <v>17.728000000000002</v>
      </c>
      <c r="L864">
        <f t="shared" si="27"/>
        <v>17.835000000000001</v>
      </c>
      <c r="M864" t="s">
        <v>25</v>
      </c>
      <c r="O864" s="7">
        <v>44251</v>
      </c>
    </row>
    <row r="865" spans="1:15" x14ac:dyDescent="0.15">
      <c r="A865" t="s">
        <v>265</v>
      </c>
      <c r="B865" t="s">
        <v>266</v>
      </c>
      <c r="D865">
        <v>27</v>
      </c>
      <c r="E865" t="s">
        <v>74</v>
      </c>
      <c r="G865">
        <v>17.728000000000002</v>
      </c>
      <c r="H865">
        <v>18.106999999999999</v>
      </c>
      <c r="I865" t="s">
        <v>92</v>
      </c>
      <c r="K865">
        <f t="shared" si="26"/>
        <v>17.728000000000002</v>
      </c>
      <c r="L865">
        <f t="shared" si="27"/>
        <v>18.106999999999999</v>
      </c>
      <c r="M865" t="s">
        <v>25</v>
      </c>
      <c r="O865" s="7">
        <v>44251</v>
      </c>
    </row>
    <row r="866" spans="1:15" x14ac:dyDescent="0.15">
      <c r="A866" t="s">
        <v>265</v>
      </c>
      <c r="B866" t="s">
        <v>266</v>
      </c>
      <c r="D866">
        <v>27</v>
      </c>
      <c r="E866" t="s">
        <v>74</v>
      </c>
      <c r="G866">
        <v>21.95</v>
      </c>
      <c r="H866">
        <v>22.05</v>
      </c>
      <c r="I866" t="s">
        <v>92</v>
      </c>
      <c r="K866">
        <f t="shared" si="26"/>
        <v>21.95</v>
      </c>
      <c r="L866">
        <f t="shared" si="27"/>
        <v>22.05</v>
      </c>
      <c r="M866" t="s">
        <v>143</v>
      </c>
      <c r="O866" s="7">
        <v>44354</v>
      </c>
    </row>
    <row r="867" spans="1:15" x14ac:dyDescent="0.15">
      <c r="A867" t="s">
        <v>265</v>
      </c>
      <c r="B867" t="s">
        <v>266</v>
      </c>
      <c r="D867">
        <v>27</v>
      </c>
      <c r="E867" t="s">
        <v>74</v>
      </c>
      <c r="G867">
        <v>22.6</v>
      </c>
      <c r="H867">
        <v>22.9</v>
      </c>
      <c r="I867" t="s">
        <v>92</v>
      </c>
      <c r="K867">
        <f t="shared" si="26"/>
        <v>22.6</v>
      </c>
      <c r="L867">
        <f t="shared" si="27"/>
        <v>22.9</v>
      </c>
      <c r="M867" t="s">
        <v>25</v>
      </c>
      <c r="O867" s="7">
        <v>44354</v>
      </c>
    </row>
    <row r="868" spans="1:15" x14ac:dyDescent="0.15">
      <c r="A868" t="s">
        <v>265</v>
      </c>
      <c r="B868" t="s">
        <v>266</v>
      </c>
      <c r="D868">
        <v>27</v>
      </c>
      <c r="E868" t="s">
        <v>74</v>
      </c>
      <c r="G868">
        <v>26.6</v>
      </c>
      <c r="H868">
        <v>26.7</v>
      </c>
      <c r="I868" t="s">
        <v>91</v>
      </c>
      <c r="K868">
        <f t="shared" si="26"/>
        <v>26.6</v>
      </c>
      <c r="L868">
        <f t="shared" si="27"/>
        <v>26.7</v>
      </c>
      <c r="M868" t="s">
        <v>143</v>
      </c>
      <c r="O868" s="7">
        <v>44354</v>
      </c>
    </row>
    <row r="869" spans="1:15" x14ac:dyDescent="0.15">
      <c r="A869" t="s">
        <v>265</v>
      </c>
      <c r="B869" t="s">
        <v>266</v>
      </c>
      <c r="D869">
        <v>27</v>
      </c>
      <c r="E869" t="s">
        <v>74</v>
      </c>
      <c r="G869">
        <v>30.6</v>
      </c>
      <c r="H869">
        <v>30.95</v>
      </c>
      <c r="I869" t="s">
        <v>91</v>
      </c>
      <c r="K869">
        <f t="shared" si="26"/>
        <v>30.6</v>
      </c>
      <c r="L869">
        <f t="shared" si="27"/>
        <v>30.95</v>
      </c>
      <c r="M869" t="s">
        <v>25</v>
      </c>
      <c r="O869" s="7">
        <v>44258</v>
      </c>
    </row>
    <row r="870" spans="1:15" x14ac:dyDescent="0.15">
      <c r="A870" t="s">
        <v>265</v>
      </c>
      <c r="B870" t="s">
        <v>266</v>
      </c>
      <c r="D870">
        <v>27</v>
      </c>
      <c r="E870" t="s">
        <v>74</v>
      </c>
      <c r="G870">
        <v>33.950000000000003</v>
      </c>
      <c r="H870">
        <v>33.950000000000003</v>
      </c>
      <c r="I870" t="s">
        <v>90</v>
      </c>
      <c r="K870">
        <f t="shared" si="26"/>
        <v>33.950000000000003</v>
      </c>
      <c r="L870">
        <f t="shared" si="27"/>
        <v>33.950000000000003</v>
      </c>
      <c r="M870" t="s">
        <v>25</v>
      </c>
      <c r="O870" s="7">
        <v>44354</v>
      </c>
    </row>
    <row r="871" spans="1:15" x14ac:dyDescent="0.15">
      <c r="A871" t="s">
        <v>265</v>
      </c>
      <c r="B871" t="s">
        <v>266</v>
      </c>
      <c r="D871">
        <v>27</v>
      </c>
      <c r="E871" t="s">
        <v>74</v>
      </c>
      <c r="G871">
        <v>34.25</v>
      </c>
      <c r="H871">
        <v>34.299999999999997</v>
      </c>
      <c r="I871" t="s">
        <v>91</v>
      </c>
      <c r="K871">
        <f t="shared" si="26"/>
        <v>34.25</v>
      </c>
      <c r="L871">
        <f t="shared" si="27"/>
        <v>34.299999999999997</v>
      </c>
      <c r="M871" t="s">
        <v>25</v>
      </c>
      <c r="O871" s="7">
        <v>44258</v>
      </c>
    </row>
    <row r="872" spans="1:15" x14ac:dyDescent="0.15">
      <c r="A872" t="s">
        <v>265</v>
      </c>
      <c r="B872" t="s">
        <v>266</v>
      </c>
      <c r="D872">
        <v>27</v>
      </c>
      <c r="E872" t="s">
        <v>74</v>
      </c>
      <c r="G872">
        <v>34.25</v>
      </c>
      <c r="H872">
        <v>34.299999999999997</v>
      </c>
      <c r="I872" t="s">
        <v>92</v>
      </c>
      <c r="K872">
        <f t="shared" si="26"/>
        <v>34.25</v>
      </c>
      <c r="L872">
        <f t="shared" si="27"/>
        <v>34.299999999999997</v>
      </c>
      <c r="M872" t="s">
        <v>25</v>
      </c>
      <c r="O872" s="7">
        <v>44258</v>
      </c>
    </row>
    <row r="873" spans="1:15" x14ac:dyDescent="0.15">
      <c r="A873" t="s">
        <v>265</v>
      </c>
      <c r="B873" t="s">
        <v>266</v>
      </c>
      <c r="D873">
        <v>27</v>
      </c>
      <c r="E873" t="s">
        <v>74</v>
      </c>
      <c r="G873">
        <v>34.26</v>
      </c>
      <c r="H873">
        <v>34.299999999999997</v>
      </c>
      <c r="I873" t="s">
        <v>91</v>
      </c>
      <c r="K873">
        <f t="shared" si="26"/>
        <v>34.26</v>
      </c>
      <c r="L873">
        <f t="shared" si="27"/>
        <v>34.299999999999997</v>
      </c>
      <c r="M873" t="s">
        <v>280</v>
      </c>
      <c r="O873" s="7">
        <v>44258</v>
      </c>
    </row>
    <row r="874" spans="1:15" x14ac:dyDescent="0.15">
      <c r="A874" t="s">
        <v>265</v>
      </c>
      <c r="B874" t="s">
        <v>266</v>
      </c>
      <c r="D874">
        <v>27</v>
      </c>
      <c r="E874" t="s">
        <v>74</v>
      </c>
      <c r="G874">
        <v>34.26</v>
      </c>
      <c r="H874">
        <v>34.299999999999997</v>
      </c>
      <c r="I874" t="s">
        <v>92</v>
      </c>
      <c r="K874">
        <f t="shared" si="26"/>
        <v>34.26</v>
      </c>
      <c r="L874">
        <f t="shared" si="27"/>
        <v>34.299999999999997</v>
      </c>
      <c r="M874" t="s">
        <v>280</v>
      </c>
      <c r="O874" s="7">
        <v>44258</v>
      </c>
    </row>
    <row r="875" spans="1:15" x14ac:dyDescent="0.15">
      <c r="A875" t="s">
        <v>265</v>
      </c>
      <c r="B875" t="s">
        <v>266</v>
      </c>
      <c r="D875">
        <v>27</v>
      </c>
      <c r="E875" t="s">
        <v>75</v>
      </c>
      <c r="G875">
        <v>2.875</v>
      </c>
      <c r="H875">
        <v>3</v>
      </c>
      <c r="I875" t="s">
        <v>94</v>
      </c>
      <c r="K875">
        <f t="shared" si="26"/>
        <v>2.875</v>
      </c>
      <c r="L875">
        <f t="shared" si="27"/>
        <v>3</v>
      </c>
      <c r="M875" t="s">
        <v>25</v>
      </c>
      <c r="O875" s="7">
        <v>44256</v>
      </c>
    </row>
    <row r="876" spans="1:15" x14ac:dyDescent="0.15">
      <c r="A876" t="s">
        <v>265</v>
      </c>
      <c r="B876" t="s">
        <v>266</v>
      </c>
      <c r="D876">
        <v>27</v>
      </c>
      <c r="E876" t="s">
        <v>75</v>
      </c>
      <c r="G876">
        <v>6.4169999999999998</v>
      </c>
      <c r="H876">
        <v>6.4269999999999996</v>
      </c>
      <c r="I876" t="s">
        <v>96</v>
      </c>
      <c r="K876">
        <f t="shared" si="26"/>
        <v>6.4169999999999998</v>
      </c>
      <c r="L876">
        <f t="shared" si="27"/>
        <v>6.4269999999999996</v>
      </c>
      <c r="M876" t="s">
        <v>100</v>
      </c>
      <c r="O876" s="7">
        <v>44256</v>
      </c>
    </row>
    <row r="877" spans="1:15" x14ac:dyDescent="0.15">
      <c r="A877" t="s">
        <v>265</v>
      </c>
      <c r="B877" t="s">
        <v>266</v>
      </c>
      <c r="D877">
        <v>27</v>
      </c>
      <c r="E877" t="s">
        <v>75</v>
      </c>
      <c r="G877">
        <v>6.4169999999999998</v>
      </c>
      <c r="H877">
        <v>6.4669999999999996</v>
      </c>
      <c r="I877" t="s">
        <v>96</v>
      </c>
      <c r="K877">
        <f t="shared" si="26"/>
        <v>6.4169999999999998</v>
      </c>
      <c r="L877">
        <f t="shared" si="27"/>
        <v>6.4669999999999996</v>
      </c>
      <c r="M877" t="s">
        <v>280</v>
      </c>
      <c r="O877" s="7">
        <v>44256</v>
      </c>
    </row>
    <row r="878" spans="1:15" x14ac:dyDescent="0.15">
      <c r="A878" t="s">
        <v>265</v>
      </c>
      <c r="B878" t="s">
        <v>266</v>
      </c>
      <c r="D878">
        <v>27</v>
      </c>
      <c r="E878" t="s">
        <v>75</v>
      </c>
      <c r="G878">
        <v>6.4169999999999998</v>
      </c>
      <c r="H878">
        <v>6.4269999999999996</v>
      </c>
      <c r="I878" t="s">
        <v>94</v>
      </c>
      <c r="K878">
        <f t="shared" si="26"/>
        <v>6.4169999999999998</v>
      </c>
      <c r="L878">
        <f t="shared" si="27"/>
        <v>6.4269999999999996</v>
      </c>
      <c r="M878" t="s">
        <v>100</v>
      </c>
      <c r="O878" s="7">
        <v>44256</v>
      </c>
    </row>
    <row r="879" spans="1:15" x14ac:dyDescent="0.15">
      <c r="A879" t="s">
        <v>265</v>
      </c>
      <c r="B879" t="s">
        <v>266</v>
      </c>
      <c r="D879">
        <v>27</v>
      </c>
      <c r="E879" t="s">
        <v>75</v>
      </c>
      <c r="G879">
        <v>6.4169999999999998</v>
      </c>
      <c r="H879">
        <v>6.4669999999999996</v>
      </c>
      <c r="I879" t="s">
        <v>94</v>
      </c>
      <c r="K879">
        <f t="shared" si="26"/>
        <v>6.4169999999999998</v>
      </c>
      <c r="L879">
        <f t="shared" si="27"/>
        <v>6.4669999999999996</v>
      </c>
      <c r="M879" t="s">
        <v>280</v>
      </c>
      <c r="O879" s="7">
        <v>44256</v>
      </c>
    </row>
    <row r="880" spans="1:15" x14ac:dyDescent="0.15">
      <c r="A880" t="s">
        <v>265</v>
      </c>
      <c r="B880" t="s">
        <v>266</v>
      </c>
      <c r="D880">
        <v>27</v>
      </c>
      <c r="E880" t="s">
        <v>75</v>
      </c>
      <c r="G880">
        <v>6.4269999999999996</v>
      </c>
      <c r="H880">
        <v>6.6</v>
      </c>
      <c r="I880" t="s">
        <v>96</v>
      </c>
      <c r="K880">
        <f t="shared" si="26"/>
        <v>6.4269999999999996</v>
      </c>
      <c r="L880">
        <f t="shared" si="27"/>
        <v>6.6</v>
      </c>
      <c r="M880" t="s">
        <v>25</v>
      </c>
      <c r="O880" s="7">
        <v>44256</v>
      </c>
    </row>
    <row r="881" spans="1:15" x14ac:dyDescent="0.15">
      <c r="A881" t="s">
        <v>265</v>
      </c>
      <c r="B881" t="s">
        <v>266</v>
      </c>
      <c r="D881">
        <v>27</v>
      </c>
      <c r="E881" t="s">
        <v>75</v>
      </c>
      <c r="G881">
        <v>6.4269999999999996</v>
      </c>
      <c r="H881">
        <v>6.6</v>
      </c>
      <c r="I881" t="s">
        <v>94</v>
      </c>
      <c r="K881">
        <f t="shared" si="26"/>
        <v>6.4269999999999996</v>
      </c>
      <c r="L881">
        <f t="shared" si="27"/>
        <v>6.6</v>
      </c>
      <c r="M881" t="s">
        <v>25</v>
      </c>
      <c r="O881" s="7">
        <v>44256</v>
      </c>
    </row>
    <row r="882" spans="1:15" x14ac:dyDescent="0.15">
      <c r="A882" t="s">
        <v>265</v>
      </c>
      <c r="B882" t="s">
        <v>266</v>
      </c>
      <c r="D882">
        <v>27</v>
      </c>
      <c r="E882" t="s">
        <v>75</v>
      </c>
      <c r="G882">
        <v>6.7</v>
      </c>
      <c r="H882">
        <v>6.9</v>
      </c>
      <c r="I882" t="s">
        <v>96</v>
      </c>
      <c r="K882">
        <f t="shared" si="26"/>
        <v>6.7</v>
      </c>
      <c r="L882">
        <f t="shared" si="27"/>
        <v>6.9</v>
      </c>
      <c r="M882" t="s">
        <v>143</v>
      </c>
      <c r="O882" s="7">
        <v>44350</v>
      </c>
    </row>
    <row r="883" spans="1:15" x14ac:dyDescent="0.15">
      <c r="A883" t="s">
        <v>265</v>
      </c>
      <c r="B883" t="s">
        <v>266</v>
      </c>
      <c r="D883">
        <v>27</v>
      </c>
      <c r="E883" t="s">
        <v>75</v>
      </c>
      <c r="G883">
        <v>11.6</v>
      </c>
      <c r="H883">
        <v>11.7</v>
      </c>
      <c r="I883" t="s">
        <v>94</v>
      </c>
      <c r="K883">
        <f t="shared" si="26"/>
        <v>11.6</v>
      </c>
      <c r="L883">
        <f t="shared" si="27"/>
        <v>11.7</v>
      </c>
      <c r="M883" t="s">
        <v>25</v>
      </c>
      <c r="O883" s="7">
        <v>44350</v>
      </c>
    </row>
    <row r="884" spans="1:15" x14ac:dyDescent="0.15">
      <c r="A884" t="s">
        <v>265</v>
      </c>
      <c r="B884" t="s">
        <v>266</v>
      </c>
      <c r="D884">
        <v>27</v>
      </c>
      <c r="E884" t="s">
        <v>75</v>
      </c>
      <c r="G884">
        <v>14.5</v>
      </c>
      <c r="H884">
        <v>14.6</v>
      </c>
      <c r="I884" t="s">
        <v>94</v>
      </c>
      <c r="K884">
        <f t="shared" si="26"/>
        <v>14.5</v>
      </c>
      <c r="L884">
        <f t="shared" si="27"/>
        <v>14.6</v>
      </c>
      <c r="M884" t="s">
        <v>25</v>
      </c>
      <c r="O884" s="7">
        <v>44350</v>
      </c>
    </row>
    <row r="885" spans="1:15" x14ac:dyDescent="0.15">
      <c r="A885" t="s">
        <v>265</v>
      </c>
      <c r="B885" t="s">
        <v>266</v>
      </c>
      <c r="D885">
        <v>27</v>
      </c>
      <c r="E885" t="s">
        <v>75</v>
      </c>
      <c r="G885">
        <v>14.505000000000001</v>
      </c>
      <c r="H885">
        <v>14.595000000000001</v>
      </c>
      <c r="I885" t="s">
        <v>94</v>
      </c>
      <c r="K885">
        <f t="shared" si="26"/>
        <v>14.505000000000001</v>
      </c>
      <c r="L885">
        <f t="shared" si="27"/>
        <v>14.595000000000001</v>
      </c>
      <c r="M885" t="s">
        <v>280</v>
      </c>
      <c r="O885" s="7">
        <v>44350</v>
      </c>
    </row>
    <row r="886" spans="1:15" x14ac:dyDescent="0.15">
      <c r="A886" t="s">
        <v>265</v>
      </c>
      <c r="B886" t="s">
        <v>266</v>
      </c>
      <c r="D886">
        <v>27</v>
      </c>
      <c r="E886" t="s">
        <v>75</v>
      </c>
      <c r="G886">
        <v>14.6</v>
      </c>
      <c r="H886">
        <v>14.72</v>
      </c>
      <c r="I886" t="s">
        <v>94</v>
      </c>
      <c r="K886">
        <f t="shared" si="26"/>
        <v>14.6</v>
      </c>
      <c r="L886">
        <f t="shared" si="27"/>
        <v>14.72</v>
      </c>
      <c r="M886" t="s">
        <v>25</v>
      </c>
      <c r="O886" s="7">
        <v>44259</v>
      </c>
    </row>
    <row r="887" spans="1:15" x14ac:dyDescent="0.15">
      <c r="A887" t="s">
        <v>265</v>
      </c>
      <c r="B887" t="s">
        <v>266</v>
      </c>
      <c r="D887">
        <v>27</v>
      </c>
      <c r="E887" t="s">
        <v>75</v>
      </c>
      <c r="G887">
        <v>14.67</v>
      </c>
      <c r="H887">
        <v>14.73</v>
      </c>
      <c r="I887" t="s">
        <v>94</v>
      </c>
      <c r="K887">
        <f t="shared" si="26"/>
        <v>14.67</v>
      </c>
      <c r="L887">
        <f t="shared" si="27"/>
        <v>14.73</v>
      </c>
      <c r="M887" t="s">
        <v>25</v>
      </c>
      <c r="O887" s="7">
        <v>44265</v>
      </c>
    </row>
    <row r="888" spans="1:15" x14ac:dyDescent="0.15">
      <c r="A888" t="s">
        <v>265</v>
      </c>
      <c r="B888" t="s">
        <v>266</v>
      </c>
      <c r="D888">
        <v>27</v>
      </c>
      <c r="E888" t="s">
        <v>75</v>
      </c>
      <c r="G888">
        <v>17.399999999999999</v>
      </c>
      <c r="H888">
        <v>17.55</v>
      </c>
      <c r="I888" t="s">
        <v>94</v>
      </c>
      <c r="K888">
        <f t="shared" si="26"/>
        <v>17.399999999999999</v>
      </c>
      <c r="L888">
        <f t="shared" si="27"/>
        <v>17.55</v>
      </c>
      <c r="M888" t="s">
        <v>25</v>
      </c>
      <c r="O888" s="7">
        <v>44265</v>
      </c>
    </row>
    <row r="889" spans="1:15" x14ac:dyDescent="0.15">
      <c r="A889" t="s">
        <v>265</v>
      </c>
      <c r="B889" t="s">
        <v>266</v>
      </c>
      <c r="D889">
        <v>27</v>
      </c>
      <c r="E889" t="s">
        <v>75</v>
      </c>
      <c r="G889">
        <v>17.55</v>
      </c>
      <c r="H889">
        <v>17.655000000000001</v>
      </c>
      <c r="I889" t="s">
        <v>22</v>
      </c>
      <c r="K889">
        <f t="shared" si="26"/>
        <v>17.55</v>
      </c>
      <c r="L889">
        <f t="shared" si="27"/>
        <v>17.655000000000001</v>
      </c>
      <c r="M889" t="s">
        <v>280</v>
      </c>
      <c r="O889" s="7">
        <v>44265</v>
      </c>
    </row>
    <row r="890" spans="1:15" x14ac:dyDescent="0.15">
      <c r="A890" t="s">
        <v>265</v>
      </c>
      <c r="B890" t="s">
        <v>266</v>
      </c>
      <c r="D890">
        <v>27</v>
      </c>
      <c r="E890" t="s">
        <v>75</v>
      </c>
      <c r="G890">
        <v>17.55</v>
      </c>
      <c r="H890">
        <v>17.655000000000001</v>
      </c>
      <c r="I890" t="s">
        <v>22</v>
      </c>
      <c r="K890">
        <f t="shared" si="26"/>
        <v>17.55</v>
      </c>
      <c r="L890">
        <f t="shared" si="27"/>
        <v>17.655000000000001</v>
      </c>
      <c r="M890" t="s">
        <v>25</v>
      </c>
      <c r="O890" s="7">
        <v>44265</v>
      </c>
    </row>
    <row r="891" spans="1:15" x14ac:dyDescent="0.15">
      <c r="A891" t="s">
        <v>265</v>
      </c>
      <c r="B891" t="s">
        <v>266</v>
      </c>
      <c r="D891">
        <v>27</v>
      </c>
      <c r="E891" t="s">
        <v>75</v>
      </c>
      <c r="G891">
        <v>17.55</v>
      </c>
      <c r="H891">
        <v>17.655000000000001</v>
      </c>
      <c r="I891" t="s">
        <v>94</v>
      </c>
      <c r="K891">
        <f t="shared" si="26"/>
        <v>17.55</v>
      </c>
      <c r="L891">
        <f t="shared" si="27"/>
        <v>17.655000000000001</v>
      </c>
      <c r="M891" t="s">
        <v>280</v>
      </c>
      <c r="O891" s="7">
        <v>44265</v>
      </c>
    </row>
    <row r="892" spans="1:15" x14ac:dyDescent="0.15">
      <c r="A892" t="s">
        <v>265</v>
      </c>
      <c r="B892" t="s">
        <v>266</v>
      </c>
      <c r="D892">
        <v>27</v>
      </c>
      <c r="E892" t="s">
        <v>75</v>
      </c>
      <c r="G892">
        <v>17.55</v>
      </c>
      <c r="H892">
        <v>17.655000000000001</v>
      </c>
      <c r="I892" t="s">
        <v>94</v>
      </c>
      <c r="K892">
        <f t="shared" si="26"/>
        <v>17.55</v>
      </c>
      <c r="L892">
        <f t="shared" si="27"/>
        <v>17.655000000000001</v>
      </c>
      <c r="M892" t="s">
        <v>25</v>
      </c>
      <c r="O892" s="7">
        <v>44265</v>
      </c>
    </row>
    <row r="893" spans="1:15" x14ac:dyDescent="0.15">
      <c r="A893" t="s">
        <v>265</v>
      </c>
      <c r="B893" t="s">
        <v>266</v>
      </c>
      <c r="D893">
        <v>27</v>
      </c>
      <c r="E893" t="s">
        <v>75</v>
      </c>
      <c r="G893">
        <v>18.190000000000001</v>
      </c>
      <c r="H893">
        <v>18.68</v>
      </c>
      <c r="I893" t="s">
        <v>94</v>
      </c>
      <c r="K893">
        <f t="shared" si="26"/>
        <v>18.190000000000001</v>
      </c>
      <c r="L893">
        <f t="shared" si="27"/>
        <v>18.68</v>
      </c>
      <c r="M893" t="s">
        <v>25</v>
      </c>
      <c r="O893" s="7">
        <v>44245</v>
      </c>
    </row>
    <row r="894" spans="1:15" x14ac:dyDescent="0.15">
      <c r="A894" t="s">
        <v>265</v>
      </c>
      <c r="B894" t="s">
        <v>266</v>
      </c>
      <c r="D894">
        <v>27</v>
      </c>
      <c r="E894" t="s">
        <v>75</v>
      </c>
      <c r="G894">
        <v>18.68</v>
      </c>
      <c r="H894">
        <v>18.713000000000001</v>
      </c>
      <c r="I894" t="s">
        <v>94</v>
      </c>
      <c r="K894">
        <f t="shared" si="26"/>
        <v>18.68</v>
      </c>
      <c r="L894">
        <f t="shared" si="27"/>
        <v>18.713000000000001</v>
      </c>
      <c r="M894" t="s">
        <v>143</v>
      </c>
      <c r="O894" s="7">
        <v>44345</v>
      </c>
    </row>
    <row r="895" spans="1:15" x14ac:dyDescent="0.15">
      <c r="A895" t="s">
        <v>265</v>
      </c>
      <c r="B895" t="s">
        <v>266</v>
      </c>
      <c r="D895">
        <v>27</v>
      </c>
      <c r="E895" t="s">
        <v>75</v>
      </c>
      <c r="G895">
        <v>18.713000000000001</v>
      </c>
      <c r="H895">
        <v>19.3</v>
      </c>
      <c r="I895" t="s">
        <v>94</v>
      </c>
      <c r="K895">
        <f t="shared" si="26"/>
        <v>18.713000000000001</v>
      </c>
      <c r="L895">
        <f t="shared" si="27"/>
        <v>19.3</v>
      </c>
      <c r="M895" t="s">
        <v>25</v>
      </c>
      <c r="O895" s="7">
        <v>44245</v>
      </c>
    </row>
    <row r="896" spans="1:15" x14ac:dyDescent="0.15">
      <c r="A896" t="s">
        <v>265</v>
      </c>
      <c r="B896" t="s">
        <v>266</v>
      </c>
      <c r="D896">
        <v>27</v>
      </c>
      <c r="E896" t="s">
        <v>75</v>
      </c>
      <c r="G896">
        <v>19.3</v>
      </c>
      <c r="H896">
        <v>20.32</v>
      </c>
      <c r="I896" t="s">
        <v>94</v>
      </c>
      <c r="K896">
        <f t="shared" si="26"/>
        <v>19.3</v>
      </c>
      <c r="L896">
        <f t="shared" si="27"/>
        <v>20.32</v>
      </c>
      <c r="M896" t="s">
        <v>25</v>
      </c>
      <c r="O896" s="7">
        <v>44246</v>
      </c>
    </row>
    <row r="897" spans="1:15" x14ac:dyDescent="0.15">
      <c r="A897" t="s">
        <v>265</v>
      </c>
      <c r="B897" t="s">
        <v>266</v>
      </c>
      <c r="D897">
        <v>27</v>
      </c>
      <c r="E897" t="s">
        <v>75</v>
      </c>
      <c r="G897">
        <v>20.3</v>
      </c>
      <c r="H897">
        <v>20.399999999999999</v>
      </c>
      <c r="I897" t="s">
        <v>96</v>
      </c>
      <c r="K897">
        <f t="shared" ref="K897:K960" si="28">MIN(G897:H897)</f>
        <v>20.3</v>
      </c>
      <c r="L897">
        <f t="shared" ref="L897:L960" si="29">MAX(G897:H897)</f>
        <v>20.399999999999999</v>
      </c>
      <c r="M897" t="s">
        <v>143</v>
      </c>
      <c r="O897" s="7">
        <v>44399</v>
      </c>
    </row>
    <row r="898" spans="1:15" x14ac:dyDescent="0.15">
      <c r="A898" t="s">
        <v>265</v>
      </c>
      <c r="B898" t="s">
        <v>266</v>
      </c>
      <c r="D898">
        <v>27</v>
      </c>
      <c r="E898" t="s">
        <v>75</v>
      </c>
      <c r="G898">
        <v>20.399999999999999</v>
      </c>
      <c r="H898">
        <v>20.7</v>
      </c>
      <c r="I898" t="s">
        <v>94</v>
      </c>
      <c r="K898">
        <f t="shared" si="28"/>
        <v>20.399999999999999</v>
      </c>
      <c r="L898">
        <f t="shared" si="29"/>
        <v>20.7</v>
      </c>
      <c r="M898" t="s">
        <v>143</v>
      </c>
      <c r="O898" s="7">
        <v>44345</v>
      </c>
    </row>
    <row r="899" spans="1:15" x14ac:dyDescent="0.15">
      <c r="A899" t="s">
        <v>265</v>
      </c>
      <c r="B899" t="s">
        <v>266</v>
      </c>
      <c r="D899">
        <v>27</v>
      </c>
      <c r="E899" t="s">
        <v>75</v>
      </c>
      <c r="G899">
        <v>20.5</v>
      </c>
      <c r="H899">
        <v>20.7</v>
      </c>
      <c r="I899" t="s">
        <v>96</v>
      </c>
      <c r="K899">
        <f t="shared" si="28"/>
        <v>20.5</v>
      </c>
      <c r="L899">
        <f t="shared" si="29"/>
        <v>20.7</v>
      </c>
      <c r="M899" t="s">
        <v>143</v>
      </c>
      <c r="O899" s="7">
        <v>44399</v>
      </c>
    </row>
    <row r="900" spans="1:15" x14ac:dyDescent="0.15">
      <c r="A900" t="s">
        <v>265</v>
      </c>
      <c r="B900" t="s">
        <v>266</v>
      </c>
      <c r="D900">
        <v>27</v>
      </c>
      <c r="E900" t="s">
        <v>75</v>
      </c>
      <c r="G900">
        <v>20.7</v>
      </c>
      <c r="H900">
        <v>21</v>
      </c>
      <c r="I900" t="s">
        <v>98</v>
      </c>
      <c r="K900">
        <f t="shared" si="28"/>
        <v>20.7</v>
      </c>
      <c r="L900">
        <f t="shared" si="29"/>
        <v>21</v>
      </c>
      <c r="M900" t="s">
        <v>143</v>
      </c>
      <c r="O900" s="7">
        <v>44345</v>
      </c>
    </row>
    <row r="901" spans="1:15" x14ac:dyDescent="0.15">
      <c r="A901" t="s">
        <v>265</v>
      </c>
      <c r="B901" t="s">
        <v>266</v>
      </c>
      <c r="D901">
        <v>27</v>
      </c>
      <c r="E901" t="s">
        <v>75</v>
      </c>
      <c r="G901">
        <v>20.8</v>
      </c>
      <c r="H901">
        <v>21.5</v>
      </c>
      <c r="I901" t="s">
        <v>96</v>
      </c>
      <c r="K901">
        <f t="shared" si="28"/>
        <v>20.8</v>
      </c>
      <c r="L901">
        <f t="shared" si="29"/>
        <v>21.5</v>
      </c>
      <c r="M901" t="s">
        <v>143</v>
      </c>
      <c r="O901" s="7">
        <v>44399</v>
      </c>
    </row>
    <row r="902" spans="1:15" x14ac:dyDescent="0.15">
      <c r="A902" t="s">
        <v>265</v>
      </c>
      <c r="B902" t="s">
        <v>266</v>
      </c>
      <c r="D902">
        <v>27</v>
      </c>
      <c r="E902" t="s">
        <v>75</v>
      </c>
      <c r="G902">
        <v>25.49</v>
      </c>
      <c r="H902">
        <v>25.53</v>
      </c>
      <c r="I902" t="s">
        <v>96</v>
      </c>
      <c r="K902">
        <f t="shared" si="28"/>
        <v>25.49</v>
      </c>
      <c r="L902">
        <f t="shared" si="29"/>
        <v>25.53</v>
      </c>
      <c r="M902" t="s">
        <v>25</v>
      </c>
      <c r="O902" s="7">
        <v>44399</v>
      </c>
    </row>
    <row r="903" spans="1:15" x14ac:dyDescent="0.15">
      <c r="A903" t="s">
        <v>265</v>
      </c>
      <c r="B903" t="s">
        <v>266</v>
      </c>
      <c r="D903">
        <v>27</v>
      </c>
      <c r="E903" t="s">
        <v>75</v>
      </c>
      <c r="G903">
        <v>25.864999999999998</v>
      </c>
      <c r="H903">
        <v>26.48</v>
      </c>
      <c r="I903" t="s">
        <v>94</v>
      </c>
      <c r="K903">
        <f t="shared" si="28"/>
        <v>25.864999999999998</v>
      </c>
      <c r="L903">
        <f t="shared" si="29"/>
        <v>26.48</v>
      </c>
      <c r="M903" t="s">
        <v>25</v>
      </c>
      <c r="O903" s="7">
        <v>44244</v>
      </c>
    </row>
    <row r="904" spans="1:15" x14ac:dyDescent="0.15">
      <c r="A904" t="s">
        <v>265</v>
      </c>
      <c r="B904" t="s">
        <v>266</v>
      </c>
      <c r="D904">
        <v>27</v>
      </c>
      <c r="E904" t="s">
        <v>75</v>
      </c>
      <c r="G904">
        <v>26.507999999999999</v>
      </c>
      <c r="H904">
        <v>27.1</v>
      </c>
      <c r="I904" t="s">
        <v>94</v>
      </c>
      <c r="K904">
        <f t="shared" si="28"/>
        <v>26.507999999999999</v>
      </c>
      <c r="L904">
        <f t="shared" si="29"/>
        <v>27.1</v>
      </c>
      <c r="M904" t="s">
        <v>25</v>
      </c>
      <c r="O904" s="7">
        <v>44244</v>
      </c>
    </row>
    <row r="905" spans="1:15" x14ac:dyDescent="0.15">
      <c r="A905" t="s">
        <v>265</v>
      </c>
      <c r="B905" t="s">
        <v>266</v>
      </c>
      <c r="D905">
        <v>27</v>
      </c>
      <c r="E905" t="s">
        <v>76</v>
      </c>
      <c r="F905" t="s">
        <v>82</v>
      </c>
      <c r="G905">
        <v>4.53</v>
      </c>
      <c r="H905">
        <v>4.53</v>
      </c>
      <c r="I905" t="s">
        <v>97</v>
      </c>
      <c r="K905">
        <f t="shared" si="28"/>
        <v>4.53</v>
      </c>
      <c r="L905">
        <f t="shared" si="29"/>
        <v>4.53</v>
      </c>
      <c r="M905" t="s">
        <v>25</v>
      </c>
      <c r="O905" s="7">
        <v>44350</v>
      </c>
    </row>
    <row r="906" spans="1:15" x14ac:dyDescent="0.15">
      <c r="A906" t="s">
        <v>265</v>
      </c>
      <c r="B906" t="s">
        <v>266</v>
      </c>
      <c r="D906">
        <v>58</v>
      </c>
      <c r="E906" t="s">
        <v>74</v>
      </c>
      <c r="G906">
        <v>29.48</v>
      </c>
      <c r="H906">
        <v>29.71</v>
      </c>
      <c r="I906" t="s">
        <v>92</v>
      </c>
      <c r="K906">
        <f t="shared" si="28"/>
        <v>29.48</v>
      </c>
      <c r="L906">
        <f t="shared" si="29"/>
        <v>29.71</v>
      </c>
      <c r="M906" t="s">
        <v>25</v>
      </c>
      <c r="O906" s="7">
        <v>44264</v>
      </c>
    </row>
    <row r="907" spans="1:15" x14ac:dyDescent="0.15">
      <c r="A907" t="s">
        <v>265</v>
      </c>
      <c r="B907" t="s">
        <v>266</v>
      </c>
      <c r="D907">
        <v>58</v>
      </c>
      <c r="E907" t="s">
        <v>74</v>
      </c>
      <c r="G907">
        <v>29.49</v>
      </c>
      <c r="H907">
        <v>29.7</v>
      </c>
      <c r="I907" t="s">
        <v>92</v>
      </c>
      <c r="K907">
        <f t="shared" si="28"/>
        <v>29.49</v>
      </c>
      <c r="L907">
        <f t="shared" si="29"/>
        <v>29.7</v>
      </c>
      <c r="M907" t="s">
        <v>280</v>
      </c>
      <c r="O907" s="7">
        <v>44264</v>
      </c>
    </row>
    <row r="908" spans="1:15" x14ac:dyDescent="0.15">
      <c r="A908" t="s">
        <v>265</v>
      </c>
      <c r="B908" t="s">
        <v>266</v>
      </c>
      <c r="D908">
        <v>58</v>
      </c>
      <c r="E908" t="s">
        <v>74</v>
      </c>
      <c r="G908">
        <v>30.45</v>
      </c>
      <c r="H908">
        <v>30.45</v>
      </c>
      <c r="I908" t="s">
        <v>92</v>
      </c>
      <c r="K908">
        <f t="shared" si="28"/>
        <v>30.45</v>
      </c>
      <c r="L908">
        <f t="shared" si="29"/>
        <v>30.45</v>
      </c>
      <c r="M908" t="s">
        <v>25</v>
      </c>
      <c r="O908" s="7">
        <v>44264</v>
      </c>
    </row>
    <row r="909" spans="1:15" x14ac:dyDescent="0.15">
      <c r="A909" t="s">
        <v>265</v>
      </c>
      <c r="B909" t="s">
        <v>266</v>
      </c>
      <c r="D909">
        <v>58</v>
      </c>
      <c r="E909" t="s">
        <v>74</v>
      </c>
      <c r="G909">
        <v>31</v>
      </c>
      <c r="H909">
        <v>31.2</v>
      </c>
      <c r="I909" t="s">
        <v>95</v>
      </c>
      <c r="K909">
        <f t="shared" si="28"/>
        <v>31</v>
      </c>
      <c r="L909">
        <f t="shared" si="29"/>
        <v>31.2</v>
      </c>
      <c r="M909" t="s">
        <v>25</v>
      </c>
      <c r="O909" s="7">
        <v>44264</v>
      </c>
    </row>
    <row r="910" spans="1:15" x14ac:dyDescent="0.15">
      <c r="A910" t="s">
        <v>265</v>
      </c>
      <c r="B910" t="s">
        <v>266</v>
      </c>
      <c r="D910">
        <v>58</v>
      </c>
      <c r="E910" t="s">
        <v>74</v>
      </c>
      <c r="G910">
        <v>32.4</v>
      </c>
      <c r="H910">
        <v>32.85</v>
      </c>
      <c r="I910" t="s">
        <v>92</v>
      </c>
      <c r="K910">
        <f t="shared" si="28"/>
        <v>32.4</v>
      </c>
      <c r="L910">
        <f t="shared" si="29"/>
        <v>32.85</v>
      </c>
      <c r="M910" t="s">
        <v>25</v>
      </c>
      <c r="O910" s="7">
        <v>44264</v>
      </c>
    </row>
    <row r="911" spans="1:15" x14ac:dyDescent="0.15">
      <c r="A911" t="s">
        <v>265</v>
      </c>
      <c r="B911" t="s">
        <v>266</v>
      </c>
      <c r="D911">
        <v>58</v>
      </c>
      <c r="E911" t="s">
        <v>74</v>
      </c>
      <c r="G911">
        <v>38</v>
      </c>
      <c r="H911">
        <v>38.200000000000003</v>
      </c>
      <c r="I911" t="s">
        <v>182</v>
      </c>
      <c r="K911">
        <f t="shared" si="28"/>
        <v>38</v>
      </c>
      <c r="L911">
        <f t="shared" si="29"/>
        <v>38.200000000000003</v>
      </c>
      <c r="M911" t="s">
        <v>143</v>
      </c>
      <c r="O911" s="7">
        <v>44366</v>
      </c>
    </row>
    <row r="912" spans="1:15" x14ac:dyDescent="0.15">
      <c r="A912" t="s">
        <v>265</v>
      </c>
      <c r="B912" t="s">
        <v>266</v>
      </c>
      <c r="D912">
        <v>58</v>
      </c>
      <c r="E912" t="s">
        <v>74</v>
      </c>
      <c r="G912">
        <v>38.4</v>
      </c>
      <c r="H912">
        <v>38.700000000000003</v>
      </c>
      <c r="I912" t="s">
        <v>182</v>
      </c>
      <c r="K912">
        <f t="shared" si="28"/>
        <v>38.4</v>
      </c>
      <c r="L912">
        <f t="shared" si="29"/>
        <v>38.700000000000003</v>
      </c>
      <c r="M912" t="s">
        <v>143</v>
      </c>
      <c r="O912" s="7">
        <v>44366</v>
      </c>
    </row>
    <row r="913" spans="1:15" x14ac:dyDescent="0.15">
      <c r="A913" t="s">
        <v>265</v>
      </c>
      <c r="B913" t="s">
        <v>266</v>
      </c>
      <c r="D913">
        <v>58</v>
      </c>
      <c r="E913" t="s">
        <v>74</v>
      </c>
      <c r="G913">
        <v>39.685000000000002</v>
      </c>
      <c r="H913">
        <v>39.799999999999997</v>
      </c>
      <c r="I913" t="s">
        <v>182</v>
      </c>
      <c r="K913">
        <f t="shared" si="28"/>
        <v>39.685000000000002</v>
      </c>
      <c r="L913">
        <f t="shared" si="29"/>
        <v>39.799999999999997</v>
      </c>
      <c r="M913" t="s">
        <v>143</v>
      </c>
      <c r="O913" s="7">
        <v>44366</v>
      </c>
    </row>
    <row r="914" spans="1:15" x14ac:dyDescent="0.15">
      <c r="A914" t="s">
        <v>265</v>
      </c>
      <c r="B914" t="s">
        <v>266</v>
      </c>
      <c r="D914">
        <v>58</v>
      </c>
      <c r="E914" t="s">
        <v>74</v>
      </c>
      <c r="G914">
        <v>39.799999999999997</v>
      </c>
      <c r="H914">
        <v>39.880000000000003</v>
      </c>
      <c r="I914" t="s">
        <v>182</v>
      </c>
      <c r="K914">
        <f t="shared" si="28"/>
        <v>39.799999999999997</v>
      </c>
      <c r="L914">
        <f t="shared" si="29"/>
        <v>39.880000000000003</v>
      </c>
      <c r="M914" t="s">
        <v>143</v>
      </c>
      <c r="O914" s="7">
        <v>44366</v>
      </c>
    </row>
    <row r="915" spans="1:15" x14ac:dyDescent="0.15">
      <c r="A915" t="s">
        <v>265</v>
      </c>
      <c r="B915" t="s">
        <v>266</v>
      </c>
      <c r="D915">
        <v>58</v>
      </c>
      <c r="E915" t="s">
        <v>74</v>
      </c>
      <c r="G915">
        <v>40</v>
      </c>
      <c r="H915">
        <v>41.225000000000001</v>
      </c>
      <c r="I915" t="s">
        <v>92</v>
      </c>
      <c r="K915">
        <f t="shared" si="28"/>
        <v>40</v>
      </c>
      <c r="L915">
        <f t="shared" si="29"/>
        <v>41.225000000000001</v>
      </c>
      <c r="M915" t="s">
        <v>143</v>
      </c>
      <c r="O915" s="7">
        <v>44366</v>
      </c>
    </row>
    <row r="916" spans="1:15" x14ac:dyDescent="0.15">
      <c r="A916" t="s">
        <v>265</v>
      </c>
      <c r="B916" t="s">
        <v>266</v>
      </c>
      <c r="D916">
        <v>58</v>
      </c>
      <c r="E916" t="s">
        <v>74</v>
      </c>
      <c r="G916">
        <v>41.225000000000001</v>
      </c>
      <c r="H916">
        <v>41.25</v>
      </c>
      <c r="I916" t="s">
        <v>92</v>
      </c>
      <c r="K916">
        <f t="shared" si="28"/>
        <v>41.225000000000001</v>
      </c>
      <c r="L916">
        <f t="shared" si="29"/>
        <v>41.25</v>
      </c>
      <c r="M916" t="s">
        <v>25</v>
      </c>
      <c r="O916" s="7">
        <v>44257</v>
      </c>
    </row>
    <row r="917" spans="1:15" x14ac:dyDescent="0.15">
      <c r="A917" t="s">
        <v>265</v>
      </c>
      <c r="B917" t="s">
        <v>266</v>
      </c>
      <c r="D917">
        <v>58</v>
      </c>
      <c r="E917" t="s">
        <v>74</v>
      </c>
      <c r="G917">
        <v>41.25</v>
      </c>
      <c r="H917">
        <v>41.26</v>
      </c>
      <c r="I917" t="s">
        <v>92</v>
      </c>
      <c r="K917">
        <f t="shared" si="28"/>
        <v>41.25</v>
      </c>
      <c r="L917">
        <f t="shared" si="29"/>
        <v>41.26</v>
      </c>
      <c r="M917" t="s">
        <v>143</v>
      </c>
      <c r="O917" s="7">
        <v>44366</v>
      </c>
    </row>
    <row r="918" spans="1:15" x14ac:dyDescent="0.15">
      <c r="A918" t="s">
        <v>265</v>
      </c>
      <c r="B918" t="s">
        <v>266</v>
      </c>
      <c r="D918">
        <v>58</v>
      </c>
      <c r="E918" t="s">
        <v>74</v>
      </c>
      <c r="G918">
        <v>41.31</v>
      </c>
      <c r="H918">
        <v>41.36</v>
      </c>
      <c r="I918" t="s">
        <v>92</v>
      </c>
      <c r="K918">
        <f t="shared" si="28"/>
        <v>41.31</v>
      </c>
      <c r="L918">
        <f t="shared" si="29"/>
        <v>41.36</v>
      </c>
      <c r="M918" t="s">
        <v>25</v>
      </c>
      <c r="O918" s="7">
        <v>44257</v>
      </c>
    </row>
    <row r="919" spans="1:15" x14ac:dyDescent="0.15">
      <c r="A919" t="s">
        <v>265</v>
      </c>
      <c r="B919" t="s">
        <v>266</v>
      </c>
      <c r="D919">
        <v>58</v>
      </c>
      <c r="E919" t="s">
        <v>74</v>
      </c>
      <c r="G919">
        <v>41.31</v>
      </c>
      <c r="H919">
        <v>41.6</v>
      </c>
      <c r="I919" t="s">
        <v>92</v>
      </c>
      <c r="K919">
        <f t="shared" si="28"/>
        <v>41.31</v>
      </c>
      <c r="L919">
        <f t="shared" si="29"/>
        <v>41.6</v>
      </c>
      <c r="M919" t="s">
        <v>143</v>
      </c>
      <c r="O919" s="7">
        <v>44366</v>
      </c>
    </row>
    <row r="920" spans="1:15" x14ac:dyDescent="0.15">
      <c r="A920" t="s">
        <v>265</v>
      </c>
      <c r="B920" t="s">
        <v>266</v>
      </c>
      <c r="D920">
        <v>58</v>
      </c>
      <c r="E920" t="s">
        <v>74</v>
      </c>
      <c r="G920">
        <v>41.6</v>
      </c>
      <c r="H920">
        <v>41.8</v>
      </c>
      <c r="I920" t="s">
        <v>92</v>
      </c>
      <c r="K920">
        <f t="shared" si="28"/>
        <v>41.6</v>
      </c>
      <c r="L920">
        <f t="shared" si="29"/>
        <v>41.8</v>
      </c>
      <c r="M920" t="s">
        <v>143</v>
      </c>
      <c r="O920" s="7">
        <v>44366</v>
      </c>
    </row>
    <row r="921" spans="1:15" x14ac:dyDescent="0.15">
      <c r="A921" t="s">
        <v>265</v>
      </c>
      <c r="B921" t="s">
        <v>266</v>
      </c>
      <c r="D921">
        <v>58</v>
      </c>
      <c r="E921" t="s">
        <v>74</v>
      </c>
      <c r="G921">
        <v>44.2</v>
      </c>
      <c r="H921">
        <v>44.4</v>
      </c>
      <c r="I921" t="s">
        <v>92</v>
      </c>
      <c r="K921">
        <f t="shared" si="28"/>
        <v>44.2</v>
      </c>
      <c r="L921">
        <f t="shared" si="29"/>
        <v>44.4</v>
      </c>
      <c r="M921" t="s">
        <v>25</v>
      </c>
      <c r="O921" s="7">
        <v>44257</v>
      </c>
    </row>
    <row r="922" spans="1:15" x14ac:dyDescent="0.15">
      <c r="A922" t="s">
        <v>265</v>
      </c>
      <c r="B922" t="s">
        <v>266</v>
      </c>
      <c r="D922">
        <v>58</v>
      </c>
      <c r="E922" t="s">
        <v>74</v>
      </c>
      <c r="G922">
        <v>45</v>
      </c>
      <c r="H922">
        <v>45.024999999999999</v>
      </c>
      <c r="I922" t="s">
        <v>92</v>
      </c>
      <c r="K922">
        <f t="shared" si="28"/>
        <v>45</v>
      </c>
      <c r="L922">
        <f t="shared" si="29"/>
        <v>45.024999999999999</v>
      </c>
      <c r="M922" t="s">
        <v>25</v>
      </c>
      <c r="O922" s="7">
        <v>44257</v>
      </c>
    </row>
    <row r="923" spans="1:15" x14ac:dyDescent="0.15">
      <c r="A923" t="s">
        <v>265</v>
      </c>
      <c r="B923" t="s">
        <v>266</v>
      </c>
      <c r="D923">
        <v>58</v>
      </c>
      <c r="E923" t="s">
        <v>74</v>
      </c>
      <c r="G923">
        <v>45.4</v>
      </c>
      <c r="H923">
        <v>46.1</v>
      </c>
      <c r="I923" t="s">
        <v>92</v>
      </c>
      <c r="K923">
        <f t="shared" si="28"/>
        <v>45.4</v>
      </c>
      <c r="L923">
        <f t="shared" si="29"/>
        <v>46.1</v>
      </c>
      <c r="M923" t="s">
        <v>143</v>
      </c>
      <c r="O923" s="7">
        <v>44366</v>
      </c>
    </row>
    <row r="924" spans="1:15" x14ac:dyDescent="0.15">
      <c r="A924" t="s">
        <v>265</v>
      </c>
      <c r="B924" t="s">
        <v>266</v>
      </c>
      <c r="D924">
        <v>58</v>
      </c>
      <c r="E924" t="s">
        <v>74</v>
      </c>
      <c r="G924">
        <v>46.4</v>
      </c>
      <c r="H924">
        <v>46.5</v>
      </c>
      <c r="I924" t="s">
        <v>91</v>
      </c>
      <c r="K924">
        <f t="shared" si="28"/>
        <v>46.4</v>
      </c>
      <c r="L924">
        <f t="shared" si="29"/>
        <v>46.5</v>
      </c>
      <c r="M924" t="s">
        <v>143</v>
      </c>
      <c r="O924" s="7">
        <v>44366</v>
      </c>
    </row>
    <row r="925" spans="1:15" x14ac:dyDescent="0.15">
      <c r="A925" t="s">
        <v>265</v>
      </c>
      <c r="B925" t="s">
        <v>266</v>
      </c>
      <c r="D925">
        <v>58</v>
      </c>
      <c r="E925" t="s">
        <v>74</v>
      </c>
      <c r="G925">
        <v>46.5</v>
      </c>
      <c r="H925">
        <v>46.7</v>
      </c>
      <c r="I925" t="s">
        <v>91</v>
      </c>
      <c r="K925">
        <f t="shared" si="28"/>
        <v>46.5</v>
      </c>
      <c r="L925">
        <f t="shared" si="29"/>
        <v>46.7</v>
      </c>
      <c r="M925" t="s">
        <v>143</v>
      </c>
      <c r="O925" s="7">
        <v>44366</v>
      </c>
    </row>
    <row r="926" spans="1:15" x14ac:dyDescent="0.15">
      <c r="A926" t="s">
        <v>265</v>
      </c>
      <c r="B926" t="s">
        <v>266</v>
      </c>
      <c r="D926">
        <v>58</v>
      </c>
      <c r="E926" t="s">
        <v>74</v>
      </c>
      <c r="G926">
        <v>46.8</v>
      </c>
      <c r="H926">
        <v>46.9</v>
      </c>
      <c r="I926" t="s">
        <v>91</v>
      </c>
      <c r="K926">
        <f t="shared" si="28"/>
        <v>46.8</v>
      </c>
      <c r="L926">
        <f t="shared" si="29"/>
        <v>46.9</v>
      </c>
      <c r="M926" t="s">
        <v>143</v>
      </c>
      <c r="O926" s="7">
        <v>44366</v>
      </c>
    </row>
    <row r="927" spans="1:15" x14ac:dyDescent="0.15">
      <c r="A927" t="s">
        <v>265</v>
      </c>
      <c r="B927" t="s">
        <v>266</v>
      </c>
      <c r="D927">
        <v>58</v>
      </c>
      <c r="E927" t="s">
        <v>74</v>
      </c>
      <c r="G927">
        <v>47.27</v>
      </c>
      <c r="H927">
        <v>47.3</v>
      </c>
      <c r="I927" t="s">
        <v>91</v>
      </c>
      <c r="K927">
        <f t="shared" si="28"/>
        <v>47.27</v>
      </c>
      <c r="L927">
        <f t="shared" si="29"/>
        <v>47.3</v>
      </c>
      <c r="M927" t="s">
        <v>100</v>
      </c>
      <c r="O927" s="7">
        <v>44366</v>
      </c>
    </row>
    <row r="928" spans="1:15" x14ac:dyDescent="0.15">
      <c r="A928" t="s">
        <v>265</v>
      </c>
      <c r="B928" t="s">
        <v>266</v>
      </c>
      <c r="D928">
        <v>58</v>
      </c>
      <c r="E928" t="s">
        <v>74</v>
      </c>
      <c r="G928">
        <v>47.55</v>
      </c>
      <c r="H928">
        <v>47.65</v>
      </c>
      <c r="I928" t="s">
        <v>92</v>
      </c>
      <c r="K928">
        <f t="shared" si="28"/>
        <v>47.55</v>
      </c>
      <c r="L928">
        <f t="shared" si="29"/>
        <v>47.65</v>
      </c>
      <c r="M928" t="s">
        <v>25</v>
      </c>
      <c r="O928" s="7">
        <v>44257</v>
      </c>
    </row>
    <row r="929" spans="1:15" x14ac:dyDescent="0.15">
      <c r="A929" t="s">
        <v>265</v>
      </c>
      <c r="B929" t="s">
        <v>266</v>
      </c>
      <c r="D929">
        <v>58</v>
      </c>
      <c r="E929" t="s">
        <v>74</v>
      </c>
      <c r="G929">
        <v>52</v>
      </c>
      <c r="H929">
        <v>52.25</v>
      </c>
      <c r="I929" t="s">
        <v>92</v>
      </c>
      <c r="K929">
        <f t="shared" si="28"/>
        <v>52</v>
      </c>
      <c r="L929">
        <f t="shared" si="29"/>
        <v>52.25</v>
      </c>
      <c r="M929" t="s">
        <v>25</v>
      </c>
      <c r="O929" s="7">
        <v>44257</v>
      </c>
    </row>
    <row r="930" spans="1:15" x14ac:dyDescent="0.15">
      <c r="A930" t="s">
        <v>265</v>
      </c>
      <c r="B930" t="s">
        <v>266</v>
      </c>
      <c r="D930">
        <v>58</v>
      </c>
      <c r="E930" t="s">
        <v>74</v>
      </c>
      <c r="G930">
        <v>55.7</v>
      </c>
      <c r="H930">
        <v>56.4</v>
      </c>
      <c r="I930" t="s">
        <v>92</v>
      </c>
      <c r="K930">
        <f t="shared" si="28"/>
        <v>55.7</v>
      </c>
      <c r="L930">
        <f t="shared" si="29"/>
        <v>56.4</v>
      </c>
      <c r="M930" t="s">
        <v>25</v>
      </c>
      <c r="O930" s="7">
        <v>44249</v>
      </c>
    </row>
    <row r="931" spans="1:15" x14ac:dyDescent="0.15">
      <c r="A931" t="s">
        <v>265</v>
      </c>
      <c r="B931" t="s">
        <v>266</v>
      </c>
      <c r="D931">
        <v>58</v>
      </c>
      <c r="E931" t="s">
        <v>74</v>
      </c>
      <c r="G931">
        <v>56.174999999999997</v>
      </c>
      <c r="H931">
        <v>56.26</v>
      </c>
      <c r="I931" t="s">
        <v>91</v>
      </c>
      <c r="K931">
        <f t="shared" si="28"/>
        <v>56.174999999999997</v>
      </c>
      <c r="L931">
        <f t="shared" si="29"/>
        <v>56.26</v>
      </c>
      <c r="M931" t="s">
        <v>25</v>
      </c>
      <c r="O931" s="7">
        <v>44453</v>
      </c>
    </row>
    <row r="932" spans="1:15" x14ac:dyDescent="0.15">
      <c r="A932" t="s">
        <v>265</v>
      </c>
      <c r="B932" t="s">
        <v>266</v>
      </c>
      <c r="D932">
        <v>58</v>
      </c>
      <c r="E932" t="s">
        <v>74</v>
      </c>
      <c r="G932">
        <v>59.4</v>
      </c>
      <c r="H932">
        <v>59.6</v>
      </c>
      <c r="I932" t="s">
        <v>92</v>
      </c>
      <c r="K932">
        <f t="shared" si="28"/>
        <v>59.4</v>
      </c>
      <c r="L932">
        <f t="shared" si="29"/>
        <v>59.6</v>
      </c>
      <c r="M932" t="s">
        <v>25</v>
      </c>
      <c r="O932" s="7">
        <v>44248</v>
      </c>
    </row>
    <row r="933" spans="1:15" x14ac:dyDescent="0.15">
      <c r="A933" t="s">
        <v>265</v>
      </c>
      <c r="B933" t="s">
        <v>266</v>
      </c>
      <c r="D933">
        <v>58</v>
      </c>
      <c r="E933" t="s">
        <v>74</v>
      </c>
      <c r="G933">
        <v>60.1</v>
      </c>
      <c r="H933">
        <v>60.375</v>
      </c>
      <c r="I933" t="s">
        <v>92</v>
      </c>
      <c r="K933">
        <f t="shared" si="28"/>
        <v>60.1</v>
      </c>
      <c r="L933">
        <f t="shared" si="29"/>
        <v>60.375</v>
      </c>
      <c r="M933" t="s">
        <v>25</v>
      </c>
      <c r="O933" s="7">
        <v>44248</v>
      </c>
    </row>
    <row r="934" spans="1:15" x14ac:dyDescent="0.15">
      <c r="A934" t="s">
        <v>265</v>
      </c>
      <c r="B934" t="s">
        <v>266</v>
      </c>
      <c r="D934">
        <v>58</v>
      </c>
      <c r="E934" t="s">
        <v>74</v>
      </c>
      <c r="G934">
        <v>61</v>
      </c>
      <c r="H934">
        <v>62.2</v>
      </c>
      <c r="I934" t="s">
        <v>92</v>
      </c>
      <c r="K934">
        <f t="shared" si="28"/>
        <v>61</v>
      </c>
      <c r="L934">
        <f t="shared" si="29"/>
        <v>62.2</v>
      </c>
      <c r="M934" t="s">
        <v>25</v>
      </c>
      <c r="O934" s="7">
        <v>44248</v>
      </c>
    </row>
    <row r="935" spans="1:15" x14ac:dyDescent="0.15">
      <c r="A935" t="s">
        <v>265</v>
      </c>
      <c r="B935" t="s">
        <v>266</v>
      </c>
      <c r="D935">
        <v>58</v>
      </c>
      <c r="E935" t="s">
        <v>74</v>
      </c>
      <c r="G935">
        <v>89.95</v>
      </c>
      <c r="H935">
        <v>89.974999999999994</v>
      </c>
      <c r="I935" t="s">
        <v>91</v>
      </c>
      <c r="K935">
        <f t="shared" si="28"/>
        <v>89.95</v>
      </c>
      <c r="L935">
        <f t="shared" si="29"/>
        <v>89.974999999999994</v>
      </c>
      <c r="M935" t="s">
        <v>25</v>
      </c>
      <c r="O935" s="7">
        <v>44441</v>
      </c>
    </row>
    <row r="936" spans="1:15" x14ac:dyDescent="0.15">
      <c r="A936" t="s">
        <v>265</v>
      </c>
      <c r="B936" t="s">
        <v>266</v>
      </c>
      <c r="D936">
        <v>58</v>
      </c>
      <c r="E936" t="s">
        <v>74</v>
      </c>
      <c r="G936">
        <v>91.075000000000003</v>
      </c>
      <c r="H936">
        <v>91.775000000000006</v>
      </c>
      <c r="I936" t="s">
        <v>92</v>
      </c>
      <c r="K936">
        <f t="shared" si="28"/>
        <v>91.075000000000003</v>
      </c>
      <c r="L936">
        <f t="shared" si="29"/>
        <v>91.775000000000006</v>
      </c>
      <c r="M936" t="s">
        <v>25</v>
      </c>
      <c r="O936" s="7">
        <v>44247</v>
      </c>
    </row>
    <row r="937" spans="1:15" x14ac:dyDescent="0.15">
      <c r="A937" t="s">
        <v>265</v>
      </c>
      <c r="B937" t="s">
        <v>266</v>
      </c>
      <c r="D937">
        <v>58</v>
      </c>
      <c r="E937" t="s">
        <v>74</v>
      </c>
      <c r="G937">
        <v>91.075000000000003</v>
      </c>
      <c r="H937">
        <v>91.775000000000006</v>
      </c>
      <c r="I937" t="s">
        <v>92</v>
      </c>
      <c r="K937">
        <f t="shared" si="28"/>
        <v>91.075000000000003</v>
      </c>
      <c r="L937">
        <f t="shared" si="29"/>
        <v>91.775000000000006</v>
      </c>
      <c r="M937" t="s">
        <v>25</v>
      </c>
      <c r="O937" s="7">
        <v>44247</v>
      </c>
    </row>
    <row r="938" spans="1:15" x14ac:dyDescent="0.15">
      <c r="A938" t="s">
        <v>265</v>
      </c>
      <c r="B938" t="s">
        <v>266</v>
      </c>
      <c r="D938">
        <v>58</v>
      </c>
      <c r="E938" t="s">
        <v>74</v>
      </c>
      <c r="G938">
        <v>91.3</v>
      </c>
      <c r="H938">
        <v>91.5</v>
      </c>
      <c r="I938" t="s">
        <v>91</v>
      </c>
      <c r="K938">
        <f t="shared" si="28"/>
        <v>91.3</v>
      </c>
      <c r="L938">
        <f t="shared" si="29"/>
        <v>91.5</v>
      </c>
      <c r="M938" t="s">
        <v>25</v>
      </c>
      <c r="O938" s="7">
        <v>44441</v>
      </c>
    </row>
    <row r="939" spans="1:15" x14ac:dyDescent="0.15">
      <c r="A939" t="s">
        <v>265</v>
      </c>
      <c r="B939" t="s">
        <v>266</v>
      </c>
      <c r="D939">
        <v>58</v>
      </c>
      <c r="E939" t="s">
        <v>74</v>
      </c>
      <c r="G939">
        <v>92.8</v>
      </c>
      <c r="H939">
        <v>92.8</v>
      </c>
      <c r="I939" t="s">
        <v>91</v>
      </c>
      <c r="K939">
        <f t="shared" si="28"/>
        <v>92.8</v>
      </c>
      <c r="L939">
        <f t="shared" si="29"/>
        <v>92.8</v>
      </c>
      <c r="O939" s="7">
        <v>44441</v>
      </c>
    </row>
    <row r="940" spans="1:15" x14ac:dyDescent="0.15">
      <c r="A940" t="s">
        <v>265</v>
      </c>
      <c r="B940" t="s">
        <v>266</v>
      </c>
      <c r="D940">
        <v>58</v>
      </c>
      <c r="E940" t="s">
        <v>74</v>
      </c>
      <c r="G940">
        <v>94.9</v>
      </c>
      <c r="H940">
        <v>95.3</v>
      </c>
      <c r="I940" t="s">
        <v>92</v>
      </c>
      <c r="K940">
        <f t="shared" si="28"/>
        <v>94.9</v>
      </c>
      <c r="L940">
        <f t="shared" si="29"/>
        <v>95.3</v>
      </c>
      <c r="M940" t="s">
        <v>25</v>
      </c>
      <c r="O940" s="7">
        <v>44438</v>
      </c>
    </row>
    <row r="941" spans="1:15" x14ac:dyDescent="0.15">
      <c r="A941" t="s">
        <v>265</v>
      </c>
      <c r="B941" t="s">
        <v>266</v>
      </c>
      <c r="D941">
        <v>58</v>
      </c>
      <c r="E941" t="s">
        <v>74</v>
      </c>
      <c r="G941">
        <v>96.9</v>
      </c>
      <c r="H941">
        <v>97.3</v>
      </c>
      <c r="I941" t="s">
        <v>91</v>
      </c>
      <c r="K941">
        <f t="shared" si="28"/>
        <v>96.9</v>
      </c>
      <c r="L941">
        <f t="shared" si="29"/>
        <v>97.3</v>
      </c>
      <c r="M941" t="s">
        <v>25</v>
      </c>
      <c r="O941" s="7">
        <v>44259</v>
      </c>
    </row>
    <row r="942" spans="1:15" x14ac:dyDescent="0.15">
      <c r="A942" t="s">
        <v>265</v>
      </c>
      <c r="B942" t="s">
        <v>266</v>
      </c>
      <c r="D942">
        <v>58</v>
      </c>
      <c r="E942" t="s">
        <v>74</v>
      </c>
      <c r="G942">
        <v>97.474999999999994</v>
      </c>
      <c r="H942">
        <v>97.515000000000001</v>
      </c>
      <c r="I942" t="s">
        <v>92</v>
      </c>
      <c r="K942">
        <f t="shared" si="28"/>
        <v>97.474999999999994</v>
      </c>
      <c r="L942">
        <f t="shared" si="29"/>
        <v>97.515000000000001</v>
      </c>
      <c r="M942" t="s">
        <v>25</v>
      </c>
      <c r="O942" s="7">
        <v>44259</v>
      </c>
    </row>
    <row r="943" spans="1:15" x14ac:dyDescent="0.15">
      <c r="A943" t="s">
        <v>265</v>
      </c>
      <c r="B943" t="s">
        <v>266</v>
      </c>
      <c r="D943">
        <v>58</v>
      </c>
      <c r="E943" t="s">
        <v>74</v>
      </c>
      <c r="G943">
        <v>98.2</v>
      </c>
      <c r="H943">
        <v>98.3</v>
      </c>
      <c r="I943" t="s">
        <v>92</v>
      </c>
      <c r="K943">
        <f t="shared" si="28"/>
        <v>98.2</v>
      </c>
      <c r="L943">
        <f t="shared" si="29"/>
        <v>98.3</v>
      </c>
      <c r="M943" t="s">
        <v>25</v>
      </c>
      <c r="O943" s="7">
        <v>44441</v>
      </c>
    </row>
    <row r="944" spans="1:15" x14ac:dyDescent="0.15">
      <c r="A944" t="s">
        <v>265</v>
      </c>
      <c r="B944" t="s">
        <v>266</v>
      </c>
      <c r="D944">
        <v>58</v>
      </c>
      <c r="E944" t="s">
        <v>74</v>
      </c>
      <c r="G944">
        <v>102.5</v>
      </c>
      <c r="H944">
        <v>102.6</v>
      </c>
      <c r="I944" t="s">
        <v>91</v>
      </c>
      <c r="K944">
        <f t="shared" si="28"/>
        <v>102.5</v>
      </c>
      <c r="L944">
        <f t="shared" si="29"/>
        <v>102.6</v>
      </c>
      <c r="M944" t="s">
        <v>281</v>
      </c>
      <c r="O944" s="7">
        <v>44335</v>
      </c>
    </row>
    <row r="945" spans="1:15" x14ac:dyDescent="0.15">
      <c r="A945" t="s">
        <v>265</v>
      </c>
      <c r="B945" t="s">
        <v>266</v>
      </c>
      <c r="D945">
        <v>58</v>
      </c>
      <c r="E945" t="s">
        <v>74</v>
      </c>
      <c r="G945">
        <v>119.2</v>
      </c>
      <c r="H945">
        <v>119.3</v>
      </c>
      <c r="I945" t="s">
        <v>91</v>
      </c>
      <c r="K945">
        <f t="shared" si="28"/>
        <v>119.2</v>
      </c>
      <c r="L945">
        <f t="shared" si="29"/>
        <v>119.3</v>
      </c>
      <c r="M945" t="s">
        <v>286</v>
      </c>
      <c r="O945" s="7">
        <v>44446</v>
      </c>
    </row>
    <row r="946" spans="1:15" x14ac:dyDescent="0.15">
      <c r="A946" t="s">
        <v>265</v>
      </c>
      <c r="B946" t="s">
        <v>266</v>
      </c>
      <c r="D946">
        <v>58</v>
      </c>
      <c r="E946" t="s">
        <v>74</v>
      </c>
      <c r="G946">
        <v>119.3</v>
      </c>
      <c r="H946">
        <v>119.34</v>
      </c>
      <c r="I946" t="s">
        <v>91</v>
      </c>
      <c r="K946">
        <f t="shared" si="28"/>
        <v>119.3</v>
      </c>
      <c r="L946">
        <f t="shared" si="29"/>
        <v>119.34</v>
      </c>
      <c r="M946" t="s">
        <v>286</v>
      </c>
      <c r="O946" s="7">
        <v>44446</v>
      </c>
    </row>
    <row r="947" spans="1:15" x14ac:dyDescent="0.15">
      <c r="A947" t="s">
        <v>265</v>
      </c>
      <c r="B947" t="s">
        <v>266</v>
      </c>
      <c r="D947">
        <v>58</v>
      </c>
      <c r="E947" t="s">
        <v>75</v>
      </c>
      <c r="G947">
        <v>32.049999999999997</v>
      </c>
      <c r="H947">
        <v>32.049999999999997</v>
      </c>
      <c r="I947" t="s">
        <v>94</v>
      </c>
      <c r="K947">
        <f t="shared" si="28"/>
        <v>32.049999999999997</v>
      </c>
      <c r="L947">
        <f t="shared" si="29"/>
        <v>32.049999999999997</v>
      </c>
      <c r="M947" t="s">
        <v>25</v>
      </c>
      <c r="O947" s="7">
        <v>44263</v>
      </c>
    </row>
    <row r="948" spans="1:15" x14ac:dyDescent="0.15">
      <c r="A948" t="s">
        <v>265</v>
      </c>
      <c r="B948" t="s">
        <v>266</v>
      </c>
      <c r="D948">
        <v>58</v>
      </c>
      <c r="E948" t="s">
        <v>75</v>
      </c>
      <c r="G948">
        <v>32.1</v>
      </c>
      <c r="H948">
        <v>32.130000000000003</v>
      </c>
      <c r="I948" t="s">
        <v>22</v>
      </c>
      <c r="K948">
        <f t="shared" si="28"/>
        <v>32.1</v>
      </c>
      <c r="L948">
        <f t="shared" si="29"/>
        <v>32.130000000000003</v>
      </c>
      <c r="M948" t="s">
        <v>100</v>
      </c>
      <c r="O948" s="7">
        <v>44263</v>
      </c>
    </row>
    <row r="949" spans="1:15" x14ac:dyDescent="0.15">
      <c r="A949" t="s">
        <v>265</v>
      </c>
      <c r="B949" t="s">
        <v>266</v>
      </c>
      <c r="D949">
        <v>58</v>
      </c>
      <c r="E949" t="s">
        <v>75</v>
      </c>
      <c r="G949">
        <v>32.130000000000003</v>
      </c>
      <c r="H949">
        <v>32.164999999999999</v>
      </c>
      <c r="I949" t="s">
        <v>22</v>
      </c>
      <c r="K949">
        <f t="shared" si="28"/>
        <v>32.130000000000003</v>
      </c>
      <c r="L949">
        <f t="shared" si="29"/>
        <v>32.164999999999999</v>
      </c>
      <c r="M949" t="s">
        <v>25</v>
      </c>
      <c r="O949" s="7">
        <v>44263</v>
      </c>
    </row>
    <row r="950" spans="1:15" x14ac:dyDescent="0.15">
      <c r="A950" t="s">
        <v>265</v>
      </c>
      <c r="B950" t="s">
        <v>266</v>
      </c>
      <c r="D950">
        <v>58</v>
      </c>
      <c r="E950" t="s">
        <v>75</v>
      </c>
      <c r="G950">
        <v>36.9</v>
      </c>
      <c r="H950">
        <v>37.299999999999997</v>
      </c>
      <c r="I950" t="s">
        <v>181</v>
      </c>
      <c r="K950">
        <f t="shared" si="28"/>
        <v>36.9</v>
      </c>
      <c r="L950">
        <f t="shared" si="29"/>
        <v>37.299999999999997</v>
      </c>
      <c r="M950" t="s">
        <v>143</v>
      </c>
      <c r="O950" s="7">
        <v>44343</v>
      </c>
    </row>
    <row r="951" spans="1:15" x14ac:dyDescent="0.15">
      <c r="A951" t="s">
        <v>265</v>
      </c>
      <c r="B951" t="s">
        <v>266</v>
      </c>
      <c r="D951">
        <v>58</v>
      </c>
      <c r="E951" t="s">
        <v>75</v>
      </c>
      <c r="G951">
        <v>37.700000000000003</v>
      </c>
      <c r="H951">
        <v>37.799999999999997</v>
      </c>
      <c r="I951" t="s">
        <v>181</v>
      </c>
      <c r="K951">
        <f t="shared" si="28"/>
        <v>37.700000000000003</v>
      </c>
      <c r="L951">
        <f t="shared" si="29"/>
        <v>37.799999999999997</v>
      </c>
      <c r="M951" t="s">
        <v>143</v>
      </c>
      <c r="O951" s="7">
        <v>44343</v>
      </c>
    </row>
    <row r="952" spans="1:15" x14ac:dyDescent="0.15">
      <c r="A952" t="s">
        <v>265</v>
      </c>
      <c r="B952" t="s">
        <v>266</v>
      </c>
      <c r="D952">
        <v>58</v>
      </c>
      <c r="E952" t="s">
        <v>75</v>
      </c>
      <c r="G952">
        <v>38.299999999999997</v>
      </c>
      <c r="H952">
        <v>38.700000000000003</v>
      </c>
      <c r="I952" t="s">
        <v>181</v>
      </c>
      <c r="K952">
        <f t="shared" si="28"/>
        <v>38.299999999999997</v>
      </c>
      <c r="L952">
        <f t="shared" si="29"/>
        <v>38.700000000000003</v>
      </c>
      <c r="M952" t="s">
        <v>143</v>
      </c>
      <c r="O952" s="7">
        <v>44343</v>
      </c>
    </row>
    <row r="953" spans="1:15" x14ac:dyDescent="0.15">
      <c r="A953" t="s">
        <v>265</v>
      </c>
      <c r="B953" t="s">
        <v>266</v>
      </c>
      <c r="D953">
        <v>58</v>
      </c>
      <c r="E953" t="s">
        <v>75</v>
      </c>
      <c r="G953">
        <v>38.799999999999997</v>
      </c>
      <c r="H953">
        <v>38.9</v>
      </c>
      <c r="I953" t="s">
        <v>181</v>
      </c>
      <c r="K953">
        <f t="shared" si="28"/>
        <v>38.799999999999997</v>
      </c>
      <c r="L953">
        <f t="shared" si="29"/>
        <v>38.9</v>
      </c>
      <c r="M953" t="s">
        <v>143</v>
      </c>
      <c r="O953" s="7">
        <v>44343</v>
      </c>
    </row>
    <row r="954" spans="1:15" x14ac:dyDescent="0.15">
      <c r="A954" t="s">
        <v>265</v>
      </c>
      <c r="B954" t="s">
        <v>266</v>
      </c>
      <c r="D954">
        <v>58</v>
      </c>
      <c r="E954" t="s">
        <v>75</v>
      </c>
      <c r="G954">
        <v>39.200000000000003</v>
      </c>
      <c r="H954">
        <v>39.200000000000003</v>
      </c>
      <c r="I954" t="s">
        <v>181</v>
      </c>
      <c r="K954">
        <f t="shared" si="28"/>
        <v>39.200000000000003</v>
      </c>
      <c r="L954">
        <f t="shared" si="29"/>
        <v>39.200000000000003</v>
      </c>
      <c r="O954" s="7">
        <v>44343</v>
      </c>
    </row>
    <row r="955" spans="1:15" x14ac:dyDescent="0.15">
      <c r="A955" t="s">
        <v>265</v>
      </c>
      <c r="B955" t="s">
        <v>266</v>
      </c>
      <c r="D955">
        <v>58</v>
      </c>
      <c r="E955" t="s">
        <v>75</v>
      </c>
      <c r="G955">
        <v>39.200000000000003</v>
      </c>
      <c r="H955">
        <v>39.200000000000003</v>
      </c>
      <c r="I955" t="s">
        <v>181</v>
      </c>
      <c r="K955">
        <f t="shared" si="28"/>
        <v>39.200000000000003</v>
      </c>
      <c r="L955">
        <f t="shared" si="29"/>
        <v>39.200000000000003</v>
      </c>
      <c r="O955" s="7">
        <v>44344</v>
      </c>
    </row>
    <row r="956" spans="1:15" x14ac:dyDescent="0.15">
      <c r="A956" t="s">
        <v>265</v>
      </c>
      <c r="B956" t="s">
        <v>266</v>
      </c>
      <c r="D956">
        <v>58</v>
      </c>
      <c r="E956" t="s">
        <v>75</v>
      </c>
      <c r="G956">
        <v>41.2</v>
      </c>
      <c r="H956">
        <v>42.2</v>
      </c>
      <c r="I956" t="s">
        <v>181</v>
      </c>
      <c r="K956">
        <f t="shared" si="28"/>
        <v>41.2</v>
      </c>
      <c r="L956">
        <f t="shared" si="29"/>
        <v>42.2</v>
      </c>
      <c r="M956" t="s">
        <v>25</v>
      </c>
      <c r="O956" s="7">
        <v>44246</v>
      </c>
    </row>
    <row r="957" spans="1:15" x14ac:dyDescent="0.15">
      <c r="A957" s="12" t="s">
        <v>267</v>
      </c>
      <c r="B957" t="s">
        <v>266</v>
      </c>
      <c r="D957">
        <v>58</v>
      </c>
      <c r="E957" t="s">
        <v>75</v>
      </c>
      <c r="G957">
        <v>51.7</v>
      </c>
      <c r="H957">
        <v>52.5</v>
      </c>
      <c r="J957" t="s">
        <v>23</v>
      </c>
      <c r="K957">
        <f t="shared" si="28"/>
        <v>51.7</v>
      </c>
      <c r="L957">
        <f t="shared" si="29"/>
        <v>52.5</v>
      </c>
      <c r="M957" t="s">
        <v>143</v>
      </c>
      <c r="O957" s="7">
        <v>2021</v>
      </c>
    </row>
    <row r="958" spans="1:15" x14ac:dyDescent="0.15">
      <c r="A958" s="12" t="s">
        <v>267</v>
      </c>
      <c r="B958" t="s">
        <v>266</v>
      </c>
      <c r="D958">
        <v>58</v>
      </c>
      <c r="E958" t="s">
        <v>75</v>
      </c>
      <c r="G958">
        <v>52.5</v>
      </c>
      <c r="H958">
        <v>53.7</v>
      </c>
      <c r="J958" t="s">
        <v>23</v>
      </c>
      <c r="K958">
        <f t="shared" si="28"/>
        <v>52.5</v>
      </c>
      <c r="L958">
        <f t="shared" si="29"/>
        <v>53.7</v>
      </c>
      <c r="M958" t="s">
        <v>27</v>
      </c>
      <c r="O958" s="7">
        <v>2021</v>
      </c>
    </row>
    <row r="959" spans="1:15" x14ac:dyDescent="0.15">
      <c r="A959" s="12" t="s">
        <v>267</v>
      </c>
      <c r="B959" t="s">
        <v>266</v>
      </c>
      <c r="D959">
        <v>58</v>
      </c>
      <c r="E959" t="s">
        <v>75</v>
      </c>
      <c r="G959">
        <v>53.7</v>
      </c>
      <c r="H959">
        <v>56.2</v>
      </c>
      <c r="J959" t="s">
        <v>23</v>
      </c>
      <c r="K959">
        <f t="shared" si="28"/>
        <v>53.7</v>
      </c>
      <c r="L959">
        <f t="shared" si="29"/>
        <v>56.2</v>
      </c>
      <c r="M959" t="s">
        <v>143</v>
      </c>
      <c r="O959" s="7">
        <v>2021</v>
      </c>
    </row>
    <row r="960" spans="1:15" x14ac:dyDescent="0.15">
      <c r="A960" t="s">
        <v>265</v>
      </c>
      <c r="B960" t="s">
        <v>266</v>
      </c>
      <c r="D960">
        <v>58</v>
      </c>
      <c r="E960" t="s">
        <v>75</v>
      </c>
      <c r="G960">
        <v>55.756999999999998</v>
      </c>
      <c r="H960">
        <v>56</v>
      </c>
      <c r="I960" t="s">
        <v>94</v>
      </c>
      <c r="K960">
        <f t="shared" si="28"/>
        <v>55.756999999999998</v>
      </c>
      <c r="L960">
        <f t="shared" si="29"/>
        <v>56</v>
      </c>
      <c r="M960" t="s">
        <v>25</v>
      </c>
      <c r="O960" s="7">
        <v>44249</v>
      </c>
    </row>
    <row r="961" spans="1:15" x14ac:dyDescent="0.15">
      <c r="A961" t="s">
        <v>265</v>
      </c>
      <c r="B961" t="s">
        <v>266</v>
      </c>
      <c r="D961">
        <v>58</v>
      </c>
      <c r="E961" t="s">
        <v>75</v>
      </c>
      <c r="G961">
        <v>56.1</v>
      </c>
      <c r="H961">
        <v>56.2</v>
      </c>
      <c r="I961" t="s">
        <v>94</v>
      </c>
      <c r="K961">
        <f t="shared" ref="K961:K1024" si="30">MIN(G961:H961)</f>
        <v>56.1</v>
      </c>
      <c r="L961">
        <f t="shared" ref="L961:L1024" si="31">MAX(G961:H961)</f>
        <v>56.2</v>
      </c>
      <c r="M961" t="s">
        <v>25</v>
      </c>
      <c r="O961" s="7">
        <v>44250</v>
      </c>
    </row>
    <row r="962" spans="1:15" x14ac:dyDescent="0.15">
      <c r="A962" t="s">
        <v>265</v>
      </c>
      <c r="B962" t="s">
        <v>266</v>
      </c>
      <c r="D962">
        <v>58</v>
      </c>
      <c r="E962" t="s">
        <v>75</v>
      </c>
      <c r="G962">
        <v>56.24</v>
      </c>
      <c r="H962">
        <v>56.9</v>
      </c>
      <c r="I962" t="s">
        <v>94</v>
      </c>
      <c r="K962">
        <f t="shared" si="30"/>
        <v>56.24</v>
      </c>
      <c r="L962">
        <f t="shared" si="31"/>
        <v>56.9</v>
      </c>
      <c r="M962" t="s">
        <v>25</v>
      </c>
      <c r="O962" s="7">
        <v>44250</v>
      </c>
    </row>
    <row r="963" spans="1:15" x14ac:dyDescent="0.15">
      <c r="A963" t="s">
        <v>265</v>
      </c>
      <c r="B963" t="s">
        <v>266</v>
      </c>
      <c r="D963">
        <v>58</v>
      </c>
      <c r="E963" t="s">
        <v>75</v>
      </c>
      <c r="G963">
        <v>58.1</v>
      </c>
      <c r="H963">
        <v>58.95</v>
      </c>
      <c r="I963" t="s">
        <v>94</v>
      </c>
      <c r="K963">
        <f t="shared" si="30"/>
        <v>58.1</v>
      </c>
      <c r="L963">
        <f t="shared" si="31"/>
        <v>58.95</v>
      </c>
      <c r="M963" t="s">
        <v>25</v>
      </c>
      <c r="O963" s="7">
        <v>44252</v>
      </c>
    </row>
    <row r="964" spans="1:15" x14ac:dyDescent="0.15">
      <c r="A964" t="s">
        <v>265</v>
      </c>
      <c r="B964" t="s">
        <v>266</v>
      </c>
      <c r="D964">
        <v>58</v>
      </c>
      <c r="E964" t="s">
        <v>75</v>
      </c>
      <c r="G964">
        <v>59</v>
      </c>
      <c r="H964">
        <v>59.1</v>
      </c>
      <c r="I964" t="s">
        <v>94</v>
      </c>
      <c r="K964">
        <f t="shared" si="30"/>
        <v>59</v>
      </c>
      <c r="L964">
        <f t="shared" si="31"/>
        <v>59.1</v>
      </c>
      <c r="M964" t="s">
        <v>143</v>
      </c>
      <c r="O964" s="7">
        <v>44348</v>
      </c>
    </row>
    <row r="965" spans="1:15" x14ac:dyDescent="0.15">
      <c r="A965" t="s">
        <v>265</v>
      </c>
      <c r="B965" t="s">
        <v>266</v>
      </c>
      <c r="D965">
        <v>58</v>
      </c>
      <c r="E965" t="s">
        <v>75</v>
      </c>
      <c r="G965">
        <v>59.2</v>
      </c>
      <c r="H965">
        <v>59.6</v>
      </c>
      <c r="I965" t="s">
        <v>94</v>
      </c>
      <c r="K965">
        <f t="shared" si="30"/>
        <v>59.2</v>
      </c>
      <c r="L965">
        <f t="shared" si="31"/>
        <v>59.6</v>
      </c>
      <c r="M965" t="s">
        <v>143</v>
      </c>
      <c r="O965" s="7">
        <v>44348</v>
      </c>
    </row>
    <row r="966" spans="1:15" x14ac:dyDescent="0.15">
      <c r="A966" t="s">
        <v>265</v>
      </c>
      <c r="B966" t="s">
        <v>266</v>
      </c>
      <c r="D966">
        <v>58</v>
      </c>
      <c r="E966" t="s">
        <v>75</v>
      </c>
      <c r="G966">
        <v>60.26</v>
      </c>
      <c r="H966">
        <v>60.26</v>
      </c>
      <c r="I966" t="s">
        <v>96</v>
      </c>
      <c r="K966">
        <f t="shared" si="30"/>
        <v>60.26</v>
      </c>
      <c r="L966">
        <f t="shared" si="31"/>
        <v>60.26</v>
      </c>
      <c r="M966" t="s">
        <v>282</v>
      </c>
      <c r="O966" s="7">
        <v>44348</v>
      </c>
    </row>
    <row r="967" spans="1:15" x14ac:dyDescent="0.15">
      <c r="A967" t="s">
        <v>265</v>
      </c>
      <c r="B967" t="s">
        <v>266</v>
      </c>
      <c r="D967">
        <v>58</v>
      </c>
      <c r="E967" t="s">
        <v>75</v>
      </c>
      <c r="G967">
        <v>60.8</v>
      </c>
      <c r="H967">
        <v>60.8</v>
      </c>
      <c r="I967" t="s">
        <v>97</v>
      </c>
      <c r="K967">
        <f t="shared" si="30"/>
        <v>60.8</v>
      </c>
      <c r="L967">
        <f t="shared" si="31"/>
        <v>60.8</v>
      </c>
      <c r="O967" s="7">
        <v>44439</v>
      </c>
    </row>
    <row r="968" spans="1:15" x14ac:dyDescent="0.15">
      <c r="A968" t="s">
        <v>265</v>
      </c>
      <c r="B968" t="s">
        <v>266</v>
      </c>
      <c r="D968">
        <v>58</v>
      </c>
      <c r="E968" t="s">
        <v>75</v>
      </c>
      <c r="G968">
        <v>94.2</v>
      </c>
      <c r="H968">
        <v>94.25</v>
      </c>
      <c r="I968" t="s">
        <v>96</v>
      </c>
      <c r="K968">
        <f t="shared" si="30"/>
        <v>94.2</v>
      </c>
      <c r="L968">
        <f t="shared" si="31"/>
        <v>94.25</v>
      </c>
      <c r="M968" t="s">
        <v>286</v>
      </c>
      <c r="O968" s="7">
        <v>44453</v>
      </c>
    </row>
    <row r="969" spans="1:15" x14ac:dyDescent="0.15">
      <c r="A969" t="s">
        <v>265</v>
      </c>
      <c r="B969" t="s">
        <v>266</v>
      </c>
      <c r="D969">
        <v>58</v>
      </c>
      <c r="E969" t="s">
        <v>75</v>
      </c>
      <c r="G969">
        <v>97.7</v>
      </c>
      <c r="H969">
        <v>97.73</v>
      </c>
      <c r="I969" t="s">
        <v>94</v>
      </c>
      <c r="K969">
        <f t="shared" si="30"/>
        <v>97.7</v>
      </c>
      <c r="L969">
        <f t="shared" si="31"/>
        <v>97.73</v>
      </c>
      <c r="M969" t="s">
        <v>25</v>
      </c>
      <c r="O969" s="7">
        <v>44284</v>
      </c>
    </row>
    <row r="970" spans="1:15" x14ac:dyDescent="0.15">
      <c r="A970" t="s">
        <v>265</v>
      </c>
      <c r="B970" t="s">
        <v>266</v>
      </c>
      <c r="D970">
        <v>58</v>
      </c>
      <c r="E970" t="s">
        <v>75</v>
      </c>
      <c r="G970">
        <v>97.73</v>
      </c>
      <c r="H970">
        <v>97.8</v>
      </c>
      <c r="I970" t="s">
        <v>94</v>
      </c>
      <c r="K970">
        <f t="shared" si="30"/>
        <v>97.73</v>
      </c>
      <c r="L970">
        <f t="shared" si="31"/>
        <v>97.8</v>
      </c>
      <c r="M970" t="s">
        <v>100</v>
      </c>
      <c r="O970" s="7">
        <v>44284</v>
      </c>
    </row>
    <row r="971" spans="1:15" x14ac:dyDescent="0.15">
      <c r="A971" t="s">
        <v>265</v>
      </c>
      <c r="B971" t="s">
        <v>266</v>
      </c>
      <c r="D971">
        <v>58</v>
      </c>
      <c r="E971" t="s">
        <v>75</v>
      </c>
      <c r="G971">
        <v>102.575</v>
      </c>
      <c r="H971">
        <v>102.625</v>
      </c>
      <c r="J971" t="s">
        <v>23</v>
      </c>
      <c r="K971">
        <f t="shared" si="30"/>
        <v>102.575</v>
      </c>
      <c r="L971">
        <f t="shared" si="31"/>
        <v>102.625</v>
      </c>
      <c r="M971" t="s">
        <v>25</v>
      </c>
      <c r="O971" s="7">
        <v>44284</v>
      </c>
    </row>
    <row r="972" spans="1:15" x14ac:dyDescent="0.15">
      <c r="A972" t="s">
        <v>265</v>
      </c>
      <c r="B972" t="s">
        <v>266</v>
      </c>
      <c r="D972">
        <v>58</v>
      </c>
      <c r="E972" t="s">
        <v>75</v>
      </c>
      <c r="G972">
        <v>102.58</v>
      </c>
      <c r="H972">
        <v>102.62</v>
      </c>
      <c r="J972" t="s">
        <v>23</v>
      </c>
      <c r="K972">
        <f t="shared" si="30"/>
        <v>102.58</v>
      </c>
      <c r="L972">
        <f t="shared" si="31"/>
        <v>102.62</v>
      </c>
      <c r="M972" t="s">
        <v>280</v>
      </c>
      <c r="O972" s="7">
        <v>44284</v>
      </c>
    </row>
    <row r="973" spans="1:15" x14ac:dyDescent="0.15">
      <c r="A973" s="12" t="s">
        <v>267</v>
      </c>
      <c r="B973" t="s">
        <v>266</v>
      </c>
      <c r="D973">
        <v>58</v>
      </c>
      <c r="E973" t="s">
        <v>74</v>
      </c>
      <c r="G973" t="s">
        <v>275</v>
      </c>
      <c r="H973">
        <v>119.3</v>
      </c>
      <c r="J973" t="s">
        <v>23</v>
      </c>
      <c r="K973">
        <f t="shared" si="30"/>
        <v>119.3</v>
      </c>
      <c r="L973">
        <f t="shared" si="31"/>
        <v>119.3</v>
      </c>
      <c r="M973" t="s">
        <v>143</v>
      </c>
      <c r="O973" s="7">
        <v>2021</v>
      </c>
    </row>
    <row r="974" spans="1:15" x14ac:dyDescent="0.15">
      <c r="A974" s="12" t="s">
        <v>267</v>
      </c>
      <c r="B974" t="s">
        <v>266</v>
      </c>
      <c r="D974">
        <v>58</v>
      </c>
      <c r="E974" t="s">
        <v>76</v>
      </c>
      <c r="F974" t="s">
        <v>88</v>
      </c>
      <c r="G974">
        <v>54.6</v>
      </c>
      <c r="H974">
        <v>54.9</v>
      </c>
      <c r="J974" t="s">
        <v>23</v>
      </c>
      <c r="K974">
        <f t="shared" si="30"/>
        <v>54.6</v>
      </c>
      <c r="L974">
        <f t="shared" si="31"/>
        <v>54.9</v>
      </c>
      <c r="M974" t="s">
        <v>100</v>
      </c>
      <c r="O974" s="7">
        <v>2021</v>
      </c>
    </row>
    <row r="975" spans="1:15" x14ac:dyDescent="0.15">
      <c r="A975" t="s">
        <v>265</v>
      </c>
      <c r="B975" t="s">
        <v>266</v>
      </c>
      <c r="D975">
        <v>58</v>
      </c>
      <c r="E975" t="s">
        <v>76</v>
      </c>
      <c r="F975" t="s">
        <v>80</v>
      </c>
      <c r="G975">
        <v>31.5</v>
      </c>
      <c r="H975">
        <v>31.5</v>
      </c>
      <c r="J975" t="s">
        <v>23</v>
      </c>
      <c r="K975">
        <f t="shared" si="30"/>
        <v>31.5</v>
      </c>
      <c r="L975">
        <f t="shared" si="31"/>
        <v>31.5</v>
      </c>
      <c r="O975" s="7">
        <v>44441</v>
      </c>
    </row>
    <row r="976" spans="1:15" x14ac:dyDescent="0.15">
      <c r="A976" t="s">
        <v>265</v>
      </c>
      <c r="B976" t="s">
        <v>266</v>
      </c>
      <c r="D976">
        <v>58</v>
      </c>
      <c r="E976" t="s">
        <v>76</v>
      </c>
      <c r="F976" t="s">
        <v>80</v>
      </c>
      <c r="G976">
        <v>31.5</v>
      </c>
      <c r="H976">
        <v>31.5</v>
      </c>
      <c r="K976">
        <f t="shared" si="30"/>
        <v>31.5</v>
      </c>
      <c r="L976">
        <f t="shared" si="31"/>
        <v>31.5</v>
      </c>
      <c r="M976" t="s">
        <v>100</v>
      </c>
      <c r="O976" s="7">
        <v>44440</v>
      </c>
    </row>
    <row r="977" spans="1:15" x14ac:dyDescent="0.15">
      <c r="A977" t="s">
        <v>265</v>
      </c>
      <c r="B977" t="s">
        <v>266</v>
      </c>
      <c r="D977">
        <v>58</v>
      </c>
      <c r="E977" t="s">
        <v>76</v>
      </c>
      <c r="F977" t="s">
        <v>83</v>
      </c>
      <c r="G977">
        <v>60.9</v>
      </c>
      <c r="H977">
        <v>60.9</v>
      </c>
      <c r="J977" t="s">
        <v>23</v>
      </c>
      <c r="K977">
        <f t="shared" si="30"/>
        <v>60.9</v>
      </c>
      <c r="L977">
        <f t="shared" si="31"/>
        <v>60.9</v>
      </c>
      <c r="M977" t="s">
        <v>25</v>
      </c>
      <c r="O977" s="7">
        <v>44460</v>
      </c>
    </row>
    <row r="978" spans="1:15" x14ac:dyDescent="0.15">
      <c r="A978" t="s">
        <v>265</v>
      </c>
      <c r="B978" t="s">
        <v>266</v>
      </c>
      <c r="D978">
        <v>59</v>
      </c>
      <c r="E978" t="s">
        <v>74</v>
      </c>
      <c r="G978">
        <v>57.5</v>
      </c>
      <c r="H978">
        <v>57.8</v>
      </c>
      <c r="I978" t="s">
        <v>91</v>
      </c>
      <c r="K978">
        <f t="shared" si="30"/>
        <v>57.5</v>
      </c>
      <c r="L978">
        <f t="shared" si="31"/>
        <v>57.8</v>
      </c>
      <c r="M978" t="s">
        <v>286</v>
      </c>
      <c r="O978" s="7">
        <v>44447</v>
      </c>
    </row>
    <row r="979" spans="1:15" x14ac:dyDescent="0.15">
      <c r="A979" t="s">
        <v>265</v>
      </c>
      <c r="B979" t="s">
        <v>266</v>
      </c>
      <c r="D979">
        <v>59</v>
      </c>
      <c r="E979" t="s">
        <v>74</v>
      </c>
      <c r="G979">
        <v>57.5</v>
      </c>
      <c r="H979">
        <v>57.8</v>
      </c>
      <c r="I979" t="s">
        <v>92</v>
      </c>
      <c r="K979">
        <f t="shared" si="30"/>
        <v>57.5</v>
      </c>
      <c r="L979">
        <f t="shared" si="31"/>
        <v>57.8</v>
      </c>
      <c r="M979" t="s">
        <v>286</v>
      </c>
      <c r="O979" s="7">
        <v>44447</v>
      </c>
    </row>
    <row r="980" spans="1:15" x14ac:dyDescent="0.15">
      <c r="A980" t="s">
        <v>265</v>
      </c>
      <c r="B980" t="s">
        <v>266</v>
      </c>
      <c r="D980">
        <v>59</v>
      </c>
      <c r="E980" t="s">
        <v>74</v>
      </c>
      <c r="G980">
        <v>61.3</v>
      </c>
      <c r="H980">
        <v>61.3</v>
      </c>
      <c r="I980" t="s">
        <v>95</v>
      </c>
      <c r="K980">
        <f t="shared" si="30"/>
        <v>61.3</v>
      </c>
      <c r="L980">
        <f t="shared" si="31"/>
        <v>61.3</v>
      </c>
      <c r="M980" t="s">
        <v>283</v>
      </c>
      <c r="O980" s="7">
        <v>44447</v>
      </c>
    </row>
    <row r="981" spans="1:15" x14ac:dyDescent="0.15">
      <c r="A981" t="s">
        <v>265</v>
      </c>
      <c r="B981" t="s">
        <v>266</v>
      </c>
      <c r="D981">
        <v>59</v>
      </c>
      <c r="E981" t="s">
        <v>74</v>
      </c>
      <c r="G981">
        <v>61.3</v>
      </c>
      <c r="H981">
        <v>61.3</v>
      </c>
      <c r="I981" t="s">
        <v>92</v>
      </c>
      <c r="K981">
        <f t="shared" si="30"/>
        <v>61.3</v>
      </c>
      <c r="L981">
        <f t="shared" si="31"/>
        <v>61.3</v>
      </c>
      <c r="M981" t="s">
        <v>283</v>
      </c>
      <c r="O981" s="7">
        <v>44447</v>
      </c>
    </row>
    <row r="982" spans="1:15" x14ac:dyDescent="0.15">
      <c r="A982" t="s">
        <v>265</v>
      </c>
      <c r="B982" t="s">
        <v>266</v>
      </c>
      <c r="D982">
        <v>59</v>
      </c>
      <c r="E982" t="s">
        <v>74</v>
      </c>
      <c r="G982">
        <v>64.099999999999994</v>
      </c>
      <c r="H982">
        <v>64.099999999999994</v>
      </c>
      <c r="I982" t="s">
        <v>90</v>
      </c>
      <c r="K982">
        <f t="shared" si="30"/>
        <v>64.099999999999994</v>
      </c>
      <c r="L982">
        <f t="shared" si="31"/>
        <v>64.099999999999994</v>
      </c>
      <c r="M982" t="s">
        <v>283</v>
      </c>
      <c r="O982" s="7">
        <v>44447</v>
      </c>
    </row>
    <row r="983" spans="1:15" x14ac:dyDescent="0.15">
      <c r="A983" t="s">
        <v>265</v>
      </c>
      <c r="B983" t="s">
        <v>266</v>
      </c>
      <c r="D983">
        <v>59</v>
      </c>
      <c r="E983" t="s">
        <v>74</v>
      </c>
      <c r="G983">
        <v>92.15</v>
      </c>
      <c r="H983">
        <v>92.174999999999997</v>
      </c>
      <c r="J983" t="s">
        <v>23</v>
      </c>
      <c r="K983">
        <f t="shared" si="30"/>
        <v>92.15</v>
      </c>
      <c r="L983">
        <f t="shared" si="31"/>
        <v>92.174999999999997</v>
      </c>
      <c r="M983" t="s">
        <v>25</v>
      </c>
      <c r="O983" s="7">
        <v>44442</v>
      </c>
    </row>
    <row r="984" spans="1:15" x14ac:dyDescent="0.15">
      <c r="A984" t="s">
        <v>265</v>
      </c>
      <c r="B984" t="s">
        <v>266</v>
      </c>
      <c r="D984">
        <v>59</v>
      </c>
      <c r="E984" t="s">
        <v>74</v>
      </c>
      <c r="G984">
        <v>92.4</v>
      </c>
      <c r="H984">
        <v>92.424999999999997</v>
      </c>
      <c r="J984" t="s">
        <v>23</v>
      </c>
      <c r="K984">
        <f t="shared" si="30"/>
        <v>92.4</v>
      </c>
      <c r="L984">
        <f t="shared" si="31"/>
        <v>92.424999999999997</v>
      </c>
      <c r="M984" t="s">
        <v>25</v>
      </c>
      <c r="O984" s="7">
        <v>44442</v>
      </c>
    </row>
    <row r="985" spans="1:15" x14ac:dyDescent="0.15">
      <c r="A985" t="s">
        <v>265</v>
      </c>
      <c r="B985" t="s">
        <v>266</v>
      </c>
      <c r="D985">
        <v>59</v>
      </c>
      <c r="E985" t="s">
        <v>74</v>
      </c>
      <c r="G985">
        <v>99.5</v>
      </c>
      <c r="H985">
        <v>99.793000000000006</v>
      </c>
      <c r="J985" t="s">
        <v>23</v>
      </c>
      <c r="K985">
        <f t="shared" si="30"/>
        <v>99.5</v>
      </c>
      <c r="L985">
        <f t="shared" si="31"/>
        <v>99.793000000000006</v>
      </c>
      <c r="M985" t="s">
        <v>25</v>
      </c>
      <c r="O985" s="7">
        <v>44442</v>
      </c>
    </row>
    <row r="986" spans="1:15" x14ac:dyDescent="0.15">
      <c r="A986" t="s">
        <v>265</v>
      </c>
      <c r="B986" t="s">
        <v>266</v>
      </c>
      <c r="D986">
        <v>59</v>
      </c>
      <c r="E986" t="s">
        <v>74</v>
      </c>
      <c r="G986">
        <v>99.51</v>
      </c>
      <c r="H986">
        <v>99.793000000000006</v>
      </c>
      <c r="I986" t="s">
        <v>307</v>
      </c>
      <c r="K986">
        <f t="shared" si="30"/>
        <v>99.51</v>
      </c>
      <c r="L986">
        <f t="shared" si="31"/>
        <v>99.793000000000006</v>
      </c>
      <c r="M986" t="s">
        <v>280</v>
      </c>
      <c r="O986" s="7">
        <v>44442</v>
      </c>
    </row>
    <row r="987" spans="1:15" x14ac:dyDescent="0.15">
      <c r="A987" t="s">
        <v>265</v>
      </c>
      <c r="B987" t="s">
        <v>266</v>
      </c>
      <c r="D987">
        <v>59</v>
      </c>
      <c r="E987" t="s">
        <v>74</v>
      </c>
      <c r="G987">
        <v>99.51</v>
      </c>
      <c r="H987">
        <v>99.793000000000006</v>
      </c>
      <c r="I987" t="s">
        <v>90</v>
      </c>
      <c r="K987">
        <f t="shared" si="30"/>
        <v>99.51</v>
      </c>
      <c r="L987">
        <f t="shared" si="31"/>
        <v>99.793000000000006</v>
      </c>
      <c r="M987" t="s">
        <v>280</v>
      </c>
      <c r="O987" s="7">
        <v>44442</v>
      </c>
    </row>
    <row r="988" spans="1:15" x14ac:dyDescent="0.15">
      <c r="A988" t="s">
        <v>265</v>
      </c>
      <c r="B988" t="s">
        <v>266</v>
      </c>
      <c r="D988">
        <v>59</v>
      </c>
      <c r="E988" t="s">
        <v>74</v>
      </c>
      <c r="G988">
        <v>99.52</v>
      </c>
      <c r="H988">
        <v>99.793000000000006</v>
      </c>
      <c r="I988" t="s">
        <v>307</v>
      </c>
      <c r="K988">
        <f t="shared" si="30"/>
        <v>99.52</v>
      </c>
      <c r="L988">
        <f t="shared" si="31"/>
        <v>99.793000000000006</v>
      </c>
      <c r="M988" t="s">
        <v>280</v>
      </c>
      <c r="O988" s="7">
        <v>44442</v>
      </c>
    </row>
    <row r="989" spans="1:15" x14ac:dyDescent="0.15">
      <c r="A989" t="s">
        <v>265</v>
      </c>
      <c r="B989" t="s">
        <v>266</v>
      </c>
      <c r="D989">
        <v>59</v>
      </c>
      <c r="E989" t="s">
        <v>74</v>
      </c>
      <c r="G989">
        <v>99.52</v>
      </c>
      <c r="H989">
        <v>99.793000000000006</v>
      </c>
      <c r="I989" t="s">
        <v>90</v>
      </c>
      <c r="K989">
        <f t="shared" si="30"/>
        <v>99.52</v>
      </c>
      <c r="L989">
        <f t="shared" si="31"/>
        <v>99.793000000000006</v>
      </c>
      <c r="M989" t="s">
        <v>280</v>
      </c>
      <c r="O989" s="7">
        <v>44442</v>
      </c>
    </row>
    <row r="990" spans="1:15" x14ac:dyDescent="0.15">
      <c r="A990" t="s">
        <v>265</v>
      </c>
      <c r="B990" t="s">
        <v>266</v>
      </c>
      <c r="D990">
        <v>59</v>
      </c>
      <c r="E990" t="s">
        <v>74</v>
      </c>
      <c r="G990">
        <v>100.36</v>
      </c>
      <c r="H990">
        <v>100.36</v>
      </c>
      <c r="I990" t="s">
        <v>90</v>
      </c>
      <c r="K990">
        <f t="shared" si="30"/>
        <v>100.36</v>
      </c>
      <c r="L990">
        <f t="shared" si="31"/>
        <v>100.36</v>
      </c>
      <c r="M990" t="s">
        <v>25</v>
      </c>
      <c r="O990" s="7">
        <v>44442</v>
      </c>
    </row>
    <row r="991" spans="1:15" x14ac:dyDescent="0.15">
      <c r="A991" t="s">
        <v>265</v>
      </c>
      <c r="B991" t="s">
        <v>266</v>
      </c>
      <c r="D991">
        <v>59</v>
      </c>
      <c r="E991" t="s">
        <v>75</v>
      </c>
      <c r="G991">
        <v>62.7</v>
      </c>
      <c r="H991">
        <v>62.7</v>
      </c>
      <c r="I991" t="s">
        <v>97</v>
      </c>
      <c r="K991">
        <f t="shared" si="30"/>
        <v>62.7</v>
      </c>
      <c r="L991">
        <f t="shared" si="31"/>
        <v>62.7</v>
      </c>
      <c r="M991" t="s">
        <v>25</v>
      </c>
      <c r="O991" s="7">
        <v>44365</v>
      </c>
    </row>
    <row r="992" spans="1:15" x14ac:dyDescent="0.15">
      <c r="A992" t="s">
        <v>265</v>
      </c>
      <c r="B992" t="s">
        <v>266</v>
      </c>
      <c r="D992">
        <v>59</v>
      </c>
      <c r="E992" t="s">
        <v>75</v>
      </c>
      <c r="G992">
        <v>64.37</v>
      </c>
      <c r="H992">
        <v>64.37</v>
      </c>
      <c r="I992" t="s">
        <v>97</v>
      </c>
      <c r="K992">
        <f t="shared" si="30"/>
        <v>64.37</v>
      </c>
      <c r="L992">
        <f t="shared" si="31"/>
        <v>64.37</v>
      </c>
      <c r="M992" t="s">
        <v>25</v>
      </c>
      <c r="O992" s="7">
        <v>44365</v>
      </c>
    </row>
    <row r="993" spans="1:15" x14ac:dyDescent="0.15">
      <c r="A993" t="s">
        <v>265</v>
      </c>
      <c r="B993" t="s">
        <v>266</v>
      </c>
      <c r="D993">
        <v>59</v>
      </c>
      <c r="E993" t="s">
        <v>75</v>
      </c>
      <c r="G993">
        <v>102.7</v>
      </c>
      <c r="H993">
        <v>102.8</v>
      </c>
      <c r="I993" t="s">
        <v>96</v>
      </c>
      <c r="K993">
        <f t="shared" si="30"/>
        <v>102.7</v>
      </c>
      <c r="L993">
        <f t="shared" si="31"/>
        <v>102.8</v>
      </c>
      <c r="M993" t="s">
        <v>277</v>
      </c>
      <c r="O993" s="7">
        <v>44357</v>
      </c>
    </row>
    <row r="994" spans="1:15" x14ac:dyDescent="0.15">
      <c r="A994" t="s">
        <v>265</v>
      </c>
      <c r="B994" t="s">
        <v>266</v>
      </c>
      <c r="D994">
        <v>59</v>
      </c>
      <c r="E994" t="s">
        <v>75</v>
      </c>
      <c r="G994">
        <v>102.9</v>
      </c>
      <c r="H994">
        <v>103</v>
      </c>
      <c r="J994" t="s">
        <v>23</v>
      </c>
      <c r="K994">
        <f t="shared" si="30"/>
        <v>102.9</v>
      </c>
      <c r="L994">
        <f t="shared" si="31"/>
        <v>103</v>
      </c>
      <c r="M994" t="s">
        <v>277</v>
      </c>
      <c r="O994" s="7">
        <v>44357</v>
      </c>
    </row>
    <row r="995" spans="1:15" x14ac:dyDescent="0.15">
      <c r="A995" t="s">
        <v>265</v>
      </c>
      <c r="B995" t="s">
        <v>266</v>
      </c>
      <c r="D995">
        <v>59</v>
      </c>
      <c r="E995" t="s">
        <v>75</v>
      </c>
      <c r="G995">
        <v>103</v>
      </c>
      <c r="H995">
        <v>103.2</v>
      </c>
      <c r="I995" t="s">
        <v>94</v>
      </c>
      <c r="K995">
        <f t="shared" si="30"/>
        <v>103</v>
      </c>
      <c r="L995">
        <f t="shared" si="31"/>
        <v>103.2</v>
      </c>
      <c r="M995" t="s">
        <v>277</v>
      </c>
      <c r="O995" s="7">
        <v>44357</v>
      </c>
    </row>
    <row r="996" spans="1:15" x14ac:dyDescent="0.15">
      <c r="A996" t="s">
        <v>265</v>
      </c>
      <c r="B996" t="s">
        <v>266</v>
      </c>
      <c r="D996">
        <v>59</v>
      </c>
      <c r="E996" t="s">
        <v>75</v>
      </c>
      <c r="G996">
        <v>104</v>
      </c>
      <c r="H996">
        <v>104.2</v>
      </c>
      <c r="I996" t="s">
        <v>96</v>
      </c>
      <c r="K996">
        <f t="shared" si="30"/>
        <v>104</v>
      </c>
      <c r="L996">
        <f t="shared" si="31"/>
        <v>104.2</v>
      </c>
      <c r="M996" t="s">
        <v>25</v>
      </c>
      <c r="O996" s="7">
        <v>44357</v>
      </c>
    </row>
    <row r="997" spans="1:15" x14ac:dyDescent="0.15">
      <c r="A997" t="s">
        <v>265</v>
      </c>
      <c r="B997" t="s">
        <v>266</v>
      </c>
      <c r="D997">
        <v>59</v>
      </c>
      <c r="E997" t="s">
        <v>75</v>
      </c>
      <c r="G997">
        <v>104.495</v>
      </c>
      <c r="H997">
        <v>104.605</v>
      </c>
      <c r="I997" t="s">
        <v>96</v>
      </c>
      <c r="K997">
        <f t="shared" si="30"/>
        <v>104.495</v>
      </c>
      <c r="L997">
        <f t="shared" si="31"/>
        <v>104.605</v>
      </c>
      <c r="M997" t="s">
        <v>25</v>
      </c>
      <c r="O997" s="7">
        <v>44357</v>
      </c>
    </row>
    <row r="998" spans="1:15" x14ac:dyDescent="0.15">
      <c r="A998" t="s">
        <v>265</v>
      </c>
      <c r="B998" t="s">
        <v>266</v>
      </c>
      <c r="D998">
        <v>59</v>
      </c>
      <c r="E998" t="s">
        <v>75</v>
      </c>
      <c r="G998">
        <v>104.8</v>
      </c>
      <c r="H998">
        <v>104.8</v>
      </c>
      <c r="J998" t="s">
        <v>23</v>
      </c>
      <c r="K998">
        <f t="shared" si="30"/>
        <v>104.8</v>
      </c>
      <c r="L998">
        <f t="shared" si="31"/>
        <v>104.8</v>
      </c>
      <c r="M998" t="s">
        <v>25</v>
      </c>
      <c r="O998" s="7">
        <v>44452</v>
      </c>
    </row>
    <row r="999" spans="1:15" x14ac:dyDescent="0.15">
      <c r="A999" t="s">
        <v>265</v>
      </c>
      <c r="B999" t="s">
        <v>266</v>
      </c>
      <c r="D999">
        <v>59</v>
      </c>
      <c r="E999" t="s">
        <v>75</v>
      </c>
      <c r="G999">
        <v>104.8</v>
      </c>
      <c r="H999">
        <v>104.8</v>
      </c>
      <c r="J999" t="s">
        <v>23</v>
      </c>
      <c r="K999">
        <f t="shared" si="30"/>
        <v>104.8</v>
      </c>
      <c r="L999">
        <f t="shared" si="31"/>
        <v>104.8</v>
      </c>
      <c r="M999" t="s">
        <v>284</v>
      </c>
      <c r="O999" s="7">
        <v>44453</v>
      </c>
    </row>
    <row r="1000" spans="1:15" x14ac:dyDescent="0.15">
      <c r="A1000" t="s">
        <v>265</v>
      </c>
      <c r="B1000" t="s">
        <v>266</v>
      </c>
      <c r="D1000">
        <v>59</v>
      </c>
      <c r="E1000" t="s">
        <v>75</v>
      </c>
      <c r="G1000">
        <v>105.48</v>
      </c>
      <c r="H1000">
        <v>105.6</v>
      </c>
      <c r="I1000" t="s">
        <v>94</v>
      </c>
      <c r="K1000">
        <f t="shared" si="30"/>
        <v>105.48</v>
      </c>
      <c r="L1000">
        <f t="shared" si="31"/>
        <v>105.6</v>
      </c>
      <c r="M1000" t="s">
        <v>25</v>
      </c>
      <c r="O1000" s="7">
        <v>44452</v>
      </c>
    </row>
    <row r="1001" spans="1:15" x14ac:dyDescent="0.15">
      <c r="A1001" t="s">
        <v>265</v>
      </c>
      <c r="B1001" t="s">
        <v>266</v>
      </c>
      <c r="D1001">
        <v>59</v>
      </c>
      <c r="E1001" t="s">
        <v>75</v>
      </c>
      <c r="G1001">
        <v>105.485</v>
      </c>
      <c r="H1001">
        <v>105.595</v>
      </c>
      <c r="I1001" t="s">
        <v>94</v>
      </c>
      <c r="K1001">
        <f t="shared" si="30"/>
        <v>105.485</v>
      </c>
      <c r="L1001">
        <f t="shared" si="31"/>
        <v>105.595</v>
      </c>
      <c r="M1001" t="s">
        <v>280</v>
      </c>
      <c r="O1001" s="7">
        <v>44452</v>
      </c>
    </row>
    <row r="1002" spans="1:15" x14ac:dyDescent="0.15">
      <c r="A1002" t="s">
        <v>265</v>
      </c>
      <c r="B1002" t="s">
        <v>266</v>
      </c>
      <c r="D1002">
        <v>59</v>
      </c>
      <c r="E1002" t="s">
        <v>75</v>
      </c>
      <c r="G1002">
        <v>108.6</v>
      </c>
      <c r="H1002">
        <v>108.9</v>
      </c>
      <c r="I1002" t="s">
        <v>94</v>
      </c>
      <c r="K1002">
        <f t="shared" si="30"/>
        <v>108.6</v>
      </c>
      <c r="L1002">
        <f t="shared" si="31"/>
        <v>108.9</v>
      </c>
      <c r="M1002" t="s">
        <v>25</v>
      </c>
      <c r="O1002" s="7">
        <v>44452</v>
      </c>
    </row>
    <row r="1003" spans="1:15" x14ac:dyDescent="0.15">
      <c r="A1003" t="s">
        <v>265</v>
      </c>
      <c r="B1003" t="s">
        <v>266</v>
      </c>
      <c r="D1003">
        <v>59</v>
      </c>
      <c r="E1003" t="s">
        <v>75</v>
      </c>
      <c r="G1003">
        <v>108.605</v>
      </c>
      <c r="H1003">
        <v>108.895</v>
      </c>
      <c r="I1003" t="s">
        <v>94</v>
      </c>
      <c r="K1003">
        <f t="shared" si="30"/>
        <v>108.605</v>
      </c>
      <c r="L1003">
        <f t="shared" si="31"/>
        <v>108.895</v>
      </c>
      <c r="M1003" t="s">
        <v>280</v>
      </c>
      <c r="O1003" s="7">
        <v>44452</v>
      </c>
    </row>
    <row r="1004" spans="1:15" x14ac:dyDescent="0.15">
      <c r="A1004" t="s">
        <v>265</v>
      </c>
      <c r="B1004" t="s">
        <v>266</v>
      </c>
      <c r="D1004">
        <v>59</v>
      </c>
      <c r="E1004" t="s">
        <v>75</v>
      </c>
      <c r="G1004">
        <v>113.208</v>
      </c>
      <c r="H1004">
        <v>113.3</v>
      </c>
      <c r="I1004" t="s">
        <v>96</v>
      </c>
      <c r="K1004">
        <f t="shared" si="30"/>
        <v>113.208</v>
      </c>
      <c r="L1004">
        <f t="shared" si="31"/>
        <v>113.3</v>
      </c>
      <c r="M1004" t="s">
        <v>100</v>
      </c>
      <c r="O1004" s="7">
        <v>44335</v>
      </c>
    </row>
    <row r="1005" spans="1:15" x14ac:dyDescent="0.15">
      <c r="A1005" t="s">
        <v>265</v>
      </c>
      <c r="B1005" t="s">
        <v>266</v>
      </c>
      <c r="D1005">
        <v>59</v>
      </c>
      <c r="E1005" t="s">
        <v>76</v>
      </c>
      <c r="F1005" t="s">
        <v>83</v>
      </c>
      <c r="G1005">
        <v>113.1</v>
      </c>
      <c r="H1005">
        <v>113.2</v>
      </c>
      <c r="I1005" t="s">
        <v>96</v>
      </c>
      <c r="K1005">
        <f t="shared" si="30"/>
        <v>113.1</v>
      </c>
      <c r="L1005">
        <f t="shared" si="31"/>
        <v>113.2</v>
      </c>
      <c r="M1005" t="s">
        <v>100</v>
      </c>
      <c r="O1005" s="7">
        <v>44357</v>
      </c>
    </row>
    <row r="1006" spans="1:15" x14ac:dyDescent="0.15">
      <c r="A1006" t="s">
        <v>265</v>
      </c>
      <c r="B1006" t="s">
        <v>266</v>
      </c>
      <c r="D1006">
        <v>59</v>
      </c>
      <c r="E1006" t="s">
        <v>76</v>
      </c>
      <c r="F1006" t="s">
        <v>79</v>
      </c>
      <c r="G1006">
        <v>102.4</v>
      </c>
      <c r="H1006">
        <v>102.6</v>
      </c>
      <c r="I1006" t="s">
        <v>94</v>
      </c>
      <c r="K1006">
        <f t="shared" si="30"/>
        <v>102.4</v>
      </c>
      <c r="L1006">
        <f t="shared" si="31"/>
        <v>102.6</v>
      </c>
      <c r="M1006" t="s">
        <v>277</v>
      </c>
      <c r="O1006" s="7">
        <v>44358</v>
      </c>
    </row>
    <row r="1007" spans="1:15" x14ac:dyDescent="0.15">
      <c r="A1007" t="s">
        <v>265</v>
      </c>
      <c r="B1007" t="s">
        <v>266</v>
      </c>
      <c r="D1007">
        <v>59</v>
      </c>
      <c r="E1007" t="s">
        <v>76</v>
      </c>
      <c r="F1007" t="s">
        <v>81</v>
      </c>
      <c r="G1007">
        <v>88.3</v>
      </c>
      <c r="H1007">
        <v>88.4</v>
      </c>
      <c r="I1007" t="s">
        <v>90</v>
      </c>
      <c r="K1007">
        <f t="shared" si="30"/>
        <v>88.3</v>
      </c>
      <c r="L1007">
        <f t="shared" si="31"/>
        <v>88.4</v>
      </c>
      <c r="M1007" t="s">
        <v>143</v>
      </c>
      <c r="O1007" s="7">
        <v>44442</v>
      </c>
    </row>
    <row r="1008" spans="1:15" x14ac:dyDescent="0.15">
      <c r="A1008" t="s">
        <v>265</v>
      </c>
      <c r="B1008" t="s">
        <v>266</v>
      </c>
      <c r="D1008">
        <v>59</v>
      </c>
      <c r="E1008" t="s">
        <v>76</v>
      </c>
      <c r="F1008" t="s">
        <v>81</v>
      </c>
      <c r="G1008">
        <v>88.4</v>
      </c>
      <c r="H1008">
        <v>88.5</v>
      </c>
      <c r="I1008" t="s">
        <v>91</v>
      </c>
      <c r="K1008">
        <f t="shared" si="30"/>
        <v>88.4</v>
      </c>
      <c r="L1008">
        <f t="shared" si="31"/>
        <v>88.5</v>
      </c>
      <c r="M1008" t="s">
        <v>143</v>
      </c>
      <c r="O1008" s="7">
        <v>44442</v>
      </c>
    </row>
    <row r="1009" spans="1:15" x14ac:dyDescent="0.15">
      <c r="A1009" t="s">
        <v>265</v>
      </c>
      <c r="B1009" t="s">
        <v>266</v>
      </c>
      <c r="D1009">
        <v>59</v>
      </c>
      <c r="E1009" t="s">
        <v>76</v>
      </c>
      <c r="F1009" t="s">
        <v>271</v>
      </c>
      <c r="G1009">
        <v>113.98</v>
      </c>
      <c r="H1009">
        <v>114.223</v>
      </c>
      <c r="J1009" t="s">
        <v>23</v>
      </c>
      <c r="K1009">
        <f t="shared" si="30"/>
        <v>113.98</v>
      </c>
      <c r="L1009">
        <f t="shared" si="31"/>
        <v>114.223</v>
      </c>
      <c r="M1009" t="s">
        <v>286</v>
      </c>
      <c r="O1009" s="7">
        <v>44466</v>
      </c>
    </row>
    <row r="1010" spans="1:15" x14ac:dyDescent="0.15">
      <c r="A1010" t="s">
        <v>265</v>
      </c>
      <c r="B1010" t="s">
        <v>266</v>
      </c>
      <c r="D1010">
        <v>59</v>
      </c>
      <c r="G1010">
        <v>98.2</v>
      </c>
      <c r="H1010">
        <v>98.2</v>
      </c>
      <c r="K1010">
        <f t="shared" si="30"/>
        <v>98.2</v>
      </c>
      <c r="L1010">
        <f t="shared" si="31"/>
        <v>98.2</v>
      </c>
      <c r="M1010" t="s">
        <v>100</v>
      </c>
      <c r="O1010" s="7">
        <v>44396</v>
      </c>
    </row>
    <row r="1011" spans="1:15" x14ac:dyDescent="0.15">
      <c r="A1011" t="s">
        <v>265</v>
      </c>
      <c r="B1011" t="s">
        <v>266</v>
      </c>
      <c r="D1011">
        <v>59</v>
      </c>
      <c r="G1011">
        <v>104.1</v>
      </c>
      <c r="H1011">
        <v>104.1</v>
      </c>
      <c r="J1011" t="s">
        <v>23</v>
      </c>
      <c r="K1011">
        <f t="shared" si="30"/>
        <v>104.1</v>
      </c>
      <c r="L1011">
        <f t="shared" si="31"/>
        <v>104.1</v>
      </c>
      <c r="M1011" t="s">
        <v>278</v>
      </c>
      <c r="O1011" s="7">
        <v>44466</v>
      </c>
    </row>
    <row r="1012" spans="1:15" x14ac:dyDescent="0.15">
      <c r="A1012" t="s">
        <v>265</v>
      </c>
      <c r="B1012" t="s">
        <v>266</v>
      </c>
      <c r="D1012">
        <v>59</v>
      </c>
      <c r="G1012">
        <v>104.1</v>
      </c>
      <c r="H1012">
        <v>104.1</v>
      </c>
      <c r="J1012" t="s">
        <v>23</v>
      </c>
      <c r="K1012">
        <f t="shared" si="30"/>
        <v>104.1</v>
      </c>
      <c r="L1012">
        <f t="shared" si="31"/>
        <v>104.1</v>
      </c>
      <c r="M1012" t="s">
        <v>279</v>
      </c>
      <c r="O1012" s="7">
        <v>44467</v>
      </c>
    </row>
    <row r="1013" spans="1:15" x14ac:dyDescent="0.15">
      <c r="A1013" t="s">
        <v>265</v>
      </c>
      <c r="B1013" t="s">
        <v>266</v>
      </c>
      <c r="D1013">
        <v>65</v>
      </c>
      <c r="E1013" t="s">
        <v>74</v>
      </c>
      <c r="G1013">
        <v>15.2</v>
      </c>
      <c r="H1013">
        <v>15.56</v>
      </c>
      <c r="I1013" t="s">
        <v>91</v>
      </c>
      <c r="K1013">
        <f t="shared" si="30"/>
        <v>15.2</v>
      </c>
      <c r="L1013">
        <f t="shared" si="31"/>
        <v>15.56</v>
      </c>
      <c r="M1013" t="s">
        <v>277</v>
      </c>
      <c r="O1013" s="7">
        <v>44358</v>
      </c>
    </row>
    <row r="1014" spans="1:15" x14ac:dyDescent="0.15">
      <c r="A1014" t="s">
        <v>265</v>
      </c>
      <c r="B1014" t="s">
        <v>266</v>
      </c>
      <c r="D1014">
        <v>65</v>
      </c>
      <c r="E1014" t="s">
        <v>74</v>
      </c>
      <c r="G1014">
        <v>15.56</v>
      </c>
      <c r="H1014">
        <v>15.8</v>
      </c>
      <c r="I1014" t="s">
        <v>92</v>
      </c>
      <c r="K1014">
        <f t="shared" si="30"/>
        <v>15.56</v>
      </c>
      <c r="L1014">
        <f t="shared" si="31"/>
        <v>15.8</v>
      </c>
      <c r="M1014" t="s">
        <v>100</v>
      </c>
      <c r="O1014" s="7">
        <v>44358</v>
      </c>
    </row>
    <row r="1015" spans="1:15" x14ac:dyDescent="0.15">
      <c r="A1015" t="s">
        <v>265</v>
      </c>
      <c r="B1015" t="s">
        <v>266</v>
      </c>
      <c r="D1015">
        <v>65</v>
      </c>
      <c r="E1015" t="s">
        <v>74</v>
      </c>
      <c r="G1015">
        <v>15.8</v>
      </c>
      <c r="H1015">
        <v>16.100000000000001</v>
      </c>
      <c r="I1015" t="s">
        <v>92</v>
      </c>
      <c r="K1015">
        <f t="shared" si="30"/>
        <v>15.8</v>
      </c>
      <c r="L1015">
        <f t="shared" si="31"/>
        <v>16.100000000000001</v>
      </c>
      <c r="M1015" t="s">
        <v>100</v>
      </c>
      <c r="O1015" s="7">
        <v>44358</v>
      </c>
    </row>
    <row r="1016" spans="1:15" x14ac:dyDescent="0.15">
      <c r="A1016" t="s">
        <v>265</v>
      </c>
      <c r="B1016" t="s">
        <v>266</v>
      </c>
      <c r="D1016">
        <v>65</v>
      </c>
      <c r="E1016" t="s">
        <v>74</v>
      </c>
      <c r="G1016">
        <v>16.600000000000001</v>
      </c>
      <c r="H1016">
        <v>16.8</v>
      </c>
      <c r="I1016" t="s">
        <v>92</v>
      </c>
      <c r="K1016">
        <f t="shared" si="30"/>
        <v>16.600000000000001</v>
      </c>
      <c r="L1016">
        <f t="shared" si="31"/>
        <v>16.8</v>
      </c>
      <c r="M1016" t="s">
        <v>100</v>
      </c>
      <c r="O1016" s="7">
        <v>44358</v>
      </c>
    </row>
    <row r="1017" spans="1:15" x14ac:dyDescent="0.15">
      <c r="A1017" t="s">
        <v>265</v>
      </c>
      <c r="B1017" t="s">
        <v>266</v>
      </c>
      <c r="D1017">
        <v>65</v>
      </c>
      <c r="E1017" t="s">
        <v>75</v>
      </c>
      <c r="G1017">
        <v>15</v>
      </c>
      <c r="H1017">
        <v>15.3</v>
      </c>
      <c r="I1017" t="s">
        <v>94</v>
      </c>
      <c r="K1017">
        <f t="shared" si="30"/>
        <v>15</v>
      </c>
      <c r="L1017">
        <f t="shared" si="31"/>
        <v>15.3</v>
      </c>
      <c r="M1017" t="s">
        <v>277</v>
      </c>
      <c r="O1017" s="7">
        <v>44356</v>
      </c>
    </row>
    <row r="1018" spans="1:15" x14ac:dyDescent="0.15">
      <c r="A1018" t="s">
        <v>265</v>
      </c>
      <c r="B1018" t="s">
        <v>266</v>
      </c>
      <c r="D1018">
        <v>65</v>
      </c>
      <c r="E1018" t="s">
        <v>75</v>
      </c>
      <c r="G1018">
        <v>15.3</v>
      </c>
      <c r="H1018">
        <v>15.4</v>
      </c>
      <c r="I1018" t="s">
        <v>96</v>
      </c>
      <c r="K1018">
        <f t="shared" si="30"/>
        <v>15.3</v>
      </c>
      <c r="L1018">
        <f t="shared" si="31"/>
        <v>15.4</v>
      </c>
      <c r="M1018" t="s">
        <v>100</v>
      </c>
      <c r="O1018" s="7">
        <v>44356</v>
      </c>
    </row>
    <row r="1019" spans="1:15" x14ac:dyDescent="0.15">
      <c r="A1019" t="s">
        <v>265</v>
      </c>
      <c r="B1019" t="s">
        <v>266</v>
      </c>
      <c r="D1019">
        <v>65</v>
      </c>
      <c r="E1019" t="s">
        <v>75</v>
      </c>
      <c r="G1019">
        <v>15.3</v>
      </c>
      <c r="H1019">
        <v>15.4</v>
      </c>
      <c r="I1019" t="s">
        <v>94</v>
      </c>
      <c r="K1019">
        <f t="shared" si="30"/>
        <v>15.3</v>
      </c>
      <c r="L1019">
        <f t="shared" si="31"/>
        <v>15.4</v>
      </c>
      <c r="M1019" t="s">
        <v>100</v>
      </c>
      <c r="O1019" s="7">
        <v>44356</v>
      </c>
    </row>
    <row r="1020" spans="1:15" x14ac:dyDescent="0.15">
      <c r="A1020" t="s">
        <v>265</v>
      </c>
      <c r="B1020" t="s">
        <v>266</v>
      </c>
      <c r="D1020">
        <v>65</v>
      </c>
      <c r="E1020" t="s">
        <v>75</v>
      </c>
      <c r="G1020">
        <v>15.5</v>
      </c>
      <c r="H1020">
        <v>15.7</v>
      </c>
      <c r="I1020" t="s">
        <v>94</v>
      </c>
      <c r="K1020">
        <f t="shared" si="30"/>
        <v>15.5</v>
      </c>
      <c r="L1020">
        <f t="shared" si="31"/>
        <v>15.7</v>
      </c>
      <c r="M1020" t="s">
        <v>100</v>
      </c>
      <c r="O1020" s="7">
        <v>44356</v>
      </c>
    </row>
    <row r="1021" spans="1:15" x14ac:dyDescent="0.15">
      <c r="A1021" t="s">
        <v>265</v>
      </c>
      <c r="B1021" t="s">
        <v>266</v>
      </c>
      <c r="D1021">
        <v>65</v>
      </c>
      <c r="G1021">
        <v>19.399999999999999</v>
      </c>
      <c r="H1021">
        <v>19.399999999999999</v>
      </c>
      <c r="I1021" t="s">
        <v>276</v>
      </c>
      <c r="K1021">
        <f t="shared" si="30"/>
        <v>19.399999999999999</v>
      </c>
      <c r="L1021">
        <f t="shared" si="31"/>
        <v>19.399999999999999</v>
      </c>
      <c r="M1021" t="s">
        <v>100</v>
      </c>
      <c r="O1021" s="7">
        <v>44440</v>
      </c>
    </row>
    <row r="1022" spans="1:15" x14ac:dyDescent="0.15">
      <c r="A1022" t="s">
        <v>265</v>
      </c>
      <c r="B1022" t="s">
        <v>266</v>
      </c>
      <c r="D1022">
        <v>65</v>
      </c>
      <c r="E1022" t="s">
        <v>76</v>
      </c>
      <c r="F1022" t="s">
        <v>80</v>
      </c>
      <c r="G1022">
        <v>19.27</v>
      </c>
      <c r="H1022">
        <v>19.489999999999998</v>
      </c>
      <c r="J1022" t="s">
        <v>23</v>
      </c>
      <c r="K1022">
        <f t="shared" si="30"/>
        <v>19.27</v>
      </c>
      <c r="L1022">
        <f t="shared" si="31"/>
        <v>19.489999999999998</v>
      </c>
      <c r="M1022" t="s">
        <v>100</v>
      </c>
      <c r="O1022" s="7">
        <v>44440</v>
      </c>
    </row>
    <row r="1023" spans="1:15" x14ac:dyDescent="0.15">
      <c r="A1023" t="s">
        <v>265</v>
      </c>
      <c r="B1023" t="s">
        <v>266</v>
      </c>
      <c r="D1023">
        <v>65</v>
      </c>
      <c r="E1023" t="s">
        <v>76</v>
      </c>
      <c r="F1023" t="s">
        <v>272</v>
      </c>
      <c r="G1023">
        <v>20.6</v>
      </c>
      <c r="H1023">
        <v>20.672000000000001</v>
      </c>
      <c r="I1023" t="s">
        <v>96</v>
      </c>
      <c r="K1023">
        <f t="shared" si="30"/>
        <v>20.6</v>
      </c>
      <c r="L1023">
        <f t="shared" si="31"/>
        <v>20.672000000000001</v>
      </c>
      <c r="M1023" t="s">
        <v>100</v>
      </c>
      <c r="O1023" s="7">
        <v>44249</v>
      </c>
    </row>
    <row r="1024" spans="1:15" x14ac:dyDescent="0.15">
      <c r="A1024" t="s">
        <v>265</v>
      </c>
      <c r="B1024" t="s">
        <v>266</v>
      </c>
      <c r="D1024">
        <v>65</v>
      </c>
      <c r="E1024" t="s">
        <v>76</v>
      </c>
      <c r="F1024" t="s">
        <v>272</v>
      </c>
      <c r="G1024">
        <v>20.672000000000001</v>
      </c>
      <c r="H1024">
        <v>21</v>
      </c>
      <c r="I1024" t="s">
        <v>96</v>
      </c>
      <c r="K1024">
        <f t="shared" si="30"/>
        <v>20.672000000000001</v>
      </c>
      <c r="L1024">
        <f t="shared" si="31"/>
        <v>21</v>
      </c>
      <c r="M1024" t="s">
        <v>25</v>
      </c>
      <c r="O1024" s="7">
        <v>44249</v>
      </c>
    </row>
    <row r="1025" spans="1:15" x14ac:dyDescent="0.15">
      <c r="A1025" t="s">
        <v>162</v>
      </c>
      <c r="B1025" t="s">
        <v>288</v>
      </c>
      <c r="D1025">
        <v>73</v>
      </c>
      <c r="E1025" t="s">
        <v>74</v>
      </c>
      <c r="G1025">
        <v>67.7</v>
      </c>
      <c r="H1025">
        <v>67.599999999999994</v>
      </c>
      <c r="I1025" t="s">
        <v>92</v>
      </c>
      <c r="K1025">
        <f t="shared" ref="K1025:K1088" si="32">MIN(G1025:H1025)</f>
        <v>67.599999999999994</v>
      </c>
      <c r="L1025">
        <f t="shared" ref="L1025:L1088" si="33">MAX(G1025:H1025)</f>
        <v>67.7</v>
      </c>
      <c r="M1025" t="s">
        <v>280</v>
      </c>
      <c r="O1025" s="7">
        <v>44337</v>
      </c>
    </row>
    <row r="1026" spans="1:15" x14ac:dyDescent="0.15">
      <c r="A1026" t="s">
        <v>162</v>
      </c>
      <c r="B1026" t="s">
        <v>288</v>
      </c>
      <c r="D1026">
        <v>73</v>
      </c>
      <c r="E1026" t="s">
        <v>74</v>
      </c>
      <c r="G1026">
        <v>67.7</v>
      </c>
      <c r="H1026">
        <v>67.599999999999994</v>
      </c>
      <c r="I1026" t="s">
        <v>92</v>
      </c>
      <c r="K1026">
        <f t="shared" si="32"/>
        <v>67.599999999999994</v>
      </c>
      <c r="L1026">
        <f t="shared" si="33"/>
        <v>67.7</v>
      </c>
      <c r="M1026" t="s">
        <v>293</v>
      </c>
      <c r="O1026" s="7">
        <v>44337</v>
      </c>
    </row>
    <row r="1027" spans="1:15" x14ac:dyDescent="0.15">
      <c r="A1027" t="s">
        <v>162</v>
      </c>
      <c r="B1027" t="s">
        <v>288</v>
      </c>
      <c r="D1027">
        <v>73</v>
      </c>
      <c r="E1027" t="s">
        <v>74</v>
      </c>
      <c r="G1027">
        <v>64.2</v>
      </c>
      <c r="H1027">
        <v>64.150000000000006</v>
      </c>
      <c r="I1027" t="s">
        <v>92</v>
      </c>
      <c r="K1027">
        <f t="shared" si="32"/>
        <v>64.150000000000006</v>
      </c>
      <c r="L1027">
        <f t="shared" si="33"/>
        <v>64.2</v>
      </c>
      <c r="M1027" t="s">
        <v>280</v>
      </c>
      <c r="O1027" s="7">
        <v>44337</v>
      </c>
    </row>
    <row r="1028" spans="1:15" x14ac:dyDescent="0.15">
      <c r="A1028" t="s">
        <v>162</v>
      </c>
      <c r="B1028" t="s">
        <v>288</v>
      </c>
      <c r="D1028">
        <v>73</v>
      </c>
      <c r="E1028" t="s">
        <v>74</v>
      </c>
      <c r="G1028">
        <v>64.2</v>
      </c>
      <c r="H1028">
        <v>64.150000000000006</v>
      </c>
      <c r="I1028" t="s">
        <v>92</v>
      </c>
      <c r="K1028">
        <f t="shared" si="32"/>
        <v>64.150000000000006</v>
      </c>
      <c r="L1028">
        <f t="shared" si="33"/>
        <v>64.2</v>
      </c>
      <c r="M1028" t="s">
        <v>293</v>
      </c>
      <c r="O1028" s="7">
        <v>44337</v>
      </c>
    </row>
    <row r="1029" spans="1:15" x14ac:dyDescent="0.15">
      <c r="A1029" t="s">
        <v>162</v>
      </c>
      <c r="B1029" t="s">
        <v>288</v>
      </c>
      <c r="D1029">
        <v>73</v>
      </c>
      <c r="E1029" t="s">
        <v>74</v>
      </c>
      <c r="G1029">
        <v>64.2</v>
      </c>
      <c r="H1029">
        <v>64.150000000000006</v>
      </c>
      <c r="I1029" t="s">
        <v>90</v>
      </c>
      <c r="K1029">
        <f t="shared" si="32"/>
        <v>64.150000000000006</v>
      </c>
      <c r="L1029">
        <f t="shared" si="33"/>
        <v>64.2</v>
      </c>
      <c r="M1029" t="s">
        <v>293</v>
      </c>
      <c r="O1029" s="7">
        <v>44337</v>
      </c>
    </row>
    <row r="1030" spans="1:15" x14ac:dyDescent="0.15">
      <c r="A1030" t="s">
        <v>162</v>
      </c>
      <c r="B1030" t="s">
        <v>288</v>
      </c>
      <c r="D1030">
        <v>73</v>
      </c>
      <c r="E1030" t="s">
        <v>74</v>
      </c>
      <c r="G1030">
        <v>63.65</v>
      </c>
      <c r="H1030">
        <v>62.4</v>
      </c>
      <c r="I1030" t="s">
        <v>92</v>
      </c>
      <c r="K1030">
        <f t="shared" si="32"/>
        <v>62.4</v>
      </c>
      <c r="L1030">
        <f t="shared" si="33"/>
        <v>63.65</v>
      </c>
      <c r="M1030" t="s">
        <v>280</v>
      </c>
      <c r="O1030" s="7">
        <v>44337</v>
      </c>
    </row>
    <row r="1031" spans="1:15" x14ac:dyDescent="0.15">
      <c r="A1031" t="s">
        <v>162</v>
      </c>
      <c r="B1031" t="s">
        <v>288</v>
      </c>
      <c r="D1031">
        <v>73</v>
      </c>
      <c r="E1031" t="s">
        <v>74</v>
      </c>
      <c r="G1031">
        <v>63.65</v>
      </c>
      <c r="H1031">
        <v>62.4</v>
      </c>
      <c r="I1031" t="s">
        <v>92</v>
      </c>
      <c r="K1031">
        <f t="shared" si="32"/>
        <v>62.4</v>
      </c>
      <c r="L1031">
        <f t="shared" si="33"/>
        <v>63.65</v>
      </c>
      <c r="M1031" t="s">
        <v>293</v>
      </c>
      <c r="O1031" s="7">
        <v>44337</v>
      </c>
    </row>
    <row r="1032" spans="1:15" x14ac:dyDescent="0.15">
      <c r="A1032" t="s">
        <v>162</v>
      </c>
      <c r="B1032" t="s">
        <v>288</v>
      </c>
      <c r="D1032">
        <v>73</v>
      </c>
      <c r="E1032" t="s">
        <v>74</v>
      </c>
      <c r="G1032">
        <v>63.65</v>
      </c>
      <c r="H1032">
        <v>62.4</v>
      </c>
      <c r="I1032" t="s">
        <v>90</v>
      </c>
      <c r="K1032">
        <f t="shared" si="32"/>
        <v>62.4</v>
      </c>
      <c r="L1032">
        <f t="shared" si="33"/>
        <v>63.65</v>
      </c>
      <c r="M1032" t="s">
        <v>293</v>
      </c>
      <c r="O1032" s="7">
        <v>44337</v>
      </c>
    </row>
    <row r="1033" spans="1:15" x14ac:dyDescent="0.15">
      <c r="A1033" t="s">
        <v>162</v>
      </c>
      <c r="B1033" t="s">
        <v>288</v>
      </c>
      <c r="D1033">
        <v>73</v>
      </c>
      <c r="E1033" t="s">
        <v>76</v>
      </c>
      <c r="F1033" t="s">
        <v>80</v>
      </c>
      <c r="G1033">
        <v>63.18</v>
      </c>
      <c r="H1033">
        <v>63.155000000000001</v>
      </c>
      <c r="I1033" t="s">
        <v>91</v>
      </c>
      <c r="K1033">
        <f t="shared" si="32"/>
        <v>63.155000000000001</v>
      </c>
      <c r="L1033">
        <f t="shared" si="33"/>
        <v>63.18</v>
      </c>
      <c r="M1033" t="s">
        <v>294</v>
      </c>
      <c r="O1033" s="7">
        <v>44337</v>
      </c>
    </row>
    <row r="1034" spans="1:15" x14ac:dyDescent="0.15">
      <c r="A1034" t="s">
        <v>162</v>
      </c>
      <c r="B1034" t="s">
        <v>288</v>
      </c>
      <c r="D1034">
        <v>74</v>
      </c>
      <c r="E1034" t="s">
        <v>74</v>
      </c>
      <c r="G1034">
        <v>101.5</v>
      </c>
      <c r="H1034">
        <v>101</v>
      </c>
      <c r="I1034" t="s">
        <v>92</v>
      </c>
      <c r="K1034">
        <f t="shared" si="32"/>
        <v>101</v>
      </c>
      <c r="L1034">
        <f t="shared" si="33"/>
        <v>101.5</v>
      </c>
      <c r="M1034" t="s">
        <v>286</v>
      </c>
      <c r="O1034" s="7">
        <v>44349</v>
      </c>
    </row>
    <row r="1035" spans="1:15" x14ac:dyDescent="0.15">
      <c r="A1035" t="s">
        <v>162</v>
      </c>
      <c r="B1035" t="s">
        <v>288</v>
      </c>
      <c r="D1035">
        <v>74</v>
      </c>
      <c r="E1035" t="s">
        <v>74</v>
      </c>
      <c r="G1035">
        <v>100.91</v>
      </c>
      <c r="H1035">
        <v>100.89</v>
      </c>
      <c r="I1035" t="s">
        <v>92</v>
      </c>
      <c r="K1035">
        <f t="shared" si="32"/>
        <v>100.89</v>
      </c>
      <c r="L1035">
        <f t="shared" si="33"/>
        <v>100.91</v>
      </c>
      <c r="M1035" t="s">
        <v>27</v>
      </c>
      <c r="O1035" s="7">
        <v>44349</v>
      </c>
    </row>
    <row r="1036" spans="1:15" x14ac:dyDescent="0.15">
      <c r="A1036" t="s">
        <v>162</v>
      </c>
      <c r="B1036" t="s">
        <v>288</v>
      </c>
      <c r="D1036">
        <v>74</v>
      </c>
      <c r="E1036" t="s">
        <v>74</v>
      </c>
      <c r="G1036">
        <v>99.86</v>
      </c>
      <c r="H1036">
        <v>99.834999999999994</v>
      </c>
      <c r="I1036" t="s">
        <v>92</v>
      </c>
      <c r="K1036">
        <f t="shared" si="32"/>
        <v>99.834999999999994</v>
      </c>
      <c r="L1036">
        <f t="shared" si="33"/>
        <v>99.86</v>
      </c>
      <c r="M1036" t="s">
        <v>286</v>
      </c>
      <c r="O1036" s="7">
        <v>44349</v>
      </c>
    </row>
    <row r="1037" spans="1:15" x14ac:dyDescent="0.15">
      <c r="A1037" t="s">
        <v>162</v>
      </c>
      <c r="B1037" t="s">
        <v>288</v>
      </c>
      <c r="D1037">
        <v>73</v>
      </c>
      <c r="E1037" t="s">
        <v>76</v>
      </c>
      <c r="F1037" t="s">
        <v>88</v>
      </c>
      <c r="G1037">
        <v>62.89</v>
      </c>
      <c r="H1037">
        <v>63</v>
      </c>
      <c r="I1037" t="s">
        <v>96</v>
      </c>
      <c r="K1037">
        <f t="shared" si="32"/>
        <v>62.89</v>
      </c>
      <c r="L1037">
        <f t="shared" si="33"/>
        <v>63</v>
      </c>
      <c r="M1037" t="s">
        <v>294</v>
      </c>
      <c r="O1037" s="7">
        <v>44397</v>
      </c>
    </row>
    <row r="1038" spans="1:15" x14ac:dyDescent="0.15">
      <c r="A1038" t="s">
        <v>162</v>
      </c>
      <c r="B1038" t="s">
        <v>288</v>
      </c>
      <c r="D1038">
        <v>73</v>
      </c>
      <c r="E1038" t="s">
        <v>75</v>
      </c>
      <c r="G1038">
        <v>67.55</v>
      </c>
      <c r="H1038">
        <v>67.575000000000003</v>
      </c>
      <c r="I1038" t="s">
        <v>94</v>
      </c>
      <c r="K1038">
        <f t="shared" si="32"/>
        <v>67.55</v>
      </c>
      <c r="L1038">
        <f t="shared" si="33"/>
        <v>67.575000000000003</v>
      </c>
      <c r="M1038" t="s">
        <v>280</v>
      </c>
      <c r="O1038" s="7">
        <v>44397</v>
      </c>
    </row>
    <row r="1039" spans="1:15" x14ac:dyDescent="0.15">
      <c r="A1039" t="s">
        <v>162</v>
      </c>
      <c r="B1039" t="s">
        <v>288</v>
      </c>
      <c r="D1039">
        <v>73</v>
      </c>
      <c r="E1039" t="s">
        <v>75</v>
      </c>
      <c r="G1039">
        <v>67.55</v>
      </c>
      <c r="H1039">
        <v>67.575000000000003</v>
      </c>
      <c r="I1039" t="s">
        <v>94</v>
      </c>
      <c r="K1039">
        <f t="shared" si="32"/>
        <v>67.55</v>
      </c>
      <c r="L1039">
        <f t="shared" si="33"/>
        <v>67.575000000000003</v>
      </c>
      <c r="M1039" t="s">
        <v>293</v>
      </c>
      <c r="O1039" s="7">
        <v>44397</v>
      </c>
    </row>
    <row r="1040" spans="1:15" x14ac:dyDescent="0.15">
      <c r="A1040" t="s">
        <v>162</v>
      </c>
      <c r="B1040" t="s">
        <v>288</v>
      </c>
      <c r="D1040">
        <v>73</v>
      </c>
      <c r="E1040" t="s">
        <v>75</v>
      </c>
      <c r="G1040">
        <v>67.55</v>
      </c>
      <c r="H1040">
        <v>67.575000000000003</v>
      </c>
      <c r="I1040" t="s">
        <v>97</v>
      </c>
      <c r="K1040">
        <f t="shared" si="32"/>
        <v>67.55</v>
      </c>
      <c r="L1040">
        <f t="shared" si="33"/>
        <v>67.575000000000003</v>
      </c>
      <c r="M1040" t="s">
        <v>293</v>
      </c>
      <c r="O1040" s="7">
        <v>44397</v>
      </c>
    </row>
    <row r="1041" spans="1:15" x14ac:dyDescent="0.15">
      <c r="A1041" t="s">
        <v>162</v>
      </c>
      <c r="B1041" t="s">
        <v>288</v>
      </c>
      <c r="D1041">
        <v>73</v>
      </c>
      <c r="E1041" t="s">
        <v>75</v>
      </c>
      <c r="G1041">
        <v>68.575000000000003</v>
      </c>
      <c r="H1041">
        <v>68.599999999999994</v>
      </c>
      <c r="I1041" t="s">
        <v>94</v>
      </c>
      <c r="K1041">
        <f t="shared" si="32"/>
        <v>68.575000000000003</v>
      </c>
      <c r="L1041">
        <f t="shared" si="33"/>
        <v>68.599999999999994</v>
      </c>
      <c r="M1041" t="s">
        <v>280</v>
      </c>
      <c r="O1041" s="7">
        <v>44397</v>
      </c>
    </row>
    <row r="1042" spans="1:15" x14ac:dyDescent="0.15">
      <c r="A1042" t="s">
        <v>162</v>
      </c>
      <c r="B1042" t="s">
        <v>288</v>
      </c>
      <c r="D1042">
        <v>73</v>
      </c>
      <c r="E1042" t="s">
        <v>75</v>
      </c>
      <c r="G1042">
        <v>68.575000000000003</v>
      </c>
      <c r="H1042">
        <v>68.599999999999994</v>
      </c>
      <c r="I1042" t="s">
        <v>94</v>
      </c>
      <c r="K1042">
        <f t="shared" si="32"/>
        <v>68.575000000000003</v>
      </c>
      <c r="L1042">
        <f t="shared" si="33"/>
        <v>68.599999999999994</v>
      </c>
      <c r="M1042" t="s">
        <v>293</v>
      </c>
      <c r="O1042" s="7">
        <v>44397</v>
      </c>
    </row>
    <row r="1043" spans="1:15" x14ac:dyDescent="0.15">
      <c r="A1043" t="s">
        <v>162</v>
      </c>
      <c r="B1043" t="s">
        <v>288</v>
      </c>
      <c r="D1043">
        <v>73</v>
      </c>
      <c r="E1043" t="s">
        <v>75</v>
      </c>
      <c r="G1043">
        <v>68.575000000000003</v>
      </c>
      <c r="H1043">
        <v>68.599999999999994</v>
      </c>
      <c r="I1043" t="s">
        <v>97</v>
      </c>
      <c r="K1043">
        <f t="shared" si="32"/>
        <v>68.575000000000003</v>
      </c>
      <c r="L1043">
        <f t="shared" si="33"/>
        <v>68.599999999999994</v>
      </c>
      <c r="M1043" t="s">
        <v>293</v>
      </c>
      <c r="O1043" s="7">
        <v>44397</v>
      </c>
    </row>
    <row r="1044" spans="1:15" x14ac:dyDescent="0.15">
      <c r="A1044" t="s">
        <v>162</v>
      </c>
      <c r="B1044" t="s">
        <v>288</v>
      </c>
      <c r="D1044">
        <v>73</v>
      </c>
      <c r="E1044" t="s">
        <v>75</v>
      </c>
      <c r="G1044">
        <v>66.3</v>
      </c>
      <c r="H1044">
        <v>66.400000000000006</v>
      </c>
      <c r="I1044" t="s">
        <v>22</v>
      </c>
      <c r="K1044">
        <f t="shared" si="32"/>
        <v>66.3</v>
      </c>
      <c r="L1044">
        <f t="shared" si="33"/>
        <v>66.400000000000006</v>
      </c>
      <c r="M1044" t="s">
        <v>286</v>
      </c>
      <c r="O1044" s="7">
        <v>44397</v>
      </c>
    </row>
    <row r="1045" spans="1:15" x14ac:dyDescent="0.15">
      <c r="A1045" t="s">
        <v>162</v>
      </c>
      <c r="B1045" t="s">
        <v>288</v>
      </c>
      <c r="D1045">
        <v>67</v>
      </c>
      <c r="E1045" t="s">
        <v>76</v>
      </c>
      <c r="F1045" t="s">
        <v>80</v>
      </c>
      <c r="G1045">
        <v>65.349999999999994</v>
      </c>
      <c r="H1045">
        <v>65.2</v>
      </c>
      <c r="I1045" t="s">
        <v>91</v>
      </c>
      <c r="K1045">
        <f t="shared" si="32"/>
        <v>65.2</v>
      </c>
      <c r="L1045">
        <f t="shared" si="33"/>
        <v>65.349999999999994</v>
      </c>
      <c r="M1045" t="s">
        <v>294</v>
      </c>
      <c r="O1045" s="7">
        <v>44398</v>
      </c>
    </row>
    <row r="1046" spans="1:15" x14ac:dyDescent="0.15">
      <c r="A1046" t="s">
        <v>162</v>
      </c>
      <c r="B1046" t="s">
        <v>288</v>
      </c>
      <c r="D1046">
        <v>76</v>
      </c>
      <c r="E1046" t="s">
        <v>74</v>
      </c>
      <c r="G1046">
        <v>7.8</v>
      </c>
      <c r="H1046">
        <v>7.5</v>
      </c>
      <c r="I1046" t="s">
        <v>92</v>
      </c>
      <c r="K1046">
        <f t="shared" si="32"/>
        <v>7.5</v>
      </c>
      <c r="L1046">
        <f t="shared" si="33"/>
        <v>7.8</v>
      </c>
      <c r="M1046" t="s">
        <v>293</v>
      </c>
      <c r="O1046" s="7">
        <v>44432</v>
      </c>
    </row>
    <row r="1047" spans="1:15" x14ac:dyDescent="0.15">
      <c r="A1047" t="s">
        <v>162</v>
      </c>
      <c r="B1047" t="s">
        <v>288</v>
      </c>
      <c r="D1047">
        <v>76</v>
      </c>
      <c r="E1047" t="s">
        <v>74</v>
      </c>
      <c r="G1047">
        <v>9.8000000000000007</v>
      </c>
      <c r="H1047">
        <v>9.6999999999999993</v>
      </c>
      <c r="J1047" t="s">
        <v>23</v>
      </c>
      <c r="K1047">
        <f t="shared" si="32"/>
        <v>9.6999999999999993</v>
      </c>
      <c r="L1047">
        <f t="shared" si="33"/>
        <v>9.8000000000000007</v>
      </c>
      <c r="M1047" t="s">
        <v>143</v>
      </c>
      <c r="O1047" s="7">
        <v>44432</v>
      </c>
    </row>
    <row r="1048" spans="1:15" x14ac:dyDescent="0.15">
      <c r="A1048" t="s">
        <v>162</v>
      </c>
      <c r="B1048" t="s">
        <v>288</v>
      </c>
      <c r="D1048">
        <v>76</v>
      </c>
      <c r="E1048" t="s">
        <v>74</v>
      </c>
      <c r="G1048">
        <v>27.1</v>
      </c>
      <c r="H1048">
        <v>27.05</v>
      </c>
      <c r="I1048" t="s">
        <v>92</v>
      </c>
      <c r="K1048">
        <f t="shared" si="32"/>
        <v>27.05</v>
      </c>
      <c r="L1048">
        <f t="shared" si="33"/>
        <v>27.1</v>
      </c>
      <c r="M1048" t="s">
        <v>293</v>
      </c>
      <c r="O1048" s="7">
        <v>44433</v>
      </c>
    </row>
    <row r="1049" spans="1:15" x14ac:dyDescent="0.15">
      <c r="A1049" t="s">
        <v>162</v>
      </c>
      <c r="B1049" t="s">
        <v>288</v>
      </c>
      <c r="D1049">
        <v>76</v>
      </c>
      <c r="E1049" t="s">
        <v>74</v>
      </c>
      <c r="G1049">
        <v>26.85</v>
      </c>
      <c r="H1049">
        <v>26.824999999999999</v>
      </c>
      <c r="I1049" t="s">
        <v>92</v>
      </c>
      <c r="K1049">
        <f t="shared" si="32"/>
        <v>26.824999999999999</v>
      </c>
      <c r="L1049">
        <f t="shared" si="33"/>
        <v>26.85</v>
      </c>
      <c r="M1049" t="s">
        <v>293</v>
      </c>
      <c r="O1049" s="7">
        <v>44433</v>
      </c>
    </row>
    <row r="1050" spans="1:15" x14ac:dyDescent="0.15">
      <c r="A1050" t="s">
        <v>162</v>
      </c>
      <c r="B1050" t="s">
        <v>288</v>
      </c>
      <c r="D1050">
        <v>76</v>
      </c>
      <c r="E1050" t="s">
        <v>74</v>
      </c>
      <c r="G1050">
        <v>26.85</v>
      </c>
      <c r="H1050">
        <v>26.824999999999999</v>
      </c>
      <c r="I1050" t="s">
        <v>90</v>
      </c>
      <c r="K1050">
        <f t="shared" si="32"/>
        <v>26.824999999999999</v>
      </c>
      <c r="L1050">
        <f t="shared" si="33"/>
        <v>26.85</v>
      </c>
      <c r="M1050" t="s">
        <v>293</v>
      </c>
      <c r="O1050" s="7">
        <v>44433</v>
      </c>
    </row>
    <row r="1051" spans="1:15" x14ac:dyDescent="0.15">
      <c r="A1051" t="s">
        <v>162</v>
      </c>
      <c r="B1051" t="s">
        <v>288</v>
      </c>
      <c r="D1051">
        <v>76</v>
      </c>
      <c r="E1051" t="s">
        <v>74</v>
      </c>
      <c r="G1051">
        <v>23.75</v>
      </c>
      <c r="H1051">
        <v>23.725000000000001</v>
      </c>
      <c r="I1051" t="s">
        <v>92</v>
      </c>
      <c r="K1051">
        <f t="shared" si="32"/>
        <v>23.725000000000001</v>
      </c>
      <c r="L1051">
        <f t="shared" si="33"/>
        <v>23.75</v>
      </c>
      <c r="M1051" t="s">
        <v>293</v>
      </c>
      <c r="O1051" s="7">
        <v>44433</v>
      </c>
    </row>
    <row r="1052" spans="1:15" x14ac:dyDescent="0.15">
      <c r="A1052" t="s">
        <v>162</v>
      </c>
      <c r="B1052" t="s">
        <v>288</v>
      </c>
      <c r="D1052">
        <v>76</v>
      </c>
      <c r="E1052" t="s">
        <v>74</v>
      </c>
      <c r="G1052">
        <v>23.75</v>
      </c>
      <c r="H1052">
        <v>23.725000000000001</v>
      </c>
      <c r="I1052" t="s">
        <v>90</v>
      </c>
      <c r="K1052">
        <f t="shared" si="32"/>
        <v>23.725000000000001</v>
      </c>
      <c r="L1052">
        <f t="shared" si="33"/>
        <v>23.75</v>
      </c>
      <c r="M1052" t="s">
        <v>293</v>
      </c>
      <c r="O1052" s="7">
        <v>44433</v>
      </c>
    </row>
    <row r="1053" spans="1:15" x14ac:dyDescent="0.15">
      <c r="A1053" t="s">
        <v>162</v>
      </c>
      <c r="B1053" t="s">
        <v>288</v>
      </c>
      <c r="D1053">
        <v>76</v>
      </c>
      <c r="E1053" t="s">
        <v>75</v>
      </c>
      <c r="G1053">
        <v>23.805</v>
      </c>
      <c r="H1053">
        <v>23.83</v>
      </c>
      <c r="I1053" t="s">
        <v>94</v>
      </c>
      <c r="K1053">
        <f t="shared" si="32"/>
        <v>23.805</v>
      </c>
      <c r="L1053">
        <f t="shared" si="33"/>
        <v>23.83</v>
      </c>
      <c r="M1053" t="s">
        <v>293</v>
      </c>
      <c r="O1053" s="7">
        <v>44434</v>
      </c>
    </row>
    <row r="1054" spans="1:15" x14ac:dyDescent="0.15">
      <c r="A1054" t="s">
        <v>162</v>
      </c>
      <c r="B1054" t="s">
        <v>288</v>
      </c>
      <c r="D1054">
        <v>76</v>
      </c>
      <c r="E1054" t="s">
        <v>76</v>
      </c>
      <c r="F1054" t="s">
        <v>82</v>
      </c>
      <c r="G1054">
        <v>24.38</v>
      </c>
      <c r="H1054">
        <v>24.47</v>
      </c>
      <c r="I1054" t="s">
        <v>96</v>
      </c>
      <c r="K1054">
        <f t="shared" si="32"/>
        <v>24.38</v>
      </c>
      <c r="L1054">
        <f t="shared" si="33"/>
        <v>24.47</v>
      </c>
      <c r="M1054" t="s">
        <v>294</v>
      </c>
      <c r="O1054" s="7">
        <v>44434</v>
      </c>
    </row>
    <row r="1055" spans="1:15" x14ac:dyDescent="0.15">
      <c r="A1055" t="s">
        <v>162</v>
      </c>
      <c r="B1055" t="s">
        <v>288</v>
      </c>
      <c r="D1055">
        <v>76</v>
      </c>
      <c r="E1055" t="s">
        <v>75</v>
      </c>
      <c r="G1055">
        <v>26.074999999999999</v>
      </c>
      <c r="H1055">
        <v>26.1</v>
      </c>
      <c r="I1055" t="s">
        <v>94</v>
      </c>
      <c r="K1055">
        <f t="shared" si="32"/>
        <v>26.074999999999999</v>
      </c>
      <c r="L1055">
        <f t="shared" si="33"/>
        <v>26.1</v>
      </c>
      <c r="M1055" t="s">
        <v>293</v>
      </c>
      <c r="O1055" s="7">
        <v>44434</v>
      </c>
    </row>
    <row r="1056" spans="1:15" x14ac:dyDescent="0.15">
      <c r="A1056" t="s">
        <v>162</v>
      </c>
      <c r="B1056" t="s">
        <v>288</v>
      </c>
      <c r="D1056">
        <v>2</v>
      </c>
      <c r="E1056" t="s">
        <v>74</v>
      </c>
      <c r="G1056">
        <v>231.48</v>
      </c>
      <c r="H1056">
        <v>231.08</v>
      </c>
      <c r="J1056" t="s">
        <v>23</v>
      </c>
      <c r="K1056">
        <f t="shared" si="32"/>
        <v>231.08</v>
      </c>
      <c r="L1056">
        <f t="shared" si="33"/>
        <v>231.48</v>
      </c>
      <c r="M1056" t="s">
        <v>27</v>
      </c>
      <c r="O1056" s="7">
        <v>44435</v>
      </c>
    </row>
    <row r="1057" spans="1:15" x14ac:dyDescent="0.15">
      <c r="A1057" t="s">
        <v>162</v>
      </c>
      <c r="B1057" t="s">
        <v>288</v>
      </c>
      <c r="D1057">
        <v>2</v>
      </c>
      <c r="E1057" t="s">
        <v>74</v>
      </c>
      <c r="G1057">
        <v>231.33</v>
      </c>
      <c r="H1057">
        <v>231.23</v>
      </c>
      <c r="J1057" t="s">
        <v>23</v>
      </c>
      <c r="K1057">
        <f t="shared" si="32"/>
        <v>231.23</v>
      </c>
      <c r="L1057">
        <f t="shared" si="33"/>
        <v>231.33</v>
      </c>
      <c r="M1057" t="s">
        <v>295</v>
      </c>
      <c r="O1057" s="7">
        <v>44435</v>
      </c>
    </row>
    <row r="1058" spans="1:15" x14ac:dyDescent="0.15">
      <c r="A1058" t="s">
        <v>162</v>
      </c>
      <c r="B1058" t="s">
        <v>288</v>
      </c>
      <c r="D1058">
        <v>2</v>
      </c>
      <c r="E1058" t="s">
        <v>74</v>
      </c>
      <c r="G1058">
        <v>221.8</v>
      </c>
      <c r="H1058">
        <v>221.7</v>
      </c>
      <c r="I1058" t="s">
        <v>290</v>
      </c>
      <c r="K1058">
        <f t="shared" si="32"/>
        <v>221.7</v>
      </c>
      <c r="L1058">
        <f t="shared" si="33"/>
        <v>221.8</v>
      </c>
      <c r="M1058" t="s">
        <v>286</v>
      </c>
      <c r="O1058" s="7">
        <v>44435</v>
      </c>
    </row>
    <row r="1059" spans="1:15" x14ac:dyDescent="0.15">
      <c r="A1059" t="s">
        <v>162</v>
      </c>
      <c r="B1059" t="s">
        <v>288</v>
      </c>
      <c r="D1059">
        <v>2</v>
      </c>
      <c r="E1059" t="s">
        <v>74</v>
      </c>
      <c r="G1059">
        <v>222</v>
      </c>
      <c r="H1059">
        <v>221.8</v>
      </c>
      <c r="I1059" t="s">
        <v>291</v>
      </c>
      <c r="K1059">
        <f t="shared" si="32"/>
        <v>221.8</v>
      </c>
      <c r="L1059">
        <f t="shared" si="33"/>
        <v>222</v>
      </c>
      <c r="M1059" s="41" t="s">
        <v>27</v>
      </c>
      <c r="O1059" s="7">
        <v>44435</v>
      </c>
    </row>
    <row r="1060" spans="1:15" x14ac:dyDescent="0.15">
      <c r="A1060" t="s">
        <v>162</v>
      </c>
      <c r="B1060" t="s">
        <v>288</v>
      </c>
      <c r="D1060">
        <v>2</v>
      </c>
      <c r="E1060" t="s">
        <v>74</v>
      </c>
      <c r="G1060">
        <v>226.21</v>
      </c>
      <c r="H1060">
        <v>226.185</v>
      </c>
      <c r="I1060" t="s">
        <v>292</v>
      </c>
      <c r="K1060">
        <f t="shared" si="32"/>
        <v>226.185</v>
      </c>
      <c r="L1060">
        <f t="shared" si="33"/>
        <v>226.21</v>
      </c>
      <c r="M1060" t="s">
        <v>293</v>
      </c>
      <c r="O1060" s="7">
        <v>44435</v>
      </c>
    </row>
    <row r="1061" spans="1:15" x14ac:dyDescent="0.15">
      <c r="A1061" t="s">
        <v>162</v>
      </c>
      <c r="B1061" t="s">
        <v>288</v>
      </c>
      <c r="D1061">
        <v>2</v>
      </c>
      <c r="E1061" t="s">
        <v>74</v>
      </c>
      <c r="G1061">
        <v>223.02500000000001</v>
      </c>
      <c r="H1061">
        <v>223</v>
      </c>
      <c r="I1061" t="s">
        <v>91</v>
      </c>
      <c r="K1061">
        <f t="shared" si="32"/>
        <v>223</v>
      </c>
      <c r="L1061">
        <f t="shared" si="33"/>
        <v>223.02500000000001</v>
      </c>
      <c r="M1061" t="s">
        <v>293</v>
      </c>
      <c r="O1061" s="7">
        <v>44435</v>
      </c>
    </row>
    <row r="1062" spans="1:15" x14ac:dyDescent="0.15">
      <c r="A1062" t="s">
        <v>162</v>
      </c>
      <c r="B1062" t="s">
        <v>288</v>
      </c>
      <c r="D1062">
        <v>2</v>
      </c>
      <c r="E1062" t="s">
        <v>74</v>
      </c>
      <c r="G1062">
        <v>222.95</v>
      </c>
      <c r="H1062">
        <v>222.9</v>
      </c>
      <c r="I1062" t="s">
        <v>91</v>
      </c>
      <c r="K1062">
        <f t="shared" si="32"/>
        <v>222.9</v>
      </c>
      <c r="L1062">
        <f t="shared" si="33"/>
        <v>222.95</v>
      </c>
      <c r="M1062" t="s">
        <v>27</v>
      </c>
      <c r="O1062" s="7">
        <v>44435</v>
      </c>
    </row>
    <row r="1063" spans="1:15" x14ac:dyDescent="0.15">
      <c r="A1063" t="s">
        <v>162</v>
      </c>
      <c r="B1063" t="s">
        <v>288</v>
      </c>
      <c r="D1063">
        <v>2</v>
      </c>
      <c r="E1063" t="s">
        <v>74</v>
      </c>
      <c r="G1063">
        <v>222.8</v>
      </c>
      <c r="H1063">
        <v>222.7</v>
      </c>
      <c r="I1063" t="s">
        <v>95</v>
      </c>
      <c r="K1063">
        <f t="shared" si="32"/>
        <v>222.7</v>
      </c>
      <c r="L1063">
        <f t="shared" si="33"/>
        <v>222.8</v>
      </c>
      <c r="M1063" s="41" t="s">
        <v>27</v>
      </c>
      <c r="O1063" s="7">
        <v>44435</v>
      </c>
    </row>
    <row r="1064" spans="1:15" x14ac:dyDescent="0.15">
      <c r="A1064" t="s">
        <v>162</v>
      </c>
      <c r="B1064" t="s">
        <v>288</v>
      </c>
      <c r="D1064">
        <v>67</v>
      </c>
      <c r="E1064" t="s">
        <v>74</v>
      </c>
      <c r="G1064">
        <v>69.400000000000006</v>
      </c>
      <c r="H1064">
        <v>69.3</v>
      </c>
      <c r="I1064" t="s">
        <v>92</v>
      </c>
      <c r="K1064">
        <f t="shared" si="32"/>
        <v>69.3</v>
      </c>
      <c r="L1064">
        <f t="shared" si="33"/>
        <v>69.400000000000006</v>
      </c>
      <c r="M1064" t="s">
        <v>301</v>
      </c>
      <c r="O1064" s="7">
        <v>44440</v>
      </c>
    </row>
    <row r="1065" spans="1:15" x14ac:dyDescent="0.15">
      <c r="A1065" t="s">
        <v>162</v>
      </c>
      <c r="B1065" t="s">
        <v>288</v>
      </c>
      <c r="D1065">
        <v>67</v>
      </c>
      <c r="E1065" t="s">
        <v>74</v>
      </c>
      <c r="G1065">
        <v>69.8</v>
      </c>
      <c r="H1065">
        <v>69.7</v>
      </c>
      <c r="I1065" t="s">
        <v>92</v>
      </c>
      <c r="K1065">
        <f t="shared" si="32"/>
        <v>69.7</v>
      </c>
      <c r="L1065">
        <f t="shared" si="33"/>
        <v>69.8</v>
      </c>
      <c r="M1065" t="s">
        <v>280</v>
      </c>
      <c r="O1065" s="7">
        <v>44440</v>
      </c>
    </row>
    <row r="1066" spans="1:15" x14ac:dyDescent="0.15">
      <c r="A1066" t="s">
        <v>162</v>
      </c>
      <c r="B1066" t="s">
        <v>288</v>
      </c>
      <c r="D1066">
        <v>67</v>
      </c>
      <c r="E1066" t="s">
        <v>74</v>
      </c>
      <c r="G1066">
        <v>69.8</v>
      </c>
      <c r="H1066">
        <v>69.7</v>
      </c>
      <c r="I1066" t="s">
        <v>92</v>
      </c>
      <c r="K1066">
        <f t="shared" si="32"/>
        <v>69.7</v>
      </c>
      <c r="L1066">
        <f t="shared" si="33"/>
        <v>69.8</v>
      </c>
      <c r="M1066" t="s">
        <v>143</v>
      </c>
      <c r="O1066" s="7">
        <v>44440</v>
      </c>
    </row>
    <row r="1067" spans="1:15" x14ac:dyDescent="0.15">
      <c r="A1067" t="s">
        <v>162</v>
      </c>
      <c r="B1067" t="s">
        <v>288</v>
      </c>
      <c r="D1067">
        <v>67</v>
      </c>
      <c r="E1067" t="s">
        <v>74</v>
      </c>
      <c r="G1067">
        <v>69.8</v>
      </c>
      <c r="H1067">
        <v>69.7</v>
      </c>
      <c r="I1067" t="s">
        <v>90</v>
      </c>
      <c r="K1067">
        <f t="shared" si="32"/>
        <v>69.7</v>
      </c>
      <c r="L1067">
        <f t="shared" si="33"/>
        <v>69.8</v>
      </c>
      <c r="M1067" t="s">
        <v>143</v>
      </c>
      <c r="O1067" s="7">
        <v>44440</v>
      </c>
    </row>
    <row r="1068" spans="1:15" x14ac:dyDescent="0.15">
      <c r="A1068" t="s">
        <v>162</v>
      </c>
      <c r="B1068" t="s">
        <v>288</v>
      </c>
      <c r="D1068">
        <v>67</v>
      </c>
      <c r="E1068" t="s">
        <v>76</v>
      </c>
      <c r="F1068" t="s">
        <v>170</v>
      </c>
      <c r="G1068">
        <v>69.400000000000006</v>
      </c>
      <c r="H1068">
        <v>69.099999999999994</v>
      </c>
      <c r="J1068" t="s">
        <v>23</v>
      </c>
      <c r="K1068">
        <f t="shared" si="32"/>
        <v>69.099999999999994</v>
      </c>
      <c r="L1068">
        <f t="shared" si="33"/>
        <v>69.400000000000006</v>
      </c>
      <c r="M1068" t="s">
        <v>143</v>
      </c>
      <c r="O1068" s="7">
        <v>44440</v>
      </c>
    </row>
    <row r="1069" spans="1:15" x14ac:dyDescent="0.15">
      <c r="A1069" t="s">
        <v>162</v>
      </c>
      <c r="B1069" t="s">
        <v>288</v>
      </c>
      <c r="D1069">
        <v>67</v>
      </c>
      <c r="E1069" t="s">
        <v>75</v>
      </c>
      <c r="G1069">
        <v>53.84</v>
      </c>
      <c r="H1069">
        <v>54.5</v>
      </c>
      <c r="I1069" t="s">
        <v>94</v>
      </c>
      <c r="K1069">
        <f t="shared" si="32"/>
        <v>53.84</v>
      </c>
      <c r="L1069">
        <f t="shared" si="33"/>
        <v>54.5</v>
      </c>
      <c r="M1069" t="s">
        <v>143</v>
      </c>
      <c r="O1069" s="7">
        <v>44441</v>
      </c>
    </row>
    <row r="1070" spans="1:15" x14ac:dyDescent="0.15">
      <c r="A1070" t="s">
        <v>162</v>
      </c>
      <c r="B1070" t="s">
        <v>288</v>
      </c>
      <c r="D1070">
        <v>67</v>
      </c>
      <c r="E1070" t="s">
        <v>75</v>
      </c>
      <c r="G1070">
        <v>53.84</v>
      </c>
      <c r="H1070">
        <v>54.5</v>
      </c>
      <c r="I1070" t="s">
        <v>94</v>
      </c>
      <c r="K1070">
        <f t="shared" si="32"/>
        <v>53.84</v>
      </c>
      <c r="L1070">
        <f t="shared" si="33"/>
        <v>54.5</v>
      </c>
      <c r="M1070" t="s">
        <v>280</v>
      </c>
      <c r="O1070" s="7">
        <v>44441</v>
      </c>
    </row>
    <row r="1071" spans="1:15" x14ac:dyDescent="0.15">
      <c r="A1071" t="s">
        <v>162</v>
      </c>
      <c r="B1071" t="s">
        <v>288</v>
      </c>
      <c r="D1071">
        <v>67</v>
      </c>
      <c r="E1071" t="s">
        <v>75</v>
      </c>
      <c r="G1071">
        <v>53.84</v>
      </c>
      <c r="H1071">
        <v>54.5</v>
      </c>
      <c r="I1071" t="s">
        <v>97</v>
      </c>
      <c r="K1071">
        <f t="shared" si="32"/>
        <v>53.84</v>
      </c>
      <c r="L1071">
        <f t="shared" si="33"/>
        <v>54.5</v>
      </c>
      <c r="M1071" t="s">
        <v>280</v>
      </c>
      <c r="O1071" s="7">
        <v>44441</v>
      </c>
    </row>
    <row r="1072" spans="1:15" x14ac:dyDescent="0.15">
      <c r="A1072" t="s">
        <v>162</v>
      </c>
      <c r="B1072" t="s">
        <v>288</v>
      </c>
      <c r="D1072">
        <v>67</v>
      </c>
      <c r="E1072" t="s">
        <v>75</v>
      </c>
      <c r="G1072">
        <v>58.375</v>
      </c>
      <c r="H1072">
        <v>58.424999999999997</v>
      </c>
      <c r="I1072" t="s">
        <v>94</v>
      </c>
      <c r="K1072">
        <f t="shared" si="32"/>
        <v>58.375</v>
      </c>
      <c r="L1072">
        <f t="shared" si="33"/>
        <v>58.424999999999997</v>
      </c>
      <c r="M1072" t="s">
        <v>143</v>
      </c>
      <c r="O1072" s="7">
        <v>44441</v>
      </c>
    </row>
    <row r="1073" spans="1:15" x14ac:dyDescent="0.15">
      <c r="A1073" t="s">
        <v>162</v>
      </c>
      <c r="B1073" t="s">
        <v>288</v>
      </c>
      <c r="D1073">
        <v>67</v>
      </c>
      <c r="E1073" t="s">
        <v>75</v>
      </c>
      <c r="G1073">
        <v>58.375</v>
      </c>
      <c r="H1073">
        <v>58.424999999999997</v>
      </c>
      <c r="I1073" t="s">
        <v>94</v>
      </c>
      <c r="K1073">
        <f t="shared" si="32"/>
        <v>58.375</v>
      </c>
      <c r="L1073">
        <f t="shared" si="33"/>
        <v>58.424999999999997</v>
      </c>
      <c r="M1073" t="s">
        <v>280</v>
      </c>
      <c r="O1073" s="7">
        <v>44441</v>
      </c>
    </row>
    <row r="1074" spans="1:15" x14ac:dyDescent="0.15">
      <c r="A1074" t="s">
        <v>162</v>
      </c>
      <c r="B1074" t="s">
        <v>288</v>
      </c>
      <c r="D1074">
        <v>67</v>
      </c>
      <c r="E1074" t="s">
        <v>75</v>
      </c>
      <c r="G1074">
        <v>58.375</v>
      </c>
      <c r="H1074">
        <v>58.424999999999997</v>
      </c>
      <c r="I1074" t="s">
        <v>97</v>
      </c>
      <c r="K1074">
        <f t="shared" si="32"/>
        <v>58.375</v>
      </c>
      <c r="L1074">
        <f t="shared" si="33"/>
        <v>58.424999999999997</v>
      </c>
      <c r="M1074" t="s">
        <v>280</v>
      </c>
      <c r="O1074" s="7">
        <v>44441</v>
      </c>
    </row>
    <row r="1075" spans="1:15" x14ac:dyDescent="0.15">
      <c r="A1075" t="s">
        <v>162</v>
      </c>
      <c r="B1075" t="s">
        <v>288</v>
      </c>
      <c r="D1075">
        <v>67</v>
      </c>
      <c r="E1075" t="s">
        <v>75</v>
      </c>
      <c r="G1075">
        <v>58.774999999999999</v>
      </c>
      <c r="H1075">
        <v>59.4</v>
      </c>
      <c r="I1075" t="s">
        <v>94</v>
      </c>
      <c r="K1075">
        <f t="shared" si="32"/>
        <v>58.774999999999999</v>
      </c>
      <c r="L1075">
        <f t="shared" si="33"/>
        <v>59.4</v>
      </c>
      <c r="M1075" t="s">
        <v>143</v>
      </c>
      <c r="O1075" s="7">
        <v>44441</v>
      </c>
    </row>
    <row r="1076" spans="1:15" x14ac:dyDescent="0.15">
      <c r="A1076" t="s">
        <v>162</v>
      </c>
      <c r="B1076" t="s">
        <v>288</v>
      </c>
      <c r="D1076">
        <v>2</v>
      </c>
      <c r="E1076" t="s">
        <v>74</v>
      </c>
      <c r="G1076">
        <v>228.7</v>
      </c>
      <c r="H1076">
        <v>228.6</v>
      </c>
      <c r="I1076" t="s">
        <v>93</v>
      </c>
      <c r="K1076">
        <f t="shared" si="32"/>
        <v>228.6</v>
      </c>
      <c r="L1076">
        <f t="shared" si="33"/>
        <v>228.7</v>
      </c>
      <c r="M1076" t="s">
        <v>301</v>
      </c>
      <c r="O1076" s="7">
        <v>44449</v>
      </c>
    </row>
    <row r="1077" spans="1:15" x14ac:dyDescent="0.15">
      <c r="A1077" t="s">
        <v>162</v>
      </c>
      <c r="B1077" t="s">
        <v>288</v>
      </c>
      <c r="D1077">
        <v>2</v>
      </c>
      <c r="E1077" t="s">
        <v>74</v>
      </c>
      <c r="G1077">
        <v>230.023</v>
      </c>
      <c r="H1077">
        <v>229.9</v>
      </c>
      <c r="I1077" t="s">
        <v>92</v>
      </c>
      <c r="K1077">
        <f t="shared" si="32"/>
        <v>229.9</v>
      </c>
      <c r="L1077">
        <f t="shared" si="33"/>
        <v>230.023</v>
      </c>
      <c r="M1077" t="s">
        <v>143</v>
      </c>
      <c r="O1077" s="7">
        <v>44449</v>
      </c>
    </row>
    <row r="1078" spans="1:15" x14ac:dyDescent="0.15">
      <c r="A1078" t="s">
        <v>162</v>
      </c>
      <c r="B1078" t="s">
        <v>288</v>
      </c>
      <c r="D1078">
        <v>2</v>
      </c>
      <c r="E1078" t="s">
        <v>74</v>
      </c>
      <c r="G1078">
        <v>232.1</v>
      </c>
      <c r="H1078">
        <v>232.05</v>
      </c>
      <c r="I1078" t="s">
        <v>95</v>
      </c>
      <c r="K1078">
        <f t="shared" si="32"/>
        <v>232.05</v>
      </c>
      <c r="L1078">
        <f t="shared" si="33"/>
        <v>232.1</v>
      </c>
      <c r="M1078" t="s">
        <v>143</v>
      </c>
      <c r="O1078" s="7">
        <v>44449</v>
      </c>
    </row>
    <row r="1079" spans="1:15" x14ac:dyDescent="0.15">
      <c r="A1079" t="s">
        <v>162</v>
      </c>
      <c r="B1079" t="s">
        <v>288</v>
      </c>
      <c r="D1079">
        <v>2</v>
      </c>
      <c r="E1079" t="s">
        <v>76</v>
      </c>
      <c r="F1079" t="s">
        <v>77</v>
      </c>
      <c r="G1079">
        <v>232.25</v>
      </c>
      <c r="H1079">
        <v>232.2</v>
      </c>
      <c r="I1079" t="s">
        <v>91</v>
      </c>
      <c r="K1079">
        <f t="shared" si="32"/>
        <v>232.2</v>
      </c>
      <c r="L1079">
        <f t="shared" si="33"/>
        <v>232.25</v>
      </c>
      <c r="M1079" s="41" t="s">
        <v>27</v>
      </c>
      <c r="O1079" s="7">
        <v>44449</v>
      </c>
    </row>
    <row r="1080" spans="1:15" x14ac:dyDescent="0.15">
      <c r="A1080" t="s">
        <v>162</v>
      </c>
      <c r="B1080" t="s">
        <v>288</v>
      </c>
      <c r="D1080">
        <v>76</v>
      </c>
      <c r="E1080" t="s">
        <v>75</v>
      </c>
      <c r="G1080">
        <v>10.75</v>
      </c>
      <c r="H1080">
        <v>11.7</v>
      </c>
      <c r="I1080" t="s">
        <v>94</v>
      </c>
      <c r="K1080">
        <f t="shared" si="32"/>
        <v>10.75</v>
      </c>
      <c r="L1080">
        <f t="shared" si="33"/>
        <v>11.7</v>
      </c>
      <c r="M1080" t="s">
        <v>100</v>
      </c>
      <c r="O1080" s="7">
        <v>44456</v>
      </c>
    </row>
    <row r="1081" spans="1:15" x14ac:dyDescent="0.15">
      <c r="A1081" t="s">
        <v>162</v>
      </c>
      <c r="B1081" t="s">
        <v>288</v>
      </c>
      <c r="D1081">
        <v>76</v>
      </c>
      <c r="E1081" t="s">
        <v>75</v>
      </c>
      <c r="G1081">
        <v>12.99</v>
      </c>
      <c r="H1081">
        <v>13.015000000000001</v>
      </c>
      <c r="I1081" t="s">
        <v>96</v>
      </c>
      <c r="K1081">
        <f t="shared" si="32"/>
        <v>12.99</v>
      </c>
      <c r="L1081">
        <f t="shared" si="33"/>
        <v>13.015000000000001</v>
      </c>
      <c r="M1081" t="s">
        <v>301</v>
      </c>
      <c r="O1081" s="7">
        <v>44456</v>
      </c>
    </row>
    <row r="1082" spans="1:15" x14ac:dyDescent="0.15">
      <c r="A1082" t="s">
        <v>162</v>
      </c>
      <c r="B1082" t="s">
        <v>288</v>
      </c>
      <c r="D1082">
        <v>76</v>
      </c>
      <c r="E1082" t="s">
        <v>75</v>
      </c>
      <c r="G1082">
        <v>16.7</v>
      </c>
      <c r="H1082">
        <v>17.010000000000002</v>
      </c>
      <c r="I1082" t="s">
        <v>94</v>
      </c>
      <c r="K1082">
        <f t="shared" si="32"/>
        <v>16.7</v>
      </c>
      <c r="L1082">
        <f t="shared" si="33"/>
        <v>17.010000000000002</v>
      </c>
      <c r="M1082" t="s">
        <v>143</v>
      </c>
      <c r="O1082" s="7">
        <v>44456</v>
      </c>
    </row>
    <row r="1083" spans="1:15" x14ac:dyDescent="0.15">
      <c r="A1083" t="s">
        <v>162</v>
      </c>
      <c r="B1083" t="s">
        <v>288</v>
      </c>
      <c r="D1083">
        <v>2</v>
      </c>
      <c r="E1083" t="s">
        <v>75</v>
      </c>
      <c r="G1083">
        <v>264.8</v>
      </c>
      <c r="H1083">
        <v>265.5</v>
      </c>
      <c r="I1083" t="s">
        <v>94</v>
      </c>
      <c r="K1083">
        <f t="shared" si="32"/>
        <v>264.8</v>
      </c>
      <c r="L1083">
        <f t="shared" si="33"/>
        <v>265.5</v>
      </c>
      <c r="M1083" t="s">
        <v>143</v>
      </c>
      <c r="O1083" s="7">
        <v>44459</v>
      </c>
    </row>
    <row r="1084" spans="1:15" x14ac:dyDescent="0.15">
      <c r="A1084" t="s">
        <v>162</v>
      </c>
      <c r="B1084" t="s">
        <v>288</v>
      </c>
      <c r="D1084">
        <v>2</v>
      </c>
      <c r="E1084" t="s">
        <v>75</v>
      </c>
      <c r="G1084">
        <v>264.8</v>
      </c>
      <c r="H1084">
        <v>265.5</v>
      </c>
      <c r="I1084" t="s">
        <v>97</v>
      </c>
      <c r="K1084">
        <f t="shared" si="32"/>
        <v>264.8</v>
      </c>
      <c r="L1084">
        <f t="shared" si="33"/>
        <v>265.5</v>
      </c>
      <c r="M1084" t="s">
        <v>143</v>
      </c>
      <c r="O1084" s="7">
        <v>44459</v>
      </c>
    </row>
    <row r="1085" spans="1:15" x14ac:dyDescent="0.15">
      <c r="A1085" t="s">
        <v>162</v>
      </c>
      <c r="B1085" t="s">
        <v>288</v>
      </c>
      <c r="D1085">
        <v>2</v>
      </c>
      <c r="E1085" t="s">
        <v>75</v>
      </c>
      <c r="G1085">
        <v>265.39999999999998</v>
      </c>
      <c r="H1085">
        <v>265.5</v>
      </c>
      <c r="I1085" t="s">
        <v>22</v>
      </c>
      <c r="K1085">
        <f t="shared" si="32"/>
        <v>265.39999999999998</v>
      </c>
      <c r="L1085">
        <f t="shared" si="33"/>
        <v>265.5</v>
      </c>
      <c r="M1085" t="s">
        <v>143</v>
      </c>
      <c r="O1085" s="7">
        <v>44459</v>
      </c>
    </row>
    <row r="1086" spans="1:15" x14ac:dyDescent="0.15">
      <c r="A1086" t="s">
        <v>162</v>
      </c>
      <c r="B1086" t="s">
        <v>288</v>
      </c>
      <c r="D1086">
        <v>2</v>
      </c>
      <c r="E1086" t="s">
        <v>75</v>
      </c>
      <c r="G1086">
        <v>265.8</v>
      </c>
      <c r="H1086">
        <v>267</v>
      </c>
      <c r="I1086" t="s">
        <v>94</v>
      </c>
      <c r="K1086">
        <f t="shared" si="32"/>
        <v>265.8</v>
      </c>
      <c r="L1086">
        <f t="shared" si="33"/>
        <v>267</v>
      </c>
      <c r="M1086" t="s">
        <v>143</v>
      </c>
      <c r="O1086" s="7">
        <v>44459</v>
      </c>
    </row>
    <row r="1087" spans="1:15" x14ac:dyDescent="0.15">
      <c r="A1087" t="s">
        <v>162</v>
      </c>
      <c r="B1087" t="s">
        <v>288</v>
      </c>
      <c r="D1087">
        <v>2</v>
      </c>
      <c r="E1087" t="s">
        <v>75</v>
      </c>
      <c r="G1087">
        <v>270.14</v>
      </c>
      <c r="H1087">
        <v>270.16500000000002</v>
      </c>
      <c r="I1087" t="s">
        <v>94</v>
      </c>
      <c r="K1087">
        <f t="shared" si="32"/>
        <v>270.14</v>
      </c>
      <c r="L1087">
        <f t="shared" si="33"/>
        <v>270.16500000000002</v>
      </c>
      <c r="M1087" t="s">
        <v>143</v>
      </c>
      <c r="O1087" s="7">
        <v>44459</v>
      </c>
    </row>
    <row r="1088" spans="1:15" x14ac:dyDescent="0.15">
      <c r="A1088" t="s">
        <v>162</v>
      </c>
      <c r="B1088" t="s">
        <v>288</v>
      </c>
      <c r="D1088">
        <v>2</v>
      </c>
      <c r="E1088" t="s">
        <v>75</v>
      </c>
      <c r="G1088">
        <v>271</v>
      </c>
      <c r="H1088">
        <v>271.10000000000002</v>
      </c>
      <c r="I1088" t="s">
        <v>96</v>
      </c>
      <c r="K1088">
        <f t="shared" si="32"/>
        <v>271</v>
      </c>
      <c r="L1088">
        <f t="shared" si="33"/>
        <v>271.10000000000002</v>
      </c>
      <c r="M1088" t="s">
        <v>143</v>
      </c>
      <c r="O1088" s="7">
        <v>44459</v>
      </c>
    </row>
    <row r="1089" spans="1:15" x14ac:dyDescent="0.15">
      <c r="A1089" t="s">
        <v>162</v>
      </c>
      <c r="B1089" t="s">
        <v>288</v>
      </c>
      <c r="D1089">
        <v>2</v>
      </c>
      <c r="E1089" t="s">
        <v>74</v>
      </c>
      <c r="G1089">
        <v>265.85000000000002</v>
      </c>
      <c r="H1089">
        <v>265.39999999999998</v>
      </c>
      <c r="I1089" t="s">
        <v>92</v>
      </c>
      <c r="K1089">
        <f t="shared" ref="K1089:K1152" si="34">MIN(G1089:H1089)</f>
        <v>265.39999999999998</v>
      </c>
      <c r="L1089">
        <f t="shared" ref="L1089:L1152" si="35">MAX(G1089:H1089)</f>
        <v>265.85000000000002</v>
      </c>
      <c r="M1089" t="s">
        <v>143</v>
      </c>
      <c r="O1089" s="7">
        <v>44460</v>
      </c>
    </row>
    <row r="1090" spans="1:15" x14ac:dyDescent="0.15">
      <c r="A1090" t="s">
        <v>162</v>
      </c>
      <c r="B1090" t="s">
        <v>288</v>
      </c>
      <c r="D1090">
        <v>2</v>
      </c>
      <c r="E1090" t="s">
        <v>74</v>
      </c>
      <c r="G1090">
        <v>267.01</v>
      </c>
      <c r="H1090">
        <v>266.98500000000001</v>
      </c>
      <c r="I1090" t="s">
        <v>92</v>
      </c>
      <c r="K1090">
        <f t="shared" si="34"/>
        <v>266.98500000000001</v>
      </c>
      <c r="L1090">
        <f t="shared" si="35"/>
        <v>267.01</v>
      </c>
      <c r="M1090" t="s">
        <v>143</v>
      </c>
      <c r="O1090" s="7">
        <v>44460</v>
      </c>
    </row>
    <row r="1091" spans="1:15" x14ac:dyDescent="0.15">
      <c r="A1091" t="s">
        <v>162</v>
      </c>
      <c r="B1091" t="s">
        <v>288</v>
      </c>
      <c r="D1091">
        <v>2</v>
      </c>
      <c r="E1091" t="s">
        <v>74</v>
      </c>
      <c r="G1091">
        <v>267.01</v>
      </c>
      <c r="H1091">
        <v>266.98500000000001</v>
      </c>
      <c r="I1091" t="s">
        <v>90</v>
      </c>
      <c r="K1091">
        <f t="shared" si="34"/>
        <v>266.98500000000001</v>
      </c>
      <c r="L1091">
        <f t="shared" si="35"/>
        <v>267.01</v>
      </c>
      <c r="M1091" t="s">
        <v>143</v>
      </c>
      <c r="O1091" s="7">
        <v>44460</v>
      </c>
    </row>
    <row r="1092" spans="1:15" x14ac:dyDescent="0.15">
      <c r="A1092" t="s">
        <v>162</v>
      </c>
      <c r="B1092" t="s">
        <v>288</v>
      </c>
      <c r="D1092">
        <v>2</v>
      </c>
      <c r="E1092" t="s">
        <v>74</v>
      </c>
      <c r="G1092">
        <v>268.05</v>
      </c>
      <c r="H1092">
        <v>268.02499999999998</v>
      </c>
      <c r="I1092" t="s">
        <v>92</v>
      </c>
      <c r="K1092">
        <f t="shared" si="34"/>
        <v>268.02499999999998</v>
      </c>
      <c r="L1092">
        <f t="shared" si="35"/>
        <v>268.05</v>
      </c>
      <c r="M1092" t="s">
        <v>143</v>
      </c>
      <c r="O1092" s="7">
        <v>44460</v>
      </c>
    </row>
    <row r="1093" spans="1:15" x14ac:dyDescent="0.15">
      <c r="A1093" t="s">
        <v>162</v>
      </c>
      <c r="B1093" t="s">
        <v>288</v>
      </c>
      <c r="D1093">
        <v>2</v>
      </c>
      <c r="E1093" t="s">
        <v>74</v>
      </c>
      <c r="G1093">
        <v>268.05</v>
      </c>
      <c r="H1093">
        <v>268.02499999999998</v>
      </c>
      <c r="I1093" t="s">
        <v>90</v>
      </c>
      <c r="K1093">
        <f t="shared" si="34"/>
        <v>268.02499999999998</v>
      </c>
      <c r="L1093">
        <f t="shared" si="35"/>
        <v>268.05</v>
      </c>
      <c r="M1093" t="s">
        <v>143</v>
      </c>
      <c r="O1093" s="7">
        <v>44460</v>
      </c>
    </row>
    <row r="1094" spans="1:15" x14ac:dyDescent="0.15">
      <c r="A1094" t="s">
        <v>162</v>
      </c>
      <c r="B1094" t="s">
        <v>288</v>
      </c>
      <c r="D1094">
        <v>2</v>
      </c>
      <c r="E1094" t="s">
        <v>74</v>
      </c>
      <c r="G1094">
        <v>269.10000000000002</v>
      </c>
      <c r="H1094">
        <v>268.89999999999998</v>
      </c>
      <c r="I1094" t="s">
        <v>95</v>
      </c>
      <c r="K1094">
        <f t="shared" si="34"/>
        <v>268.89999999999998</v>
      </c>
      <c r="L1094">
        <f t="shared" si="35"/>
        <v>269.10000000000002</v>
      </c>
      <c r="M1094" t="s">
        <v>143</v>
      </c>
      <c r="O1094" s="7">
        <v>44460</v>
      </c>
    </row>
    <row r="1095" spans="1:15" x14ac:dyDescent="0.15">
      <c r="A1095" t="s">
        <v>162</v>
      </c>
      <c r="B1095" t="s">
        <v>288</v>
      </c>
      <c r="D1095">
        <v>2</v>
      </c>
      <c r="E1095" t="s">
        <v>74</v>
      </c>
      <c r="G1095">
        <v>270.125</v>
      </c>
      <c r="H1095">
        <v>270.10000000000002</v>
      </c>
      <c r="I1095" t="s">
        <v>92</v>
      </c>
      <c r="K1095">
        <f t="shared" si="34"/>
        <v>270.10000000000002</v>
      </c>
      <c r="L1095">
        <f t="shared" si="35"/>
        <v>270.125</v>
      </c>
      <c r="M1095" t="s">
        <v>143</v>
      </c>
      <c r="O1095" s="7">
        <v>44460</v>
      </c>
    </row>
    <row r="1096" spans="1:15" x14ac:dyDescent="0.15">
      <c r="A1096" t="s">
        <v>162</v>
      </c>
      <c r="B1096" t="s">
        <v>288</v>
      </c>
      <c r="D1096">
        <v>2</v>
      </c>
      <c r="E1096" t="s">
        <v>74</v>
      </c>
      <c r="G1096">
        <v>270.125</v>
      </c>
      <c r="H1096">
        <v>270.10000000000002</v>
      </c>
      <c r="I1096" t="s">
        <v>90</v>
      </c>
      <c r="K1096">
        <f t="shared" si="34"/>
        <v>270.10000000000002</v>
      </c>
      <c r="L1096">
        <f t="shared" si="35"/>
        <v>270.125</v>
      </c>
      <c r="M1096" t="s">
        <v>143</v>
      </c>
      <c r="O1096" s="7">
        <v>44460</v>
      </c>
    </row>
    <row r="1097" spans="1:15" x14ac:dyDescent="0.15">
      <c r="A1097" t="s">
        <v>162</v>
      </c>
      <c r="B1097" t="s">
        <v>288</v>
      </c>
      <c r="D1097">
        <v>67</v>
      </c>
      <c r="E1097" t="s">
        <v>74</v>
      </c>
      <c r="G1097">
        <v>56.4</v>
      </c>
      <c r="H1097">
        <v>56.375</v>
      </c>
      <c r="I1097" t="s">
        <v>92</v>
      </c>
      <c r="K1097">
        <f t="shared" si="34"/>
        <v>56.375</v>
      </c>
      <c r="L1097">
        <f t="shared" si="35"/>
        <v>56.4</v>
      </c>
      <c r="M1097" t="s">
        <v>301</v>
      </c>
      <c r="O1097" s="7">
        <v>44461</v>
      </c>
    </row>
    <row r="1098" spans="1:15" x14ac:dyDescent="0.15">
      <c r="A1098" t="s">
        <v>162</v>
      </c>
      <c r="B1098" t="s">
        <v>288</v>
      </c>
      <c r="D1098">
        <v>67</v>
      </c>
      <c r="E1098" t="s">
        <v>76</v>
      </c>
      <c r="F1098" t="s">
        <v>89</v>
      </c>
      <c r="G1098">
        <v>56.88</v>
      </c>
      <c r="H1098">
        <v>56.865000000000002</v>
      </c>
      <c r="I1098" t="s">
        <v>91</v>
      </c>
      <c r="K1098">
        <f t="shared" si="34"/>
        <v>56.865000000000002</v>
      </c>
      <c r="L1098">
        <f t="shared" si="35"/>
        <v>56.88</v>
      </c>
      <c r="M1098" t="s">
        <v>100</v>
      </c>
      <c r="O1098" s="7">
        <v>44461</v>
      </c>
    </row>
    <row r="1099" spans="1:15" x14ac:dyDescent="0.15">
      <c r="A1099" t="s">
        <v>162</v>
      </c>
      <c r="B1099" t="s">
        <v>288</v>
      </c>
      <c r="D1099">
        <v>67</v>
      </c>
      <c r="E1099" t="s">
        <v>74</v>
      </c>
      <c r="G1099">
        <v>57.89</v>
      </c>
      <c r="H1099">
        <v>57.865000000000002</v>
      </c>
      <c r="I1099" t="s">
        <v>92</v>
      </c>
      <c r="K1099">
        <f t="shared" si="34"/>
        <v>57.865000000000002</v>
      </c>
      <c r="L1099">
        <f t="shared" si="35"/>
        <v>57.89</v>
      </c>
      <c r="M1099" t="s">
        <v>301</v>
      </c>
      <c r="O1099" s="7">
        <v>44461</v>
      </c>
    </row>
    <row r="1100" spans="1:15" x14ac:dyDescent="0.15">
      <c r="A1100" t="s">
        <v>162</v>
      </c>
      <c r="B1100" t="s">
        <v>288</v>
      </c>
      <c r="D1100">
        <v>67</v>
      </c>
      <c r="E1100" t="s">
        <v>74</v>
      </c>
      <c r="G1100">
        <v>58.38</v>
      </c>
      <c r="H1100">
        <v>58.354999999999997</v>
      </c>
      <c r="I1100" t="s">
        <v>92</v>
      </c>
      <c r="K1100">
        <f t="shared" si="34"/>
        <v>58.354999999999997</v>
      </c>
      <c r="L1100">
        <f t="shared" si="35"/>
        <v>58.38</v>
      </c>
      <c r="M1100" t="s">
        <v>143</v>
      </c>
      <c r="O1100" s="7">
        <v>44461</v>
      </c>
    </row>
    <row r="1101" spans="1:15" x14ac:dyDescent="0.15">
      <c r="A1101" t="s">
        <v>162</v>
      </c>
      <c r="B1101" t="s">
        <v>288</v>
      </c>
      <c r="D1101">
        <v>67</v>
      </c>
      <c r="E1101" t="s">
        <v>74</v>
      </c>
      <c r="G1101">
        <v>58.38</v>
      </c>
      <c r="H1101">
        <v>58.354999999999997</v>
      </c>
      <c r="I1101" t="s">
        <v>90</v>
      </c>
      <c r="K1101">
        <f t="shared" si="34"/>
        <v>58.354999999999997</v>
      </c>
      <c r="L1101">
        <f t="shared" si="35"/>
        <v>58.38</v>
      </c>
      <c r="M1101" t="s">
        <v>143</v>
      </c>
      <c r="O1101" s="7">
        <v>44461</v>
      </c>
    </row>
    <row r="1102" spans="1:15" x14ac:dyDescent="0.15">
      <c r="A1102" t="s">
        <v>162</v>
      </c>
      <c r="B1102" t="s">
        <v>288</v>
      </c>
      <c r="D1102">
        <v>2</v>
      </c>
      <c r="E1102" t="s">
        <v>74</v>
      </c>
      <c r="G1102">
        <v>189.1</v>
      </c>
      <c r="H1102">
        <v>188.95</v>
      </c>
      <c r="I1102" t="s">
        <v>93</v>
      </c>
      <c r="K1102">
        <f t="shared" si="34"/>
        <v>188.95</v>
      </c>
      <c r="L1102">
        <f t="shared" si="35"/>
        <v>189.1</v>
      </c>
      <c r="M1102" t="s">
        <v>143</v>
      </c>
      <c r="O1102" s="7">
        <v>44462</v>
      </c>
    </row>
    <row r="1103" spans="1:15" x14ac:dyDescent="0.15">
      <c r="A1103" t="s">
        <v>162</v>
      </c>
      <c r="B1103" t="s">
        <v>288</v>
      </c>
      <c r="D1103">
        <v>2</v>
      </c>
      <c r="E1103" t="s">
        <v>74</v>
      </c>
      <c r="G1103">
        <v>194.1</v>
      </c>
      <c r="H1103">
        <v>193.63</v>
      </c>
      <c r="I1103" t="s">
        <v>91</v>
      </c>
      <c r="K1103">
        <f t="shared" si="34"/>
        <v>193.63</v>
      </c>
      <c r="L1103">
        <f t="shared" si="35"/>
        <v>194.1</v>
      </c>
      <c r="M1103" t="s">
        <v>143</v>
      </c>
      <c r="O1103" s="7">
        <v>44462</v>
      </c>
    </row>
    <row r="1104" spans="1:15" x14ac:dyDescent="0.15">
      <c r="A1104" t="s">
        <v>162</v>
      </c>
      <c r="B1104" t="s">
        <v>288</v>
      </c>
      <c r="D1104">
        <v>2</v>
      </c>
      <c r="E1104" t="s">
        <v>74</v>
      </c>
      <c r="G1104">
        <v>194.3</v>
      </c>
      <c r="H1104">
        <v>194.1</v>
      </c>
      <c r="I1104" t="s">
        <v>92</v>
      </c>
      <c r="K1104">
        <f t="shared" si="34"/>
        <v>194.1</v>
      </c>
      <c r="L1104">
        <f t="shared" si="35"/>
        <v>194.3</v>
      </c>
      <c r="M1104" t="s">
        <v>143</v>
      </c>
      <c r="O1104" s="7">
        <v>44462</v>
      </c>
    </row>
    <row r="1105" spans="1:15" x14ac:dyDescent="0.15">
      <c r="A1105" t="s">
        <v>162</v>
      </c>
      <c r="B1105" t="s">
        <v>288</v>
      </c>
      <c r="D1105">
        <v>2</v>
      </c>
      <c r="E1105" t="s">
        <v>74</v>
      </c>
      <c r="G1105">
        <v>200.3</v>
      </c>
      <c r="H1105">
        <v>200</v>
      </c>
      <c r="I1105" t="s">
        <v>93</v>
      </c>
      <c r="K1105">
        <f t="shared" si="34"/>
        <v>200</v>
      </c>
      <c r="L1105">
        <f t="shared" si="35"/>
        <v>200.3</v>
      </c>
      <c r="M1105" t="s">
        <v>143</v>
      </c>
      <c r="O1105" s="7">
        <v>44462</v>
      </c>
    </row>
    <row r="1106" spans="1:15" x14ac:dyDescent="0.15">
      <c r="A1106" t="s">
        <v>162</v>
      </c>
      <c r="B1106" t="s">
        <v>288</v>
      </c>
      <c r="D1106">
        <v>2</v>
      </c>
      <c r="E1106" t="s">
        <v>74</v>
      </c>
      <c r="G1106">
        <v>202.86</v>
      </c>
      <c r="H1106">
        <v>202.83500000000001</v>
      </c>
      <c r="I1106" t="s">
        <v>95</v>
      </c>
      <c r="K1106">
        <f t="shared" si="34"/>
        <v>202.83500000000001</v>
      </c>
      <c r="L1106">
        <f t="shared" si="35"/>
        <v>202.86</v>
      </c>
      <c r="M1106" t="s">
        <v>143</v>
      </c>
      <c r="O1106" s="7">
        <v>44462</v>
      </c>
    </row>
    <row r="1107" spans="1:15" x14ac:dyDescent="0.15">
      <c r="A1107" t="s">
        <v>162</v>
      </c>
      <c r="B1107" t="s">
        <v>288</v>
      </c>
      <c r="D1107">
        <v>2</v>
      </c>
      <c r="E1107" t="s">
        <v>74</v>
      </c>
      <c r="G1107">
        <v>203.5</v>
      </c>
      <c r="H1107">
        <v>203.23</v>
      </c>
      <c r="I1107" t="s">
        <v>93</v>
      </c>
      <c r="K1107">
        <f t="shared" si="34"/>
        <v>203.23</v>
      </c>
      <c r="L1107">
        <f t="shared" si="35"/>
        <v>203.5</v>
      </c>
      <c r="M1107" t="s">
        <v>143</v>
      </c>
      <c r="O1107" s="7">
        <v>44462</v>
      </c>
    </row>
    <row r="1108" spans="1:15" x14ac:dyDescent="0.15">
      <c r="A1108" t="s">
        <v>162</v>
      </c>
      <c r="B1108" t="s">
        <v>288</v>
      </c>
      <c r="D1108">
        <v>2</v>
      </c>
      <c r="E1108" t="s">
        <v>74</v>
      </c>
      <c r="G1108">
        <v>204.7</v>
      </c>
      <c r="H1108">
        <v>204.6</v>
      </c>
      <c r="I1108" t="s">
        <v>92</v>
      </c>
      <c r="K1108">
        <f t="shared" si="34"/>
        <v>204.6</v>
      </c>
      <c r="L1108">
        <f t="shared" si="35"/>
        <v>204.7</v>
      </c>
      <c r="M1108" t="s">
        <v>143</v>
      </c>
      <c r="O1108" s="7">
        <v>44462</v>
      </c>
    </row>
    <row r="1109" spans="1:15" x14ac:dyDescent="0.15">
      <c r="A1109" t="s">
        <v>162</v>
      </c>
      <c r="B1109" t="s">
        <v>288</v>
      </c>
      <c r="D1109">
        <v>76</v>
      </c>
      <c r="E1109" t="s">
        <v>75</v>
      </c>
      <c r="G1109">
        <v>0.375</v>
      </c>
      <c r="H1109">
        <v>0.4</v>
      </c>
      <c r="I1109" t="s">
        <v>94</v>
      </c>
      <c r="K1109">
        <f t="shared" si="34"/>
        <v>0.375</v>
      </c>
      <c r="L1109">
        <f t="shared" si="35"/>
        <v>0.4</v>
      </c>
      <c r="M1109" t="s">
        <v>143</v>
      </c>
      <c r="O1109" s="7">
        <v>44468</v>
      </c>
    </row>
    <row r="1110" spans="1:15" x14ac:dyDescent="0.15">
      <c r="A1110" t="s">
        <v>162</v>
      </c>
      <c r="B1110" t="s">
        <v>288</v>
      </c>
      <c r="D1110">
        <v>76</v>
      </c>
      <c r="E1110" t="s">
        <v>75</v>
      </c>
      <c r="G1110">
        <v>0.7</v>
      </c>
      <c r="H1110">
        <v>0.85</v>
      </c>
      <c r="I1110" t="s">
        <v>94</v>
      </c>
      <c r="K1110">
        <f t="shared" si="34"/>
        <v>0.7</v>
      </c>
      <c r="L1110">
        <f t="shared" si="35"/>
        <v>0.85</v>
      </c>
      <c r="M1110" t="s">
        <v>143</v>
      </c>
      <c r="O1110" s="7">
        <v>44468</v>
      </c>
    </row>
    <row r="1111" spans="1:15" x14ac:dyDescent="0.15">
      <c r="A1111" t="s">
        <v>162</v>
      </c>
      <c r="B1111" t="s">
        <v>288</v>
      </c>
      <c r="D1111">
        <v>76</v>
      </c>
      <c r="E1111" t="s">
        <v>75</v>
      </c>
      <c r="G1111">
        <v>0.7</v>
      </c>
      <c r="H1111">
        <v>0.85</v>
      </c>
      <c r="I1111" t="s">
        <v>97</v>
      </c>
      <c r="K1111">
        <f t="shared" si="34"/>
        <v>0.7</v>
      </c>
      <c r="L1111">
        <f t="shared" si="35"/>
        <v>0.85</v>
      </c>
      <c r="M1111" t="s">
        <v>143</v>
      </c>
      <c r="O1111" s="7">
        <v>44468</v>
      </c>
    </row>
    <row r="1112" spans="1:15" x14ac:dyDescent="0.15">
      <c r="A1112" t="s">
        <v>162</v>
      </c>
      <c r="B1112" t="s">
        <v>288</v>
      </c>
      <c r="D1112">
        <v>76</v>
      </c>
      <c r="E1112" t="s">
        <v>75</v>
      </c>
      <c r="G1112">
        <v>2</v>
      </c>
      <c r="H1112">
        <v>2.0249999999999999</v>
      </c>
      <c r="I1112" t="s">
        <v>94</v>
      </c>
      <c r="K1112">
        <f t="shared" si="34"/>
        <v>2</v>
      </c>
      <c r="L1112">
        <f t="shared" si="35"/>
        <v>2.0249999999999999</v>
      </c>
      <c r="M1112" t="s">
        <v>143</v>
      </c>
      <c r="O1112" s="7">
        <v>44468</v>
      </c>
    </row>
    <row r="1113" spans="1:15" x14ac:dyDescent="0.15">
      <c r="A1113" t="s">
        <v>162</v>
      </c>
      <c r="B1113" t="s">
        <v>288</v>
      </c>
      <c r="D1113">
        <v>76</v>
      </c>
      <c r="E1113" t="s">
        <v>75</v>
      </c>
      <c r="G1113">
        <v>2</v>
      </c>
      <c r="H1113">
        <v>2.0249999999999999</v>
      </c>
      <c r="I1113" t="s">
        <v>97</v>
      </c>
      <c r="K1113">
        <f t="shared" si="34"/>
        <v>2</v>
      </c>
      <c r="L1113">
        <f t="shared" si="35"/>
        <v>2.0249999999999999</v>
      </c>
      <c r="M1113" t="s">
        <v>143</v>
      </c>
      <c r="O1113" s="7">
        <v>44468</v>
      </c>
    </row>
    <row r="1114" spans="1:15" x14ac:dyDescent="0.15">
      <c r="A1114" t="s">
        <v>162</v>
      </c>
      <c r="B1114" t="s">
        <v>288</v>
      </c>
      <c r="D1114">
        <v>2</v>
      </c>
      <c r="E1114" t="s">
        <v>75</v>
      </c>
      <c r="G1114">
        <v>220.85</v>
      </c>
      <c r="H1114">
        <v>221.6</v>
      </c>
      <c r="I1114" t="s">
        <v>94</v>
      </c>
      <c r="K1114">
        <f t="shared" si="34"/>
        <v>220.85</v>
      </c>
      <c r="L1114">
        <f t="shared" si="35"/>
        <v>221.6</v>
      </c>
      <c r="M1114" t="s">
        <v>143</v>
      </c>
      <c r="O1114" s="7">
        <v>44469</v>
      </c>
    </row>
    <row r="1115" spans="1:15" x14ac:dyDescent="0.15">
      <c r="A1115" t="s">
        <v>162</v>
      </c>
      <c r="B1115" t="s">
        <v>288</v>
      </c>
      <c r="D1115">
        <v>2</v>
      </c>
      <c r="E1115" t="s">
        <v>75</v>
      </c>
      <c r="G1115">
        <v>223.6</v>
      </c>
      <c r="H1115">
        <v>223.7</v>
      </c>
      <c r="I1115" t="s">
        <v>185</v>
      </c>
      <c r="K1115">
        <f t="shared" si="34"/>
        <v>223.6</v>
      </c>
      <c r="L1115">
        <f t="shared" si="35"/>
        <v>223.7</v>
      </c>
      <c r="M1115" s="41" t="s">
        <v>27</v>
      </c>
      <c r="O1115" s="7">
        <v>44469</v>
      </c>
    </row>
    <row r="1116" spans="1:15" x14ac:dyDescent="0.15">
      <c r="A1116" t="s">
        <v>162</v>
      </c>
      <c r="B1116" t="s">
        <v>288</v>
      </c>
      <c r="D1116">
        <v>2</v>
      </c>
      <c r="E1116" t="s">
        <v>76</v>
      </c>
      <c r="F1116" t="s">
        <v>88</v>
      </c>
      <c r="G1116">
        <v>224.6</v>
      </c>
      <c r="H1116">
        <v>224.8</v>
      </c>
      <c r="I1116" t="s">
        <v>96</v>
      </c>
      <c r="K1116">
        <f t="shared" si="34"/>
        <v>224.6</v>
      </c>
      <c r="L1116">
        <f t="shared" si="35"/>
        <v>224.8</v>
      </c>
      <c r="M1116" t="s">
        <v>143</v>
      </c>
      <c r="O1116" s="7">
        <v>44469</v>
      </c>
    </row>
    <row r="1117" spans="1:15" x14ac:dyDescent="0.15">
      <c r="A1117" t="s">
        <v>162</v>
      </c>
      <c r="B1117" t="s">
        <v>288</v>
      </c>
      <c r="D1117">
        <v>2</v>
      </c>
      <c r="E1117" t="s">
        <v>75</v>
      </c>
      <c r="G1117">
        <v>225.5</v>
      </c>
      <c r="H1117">
        <v>225.8</v>
      </c>
      <c r="I1117" t="s">
        <v>94</v>
      </c>
      <c r="K1117">
        <f t="shared" si="34"/>
        <v>225.5</v>
      </c>
      <c r="L1117">
        <f t="shared" si="35"/>
        <v>225.8</v>
      </c>
      <c r="M1117" t="s">
        <v>143</v>
      </c>
      <c r="O1117" s="7">
        <v>44469</v>
      </c>
    </row>
    <row r="1118" spans="1:15" x14ac:dyDescent="0.15">
      <c r="A1118" t="s">
        <v>162</v>
      </c>
      <c r="B1118" t="s">
        <v>288</v>
      </c>
      <c r="D1118">
        <v>2</v>
      </c>
      <c r="E1118" t="s">
        <v>75</v>
      </c>
      <c r="G1118">
        <v>225.5</v>
      </c>
      <c r="H1118">
        <v>225.8</v>
      </c>
      <c r="I1118" t="s">
        <v>185</v>
      </c>
      <c r="K1118">
        <f t="shared" si="34"/>
        <v>225.5</v>
      </c>
      <c r="L1118">
        <f t="shared" si="35"/>
        <v>225.8</v>
      </c>
      <c r="M1118" t="s">
        <v>143</v>
      </c>
      <c r="O1118" s="7">
        <v>44469</v>
      </c>
    </row>
    <row r="1119" spans="1:15" x14ac:dyDescent="0.15">
      <c r="A1119" t="s">
        <v>162</v>
      </c>
      <c r="B1119" t="s">
        <v>288</v>
      </c>
      <c r="D1119">
        <v>2</v>
      </c>
      <c r="E1119" t="s">
        <v>75</v>
      </c>
      <c r="G1119">
        <v>226.4</v>
      </c>
      <c r="H1119">
        <v>226.5</v>
      </c>
      <c r="I1119" t="s">
        <v>96</v>
      </c>
      <c r="K1119">
        <f t="shared" si="34"/>
        <v>226.4</v>
      </c>
      <c r="L1119">
        <f t="shared" si="35"/>
        <v>226.5</v>
      </c>
      <c r="M1119" t="s">
        <v>301</v>
      </c>
      <c r="O1119" s="7">
        <v>44469</v>
      </c>
    </row>
    <row r="1120" spans="1:15" x14ac:dyDescent="0.15">
      <c r="A1120" t="s">
        <v>162</v>
      </c>
      <c r="B1120" t="s">
        <v>288</v>
      </c>
      <c r="D1120">
        <v>2</v>
      </c>
      <c r="E1120" t="s">
        <v>75</v>
      </c>
      <c r="G1120">
        <v>228.7</v>
      </c>
      <c r="H1120">
        <v>228.97</v>
      </c>
      <c r="I1120" t="s">
        <v>98</v>
      </c>
      <c r="K1120">
        <f t="shared" si="34"/>
        <v>228.7</v>
      </c>
      <c r="L1120">
        <f t="shared" si="35"/>
        <v>228.97</v>
      </c>
      <c r="M1120" t="s">
        <v>27</v>
      </c>
      <c r="O1120" s="7">
        <v>44469</v>
      </c>
    </row>
    <row r="1121" spans="1:15" x14ac:dyDescent="0.15">
      <c r="A1121" t="s">
        <v>162</v>
      </c>
      <c r="B1121" t="s">
        <v>288</v>
      </c>
      <c r="D1121">
        <v>67</v>
      </c>
      <c r="E1121" t="s">
        <v>75</v>
      </c>
      <c r="G1121">
        <v>70.7</v>
      </c>
      <c r="H1121">
        <v>71.22</v>
      </c>
      <c r="J1121" t="s">
        <v>23</v>
      </c>
      <c r="K1121">
        <f t="shared" si="34"/>
        <v>70.7</v>
      </c>
      <c r="L1121">
        <f t="shared" si="35"/>
        <v>71.22</v>
      </c>
      <c r="M1121" s="41" t="s">
        <v>296</v>
      </c>
      <c r="O1121" s="7">
        <v>44470</v>
      </c>
    </row>
    <row r="1122" spans="1:15" x14ac:dyDescent="0.15">
      <c r="A1122" t="s">
        <v>162</v>
      </c>
      <c r="B1122" t="s">
        <v>288</v>
      </c>
      <c r="D1122">
        <v>73</v>
      </c>
      <c r="E1122" t="s">
        <v>75</v>
      </c>
      <c r="G1122">
        <v>21</v>
      </c>
      <c r="H1122">
        <v>21.1</v>
      </c>
      <c r="I1122" t="s">
        <v>94</v>
      </c>
      <c r="K1122">
        <f t="shared" si="34"/>
        <v>21</v>
      </c>
      <c r="L1122">
        <f t="shared" si="35"/>
        <v>21.1</v>
      </c>
      <c r="M1122" t="s">
        <v>286</v>
      </c>
      <c r="O1122" s="7">
        <v>44477</v>
      </c>
    </row>
    <row r="1123" spans="1:15" x14ac:dyDescent="0.15">
      <c r="A1123" t="s">
        <v>162</v>
      </c>
      <c r="B1123" t="s">
        <v>288</v>
      </c>
      <c r="D1123">
        <v>73</v>
      </c>
      <c r="E1123" t="s">
        <v>74</v>
      </c>
      <c r="G1123">
        <v>21.3</v>
      </c>
      <c r="H1123">
        <v>21.2</v>
      </c>
      <c r="I1123" t="s">
        <v>92</v>
      </c>
      <c r="K1123">
        <f t="shared" si="34"/>
        <v>21.2</v>
      </c>
      <c r="L1123">
        <f t="shared" si="35"/>
        <v>21.3</v>
      </c>
      <c r="M1123" t="s">
        <v>27</v>
      </c>
      <c r="O1123" s="7">
        <v>44477</v>
      </c>
    </row>
    <row r="1124" spans="1:15" x14ac:dyDescent="0.15">
      <c r="A1124" t="s">
        <v>162</v>
      </c>
      <c r="B1124" t="s">
        <v>288</v>
      </c>
      <c r="D1124">
        <v>73</v>
      </c>
      <c r="E1124" t="s">
        <v>75</v>
      </c>
      <c r="G1124">
        <v>24.5</v>
      </c>
      <c r="H1124">
        <v>24.7</v>
      </c>
      <c r="I1124" t="s">
        <v>94</v>
      </c>
      <c r="K1124">
        <f t="shared" si="34"/>
        <v>24.5</v>
      </c>
      <c r="L1124">
        <f t="shared" si="35"/>
        <v>24.7</v>
      </c>
      <c r="M1124" t="s">
        <v>286</v>
      </c>
      <c r="O1124" s="7">
        <v>44477</v>
      </c>
    </row>
    <row r="1125" spans="1:15" x14ac:dyDescent="0.15">
      <c r="A1125" t="s">
        <v>162</v>
      </c>
      <c r="B1125" t="s">
        <v>288</v>
      </c>
      <c r="D1125">
        <v>73</v>
      </c>
      <c r="E1125" t="s">
        <v>74</v>
      </c>
      <c r="G1125">
        <v>28.17</v>
      </c>
      <c r="H1125">
        <v>27.2</v>
      </c>
      <c r="I1125" t="s">
        <v>92</v>
      </c>
      <c r="K1125">
        <f t="shared" si="34"/>
        <v>27.2</v>
      </c>
      <c r="L1125">
        <f t="shared" si="35"/>
        <v>28.17</v>
      </c>
      <c r="M1125" s="41" t="s">
        <v>27</v>
      </c>
      <c r="O1125" s="7">
        <v>44477</v>
      </c>
    </row>
    <row r="1126" spans="1:15" x14ac:dyDescent="0.15">
      <c r="A1126" t="s">
        <v>162</v>
      </c>
      <c r="B1126" t="s">
        <v>288</v>
      </c>
      <c r="D1126">
        <v>73</v>
      </c>
      <c r="E1126" t="s">
        <v>74</v>
      </c>
      <c r="G1126">
        <v>28.175000000000001</v>
      </c>
      <c r="H1126">
        <v>27.75</v>
      </c>
      <c r="I1126" t="s">
        <v>305</v>
      </c>
      <c r="K1126">
        <f t="shared" si="34"/>
        <v>27.75</v>
      </c>
      <c r="L1126">
        <f t="shared" si="35"/>
        <v>28.175000000000001</v>
      </c>
      <c r="M1126" s="41" t="s">
        <v>27</v>
      </c>
      <c r="O1126" s="7">
        <v>44477</v>
      </c>
    </row>
    <row r="1127" spans="1:15" x14ac:dyDescent="0.15">
      <c r="A1127" t="s">
        <v>162</v>
      </c>
      <c r="B1127" t="s">
        <v>288</v>
      </c>
      <c r="D1127">
        <v>73</v>
      </c>
      <c r="E1127" t="s">
        <v>74</v>
      </c>
      <c r="G1127">
        <v>28.175000000000001</v>
      </c>
      <c r="H1127">
        <v>27.75</v>
      </c>
      <c r="I1127" t="s">
        <v>90</v>
      </c>
      <c r="K1127">
        <f t="shared" si="34"/>
        <v>27.75</v>
      </c>
      <c r="L1127">
        <f t="shared" si="35"/>
        <v>28.175000000000001</v>
      </c>
      <c r="M1127" s="41" t="s">
        <v>27</v>
      </c>
      <c r="O1127" s="7">
        <v>44477</v>
      </c>
    </row>
    <row r="1128" spans="1:15" x14ac:dyDescent="0.15">
      <c r="A1128" t="s">
        <v>162</v>
      </c>
      <c r="B1128" t="s">
        <v>288</v>
      </c>
      <c r="D1128">
        <v>76</v>
      </c>
      <c r="E1128" t="s">
        <v>76</v>
      </c>
      <c r="F1128" t="s">
        <v>86</v>
      </c>
      <c r="G1128">
        <v>1.85</v>
      </c>
      <c r="H1128">
        <v>1.7</v>
      </c>
      <c r="I1128" t="s">
        <v>92</v>
      </c>
      <c r="K1128">
        <f t="shared" si="34"/>
        <v>1.7</v>
      </c>
      <c r="L1128">
        <f t="shared" si="35"/>
        <v>1.85</v>
      </c>
      <c r="M1128" t="s">
        <v>143</v>
      </c>
      <c r="O1128" s="7">
        <v>44482</v>
      </c>
    </row>
    <row r="1129" spans="1:15" x14ac:dyDescent="0.15">
      <c r="A1129" t="s">
        <v>162</v>
      </c>
      <c r="B1129" t="s">
        <v>288</v>
      </c>
      <c r="D1129">
        <v>76</v>
      </c>
      <c r="E1129" t="s">
        <v>76</v>
      </c>
      <c r="F1129" t="s">
        <v>86</v>
      </c>
      <c r="G1129">
        <v>1.85</v>
      </c>
      <c r="H1129">
        <v>1.7</v>
      </c>
      <c r="I1129" t="s">
        <v>91</v>
      </c>
      <c r="K1129">
        <f t="shared" si="34"/>
        <v>1.7</v>
      </c>
      <c r="L1129">
        <f t="shared" si="35"/>
        <v>1.85</v>
      </c>
      <c r="M1129" t="s">
        <v>143</v>
      </c>
      <c r="O1129" s="7">
        <v>44482</v>
      </c>
    </row>
    <row r="1130" spans="1:15" x14ac:dyDescent="0.15">
      <c r="A1130" t="s">
        <v>162</v>
      </c>
      <c r="B1130" t="s">
        <v>288</v>
      </c>
      <c r="D1130">
        <v>2</v>
      </c>
      <c r="E1130" t="s">
        <v>75</v>
      </c>
      <c r="G1130">
        <v>234.8</v>
      </c>
      <c r="H1130">
        <v>235</v>
      </c>
      <c r="I1130" t="s">
        <v>185</v>
      </c>
      <c r="K1130">
        <f t="shared" si="34"/>
        <v>234.8</v>
      </c>
      <c r="L1130">
        <f t="shared" si="35"/>
        <v>235</v>
      </c>
      <c r="M1130" t="s">
        <v>286</v>
      </c>
      <c r="O1130" s="7">
        <v>44482</v>
      </c>
    </row>
    <row r="1131" spans="1:15" x14ac:dyDescent="0.15">
      <c r="A1131" t="s">
        <v>162</v>
      </c>
      <c r="B1131" t="s">
        <v>288</v>
      </c>
      <c r="D1131">
        <v>2</v>
      </c>
      <c r="E1131" t="s">
        <v>75</v>
      </c>
      <c r="G1131">
        <v>236.7</v>
      </c>
      <c r="H1131">
        <v>236.8</v>
      </c>
      <c r="I1131" t="s">
        <v>185</v>
      </c>
      <c r="K1131">
        <f t="shared" si="34"/>
        <v>236.7</v>
      </c>
      <c r="L1131">
        <f t="shared" si="35"/>
        <v>236.8</v>
      </c>
      <c r="M1131" t="s">
        <v>286</v>
      </c>
      <c r="O1131" s="7">
        <v>44482</v>
      </c>
    </row>
    <row r="1132" spans="1:15" x14ac:dyDescent="0.15">
      <c r="A1132" t="s">
        <v>162</v>
      </c>
      <c r="B1132" t="s">
        <v>288</v>
      </c>
      <c r="D1132">
        <v>2</v>
      </c>
      <c r="E1132" t="s">
        <v>75</v>
      </c>
      <c r="G1132">
        <v>237.5</v>
      </c>
      <c r="H1132">
        <v>237.6</v>
      </c>
      <c r="I1132" t="s">
        <v>185</v>
      </c>
      <c r="K1132">
        <f t="shared" si="34"/>
        <v>237.5</v>
      </c>
      <c r="L1132">
        <f t="shared" si="35"/>
        <v>237.6</v>
      </c>
      <c r="M1132" t="s">
        <v>286</v>
      </c>
      <c r="O1132" s="7">
        <v>44482</v>
      </c>
    </row>
    <row r="1133" spans="1:15" x14ac:dyDescent="0.15">
      <c r="A1133" t="s">
        <v>162</v>
      </c>
      <c r="B1133" t="s">
        <v>288</v>
      </c>
      <c r="D1133">
        <v>2</v>
      </c>
      <c r="E1133" t="s">
        <v>74</v>
      </c>
      <c r="G1133">
        <v>212.9</v>
      </c>
      <c r="H1133">
        <v>212.5</v>
      </c>
      <c r="I1133" t="s">
        <v>95</v>
      </c>
      <c r="K1133">
        <f t="shared" si="34"/>
        <v>212.5</v>
      </c>
      <c r="L1133">
        <f t="shared" si="35"/>
        <v>212.9</v>
      </c>
      <c r="M1133" t="s">
        <v>143</v>
      </c>
      <c r="O1133" s="7">
        <v>44483</v>
      </c>
    </row>
    <row r="1134" spans="1:15" x14ac:dyDescent="0.15">
      <c r="A1134" t="s">
        <v>162</v>
      </c>
      <c r="B1134" t="s">
        <v>288</v>
      </c>
      <c r="D1134">
        <v>2</v>
      </c>
      <c r="E1134" t="s">
        <v>74</v>
      </c>
      <c r="G1134">
        <v>212.9</v>
      </c>
      <c r="H1134">
        <v>212.5</v>
      </c>
      <c r="I1134" t="s">
        <v>90</v>
      </c>
      <c r="K1134">
        <f t="shared" si="34"/>
        <v>212.5</v>
      </c>
      <c r="L1134">
        <f t="shared" si="35"/>
        <v>212.9</v>
      </c>
      <c r="M1134" t="s">
        <v>143</v>
      </c>
      <c r="O1134" s="7">
        <v>44483</v>
      </c>
    </row>
    <row r="1135" spans="1:15" x14ac:dyDescent="0.15">
      <c r="A1135" t="s">
        <v>162</v>
      </c>
      <c r="B1135" t="s">
        <v>288</v>
      </c>
      <c r="D1135">
        <v>73</v>
      </c>
      <c r="E1135" t="s">
        <v>75</v>
      </c>
      <c r="G1135">
        <v>54.375</v>
      </c>
      <c r="H1135">
        <v>54.44</v>
      </c>
      <c r="I1135" t="s">
        <v>22</v>
      </c>
      <c r="K1135">
        <f t="shared" si="34"/>
        <v>54.375</v>
      </c>
      <c r="L1135">
        <f t="shared" si="35"/>
        <v>54.44</v>
      </c>
      <c r="M1135" t="s">
        <v>143</v>
      </c>
      <c r="O1135" s="7">
        <v>44484</v>
      </c>
    </row>
    <row r="1136" spans="1:15" x14ac:dyDescent="0.15">
      <c r="A1136" t="s">
        <v>162</v>
      </c>
      <c r="B1136" t="s">
        <v>288</v>
      </c>
      <c r="D1136">
        <v>73</v>
      </c>
      <c r="E1136" t="s">
        <v>75</v>
      </c>
      <c r="G1136">
        <v>54.375</v>
      </c>
      <c r="H1136">
        <v>54.44</v>
      </c>
      <c r="I1136" t="s">
        <v>97</v>
      </c>
      <c r="K1136">
        <f t="shared" si="34"/>
        <v>54.375</v>
      </c>
      <c r="L1136">
        <f t="shared" si="35"/>
        <v>54.44</v>
      </c>
      <c r="M1136" t="s">
        <v>143</v>
      </c>
      <c r="O1136" s="7">
        <v>44484</v>
      </c>
    </row>
    <row r="1137" spans="1:15" x14ac:dyDescent="0.15">
      <c r="A1137" t="s">
        <v>162</v>
      </c>
      <c r="B1137" t="s">
        <v>288</v>
      </c>
      <c r="D1137">
        <v>73</v>
      </c>
      <c r="E1137" t="s">
        <v>75</v>
      </c>
      <c r="G1137">
        <v>54.414999999999999</v>
      </c>
      <c r="H1137">
        <v>54.44</v>
      </c>
      <c r="I1137" t="s">
        <v>94</v>
      </c>
      <c r="K1137">
        <f t="shared" si="34"/>
        <v>54.414999999999999</v>
      </c>
      <c r="L1137">
        <f t="shared" si="35"/>
        <v>54.44</v>
      </c>
      <c r="M1137" t="s">
        <v>143</v>
      </c>
      <c r="O1137" s="7">
        <v>44484</v>
      </c>
    </row>
    <row r="1138" spans="1:15" x14ac:dyDescent="0.15">
      <c r="A1138" t="s">
        <v>162</v>
      </c>
      <c r="B1138" t="s">
        <v>288</v>
      </c>
      <c r="D1138">
        <v>73</v>
      </c>
      <c r="E1138" t="s">
        <v>75</v>
      </c>
      <c r="G1138">
        <v>54.95</v>
      </c>
      <c r="H1138">
        <v>55.024999999999999</v>
      </c>
      <c r="I1138" t="s">
        <v>94</v>
      </c>
      <c r="K1138">
        <f t="shared" si="34"/>
        <v>54.95</v>
      </c>
      <c r="L1138">
        <f t="shared" si="35"/>
        <v>55.024999999999999</v>
      </c>
      <c r="M1138" t="s">
        <v>280</v>
      </c>
      <c r="O1138" s="7">
        <v>44484</v>
      </c>
    </row>
    <row r="1139" spans="1:15" x14ac:dyDescent="0.15">
      <c r="A1139" t="s">
        <v>162</v>
      </c>
      <c r="B1139" t="s">
        <v>288</v>
      </c>
      <c r="D1139">
        <v>73</v>
      </c>
      <c r="E1139" t="s">
        <v>75</v>
      </c>
      <c r="G1139">
        <v>54.95</v>
      </c>
      <c r="H1139">
        <v>55.024999999999999</v>
      </c>
      <c r="I1139" t="s">
        <v>94</v>
      </c>
      <c r="K1139">
        <f t="shared" si="34"/>
        <v>54.95</v>
      </c>
      <c r="L1139">
        <f t="shared" si="35"/>
        <v>55.024999999999999</v>
      </c>
      <c r="M1139" t="s">
        <v>143</v>
      </c>
      <c r="O1139" s="7">
        <v>44484</v>
      </c>
    </row>
    <row r="1140" spans="1:15" x14ac:dyDescent="0.15">
      <c r="A1140" t="s">
        <v>162</v>
      </c>
      <c r="B1140" t="s">
        <v>288</v>
      </c>
      <c r="D1140">
        <v>73</v>
      </c>
      <c r="E1140" t="s">
        <v>75</v>
      </c>
      <c r="G1140">
        <v>54.95</v>
      </c>
      <c r="H1140">
        <v>55.024999999999999</v>
      </c>
      <c r="I1140" t="s">
        <v>97</v>
      </c>
      <c r="K1140">
        <f t="shared" si="34"/>
        <v>54.95</v>
      </c>
      <c r="L1140">
        <f t="shared" si="35"/>
        <v>55.024999999999999</v>
      </c>
      <c r="M1140" t="s">
        <v>143</v>
      </c>
      <c r="O1140" s="7">
        <v>44484</v>
      </c>
    </row>
    <row r="1141" spans="1:15" x14ac:dyDescent="0.15">
      <c r="A1141" t="s">
        <v>162</v>
      </c>
      <c r="B1141" t="s">
        <v>288</v>
      </c>
      <c r="D1141">
        <v>73</v>
      </c>
      <c r="E1141" t="s">
        <v>76</v>
      </c>
      <c r="F1141" t="s">
        <v>88</v>
      </c>
      <c r="G1141">
        <v>56.5</v>
      </c>
      <c r="H1141">
        <v>56.81</v>
      </c>
      <c r="I1141" t="s">
        <v>96</v>
      </c>
      <c r="K1141">
        <f t="shared" si="34"/>
        <v>56.5</v>
      </c>
      <c r="L1141">
        <f t="shared" si="35"/>
        <v>56.81</v>
      </c>
      <c r="M1141" t="s">
        <v>100</v>
      </c>
      <c r="O1141" s="7">
        <v>44484</v>
      </c>
    </row>
    <row r="1142" spans="1:15" x14ac:dyDescent="0.15">
      <c r="A1142" t="s">
        <v>162</v>
      </c>
      <c r="B1142" t="s">
        <v>288</v>
      </c>
      <c r="D1142">
        <v>73</v>
      </c>
      <c r="E1142" t="s">
        <v>75</v>
      </c>
      <c r="G1142">
        <v>57.35</v>
      </c>
      <c r="H1142">
        <v>57.4</v>
      </c>
      <c r="I1142" t="s">
        <v>94</v>
      </c>
      <c r="K1142">
        <f t="shared" si="34"/>
        <v>57.35</v>
      </c>
      <c r="L1142">
        <f t="shared" si="35"/>
        <v>57.4</v>
      </c>
      <c r="M1142" t="s">
        <v>280</v>
      </c>
      <c r="O1142" s="7">
        <v>44484</v>
      </c>
    </row>
    <row r="1143" spans="1:15" x14ac:dyDescent="0.15">
      <c r="A1143" t="s">
        <v>162</v>
      </c>
      <c r="B1143" t="s">
        <v>288</v>
      </c>
      <c r="D1143">
        <v>73</v>
      </c>
      <c r="E1143" t="s">
        <v>75</v>
      </c>
      <c r="G1143">
        <v>57.35</v>
      </c>
      <c r="H1143">
        <v>57.4</v>
      </c>
      <c r="I1143" t="s">
        <v>94</v>
      </c>
      <c r="K1143">
        <f t="shared" si="34"/>
        <v>57.35</v>
      </c>
      <c r="L1143">
        <f t="shared" si="35"/>
        <v>57.4</v>
      </c>
      <c r="M1143" t="s">
        <v>143</v>
      </c>
      <c r="O1143" s="7">
        <v>44484</v>
      </c>
    </row>
    <row r="1144" spans="1:15" x14ac:dyDescent="0.15">
      <c r="A1144" t="s">
        <v>162</v>
      </c>
      <c r="B1144" t="s">
        <v>288</v>
      </c>
      <c r="D1144">
        <v>73</v>
      </c>
      <c r="E1144" t="s">
        <v>75</v>
      </c>
      <c r="G1144">
        <v>57.35</v>
      </c>
      <c r="H1144">
        <v>57.4</v>
      </c>
      <c r="I1144" t="s">
        <v>97</v>
      </c>
      <c r="K1144">
        <f t="shared" si="34"/>
        <v>57.35</v>
      </c>
      <c r="L1144">
        <f t="shared" si="35"/>
        <v>57.4</v>
      </c>
      <c r="M1144" t="s">
        <v>143</v>
      </c>
      <c r="O1144" s="7">
        <v>44484</v>
      </c>
    </row>
    <row r="1145" spans="1:15" x14ac:dyDescent="0.15">
      <c r="A1145" t="s">
        <v>162</v>
      </c>
      <c r="B1145" t="s">
        <v>288</v>
      </c>
      <c r="D1145">
        <v>73</v>
      </c>
      <c r="E1145" t="s">
        <v>75</v>
      </c>
      <c r="G1145">
        <v>57.875</v>
      </c>
      <c r="H1145">
        <v>58</v>
      </c>
      <c r="I1145" t="s">
        <v>94</v>
      </c>
      <c r="K1145">
        <f t="shared" si="34"/>
        <v>57.875</v>
      </c>
      <c r="L1145">
        <f t="shared" si="35"/>
        <v>58</v>
      </c>
      <c r="M1145" t="s">
        <v>280</v>
      </c>
      <c r="O1145" s="7">
        <v>44484</v>
      </c>
    </row>
    <row r="1146" spans="1:15" x14ac:dyDescent="0.15">
      <c r="A1146" t="s">
        <v>162</v>
      </c>
      <c r="B1146" t="s">
        <v>288</v>
      </c>
      <c r="D1146">
        <v>73</v>
      </c>
      <c r="E1146" t="s">
        <v>75</v>
      </c>
      <c r="G1146">
        <v>57.875</v>
      </c>
      <c r="H1146">
        <v>58</v>
      </c>
      <c r="I1146" t="s">
        <v>94</v>
      </c>
      <c r="K1146">
        <f t="shared" si="34"/>
        <v>57.875</v>
      </c>
      <c r="L1146">
        <f t="shared" si="35"/>
        <v>58</v>
      </c>
      <c r="M1146" t="s">
        <v>143</v>
      </c>
      <c r="O1146" s="7">
        <v>44484</v>
      </c>
    </row>
    <row r="1147" spans="1:15" x14ac:dyDescent="0.15">
      <c r="A1147" t="s">
        <v>162</v>
      </c>
      <c r="B1147" t="s">
        <v>288</v>
      </c>
      <c r="D1147">
        <v>73</v>
      </c>
      <c r="E1147" t="s">
        <v>75</v>
      </c>
      <c r="G1147">
        <v>57.875</v>
      </c>
      <c r="H1147">
        <v>58</v>
      </c>
      <c r="I1147" t="s">
        <v>97</v>
      </c>
      <c r="K1147">
        <f t="shared" si="34"/>
        <v>57.875</v>
      </c>
      <c r="L1147">
        <f t="shared" si="35"/>
        <v>58</v>
      </c>
      <c r="M1147" t="s">
        <v>143</v>
      </c>
      <c r="O1147" s="7">
        <v>44484</v>
      </c>
    </row>
    <row r="1148" spans="1:15" x14ac:dyDescent="0.15">
      <c r="A1148" t="s">
        <v>162</v>
      </c>
      <c r="B1148" t="s">
        <v>288</v>
      </c>
      <c r="D1148">
        <v>73</v>
      </c>
      <c r="E1148" t="s">
        <v>75</v>
      </c>
      <c r="G1148">
        <v>58.25</v>
      </c>
      <c r="H1148">
        <v>58.274999999999999</v>
      </c>
      <c r="I1148" t="s">
        <v>94</v>
      </c>
      <c r="K1148">
        <f t="shared" si="34"/>
        <v>58.25</v>
      </c>
      <c r="L1148">
        <f t="shared" si="35"/>
        <v>58.274999999999999</v>
      </c>
      <c r="M1148" t="s">
        <v>280</v>
      </c>
      <c r="O1148" s="7">
        <v>44484</v>
      </c>
    </row>
    <row r="1149" spans="1:15" x14ac:dyDescent="0.15">
      <c r="A1149" t="s">
        <v>162</v>
      </c>
      <c r="B1149" t="s">
        <v>288</v>
      </c>
      <c r="D1149">
        <v>73</v>
      </c>
      <c r="E1149" t="s">
        <v>75</v>
      </c>
      <c r="G1149">
        <v>58.25</v>
      </c>
      <c r="H1149">
        <v>58.274999999999999</v>
      </c>
      <c r="I1149" t="s">
        <v>94</v>
      </c>
      <c r="K1149">
        <f t="shared" si="34"/>
        <v>58.25</v>
      </c>
      <c r="L1149">
        <f t="shared" si="35"/>
        <v>58.274999999999999</v>
      </c>
      <c r="M1149" t="s">
        <v>143</v>
      </c>
      <c r="O1149" s="7">
        <v>44484</v>
      </c>
    </row>
    <row r="1150" spans="1:15" x14ac:dyDescent="0.15">
      <c r="A1150" t="s">
        <v>162</v>
      </c>
      <c r="B1150" t="s">
        <v>288</v>
      </c>
      <c r="D1150">
        <v>73</v>
      </c>
      <c r="E1150" t="s">
        <v>75</v>
      </c>
      <c r="G1150">
        <v>58.25</v>
      </c>
      <c r="H1150">
        <v>58.274999999999999</v>
      </c>
      <c r="I1150" t="s">
        <v>97</v>
      </c>
      <c r="K1150">
        <f t="shared" si="34"/>
        <v>58.25</v>
      </c>
      <c r="L1150">
        <f t="shared" si="35"/>
        <v>58.274999999999999</v>
      </c>
      <c r="M1150" t="s">
        <v>143</v>
      </c>
      <c r="O1150" s="7">
        <v>44484</v>
      </c>
    </row>
    <row r="1151" spans="1:15" x14ac:dyDescent="0.15">
      <c r="A1151" t="s">
        <v>162</v>
      </c>
      <c r="B1151" t="s">
        <v>288</v>
      </c>
      <c r="D1151">
        <v>73</v>
      </c>
      <c r="E1151" t="s">
        <v>75</v>
      </c>
      <c r="G1151">
        <v>59.05</v>
      </c>
      <c r="H1151">
        <v>59.075000000000003</v>
      </c>
      <c r="I1151" t="s">
        <v>94</v>
      </c>
      <c r="K1151">
        <f t="shared" si="34"/>
        <v>59.05</v>
      </c>
      <c r="L1151">
        <f t="shared" si="35"/>
        <v>59.075000000000003</v>
      </c>
      <c r="M1151" t="s">
        <v>280</v>
      </c>
      <c r="O1151" s="7">
        <v>44484</v>
      </c>
    </row>
    <row r="1152" spans="1:15" x14ac:dyDescent="0.15">
      <c r="A1152" t="s">
        <v>162</v>
      </c>
      <c r="B1152" t="s">
        <v>288</v>
      </c>
      <c r="D1152">
        <v>73</v>
      </c>
      <c r="E1152" t="s">
        <v>75</v>
      </c>
      <c r="G1152">
        <v>59.05</v>
      </c>
      <c r="H1152">
        <v>59.075000000000003</v>
      </c>
      <c r="I1152" t="s">
        <v>94</v>
      </c>
      <c r="K1152">
        <f t="shared" si="34"/>
        <v>59.05</v>
      </c>
      <c r="L1152">
        <f t="shared" si="35"/>
        <v>59.075000000000003</v>
      </c>
      <c r="M1152" t="s">
        <v>143</v>
      </c>
      <c r="O1152" s="7">
        <v>44484</v>
      </c>
    </row>
    <row r="1153" spans="1:15" x14ac:dyDescent="0.15">
      <c r="A1153" t="s">
        <v>162</v>
      </c>
      <c r="B1153" t="s">
        <v>288</v>
      </c>
      <c r="D1153">
        <v>73</v>
      </c>
      <c r="E1153" t="s">
        <v>75</v>
      </c>
      <c r="G1153">
        <v>59.05</v>
      </c>
      <c r="H1153">
        <v>59.075000000000003</v>
      </c>
      <c r="I1153" t="s">
        <v>97</v>
      </c>
      <c r="K1153">
        <f t="shared" ref="K1153:K1216" si="36">MIN(G1153:H1153)</f>
        <v>59.05</v>
      </c>
      <c r="L1153">
        <f t="shared" ref="L1153:L1216" si="37">MAX(G1153:H1153)</f>
        <v>59.075000000000003</v>
      </c>
      <c r="M1153" t="s">
        <v>143</v>
      </c>
      <c r="O1153" s="7">
        <v>44484</v>
      </c>
    </row>
    <row r="1154" spans="1:15" x14ac:dyDescent="0.15">
      <c r="A1154" t="s">
        <v>162</v>
      </c>
      <c r="B1154" t="s">
        <v>288</v>
      </c>
      <c r="D1154">
        <v>73</v>
      </c>
      <c r="E1154" t="s">
        <v>75</v>
      </c>
      <c r="G1154">
        <v>59.72</v>
      </c>
      <c r="H1154">
        <v>59.744999999999997</v>
      </c>
      <c r="I1154" t="s">
        <v>94</v>
      </c>
      <c r="K1154">
        <f t="shared" si="36"/>
        <v>59.72</v>
      </c>
      <c r="L1154">
        <f t="shared" si="37"/>
        <v>59.744999999999997</v>
      </c>
      <c r="M1154" t="s">
        <v>280</v>
      </c>
      <c r="O1154" s="7">
        <v>44484</v>
      </c>
    </row>
    <row r="1155" spans="1:15" x14ac:dyDescent="0.15">
      <c r="A1155" t="s">
        <v>162</v>
      </c>
      <c r="B1155" t="s">
        <v>288</v>
      </c>
      <c r="D1155">
        <v>73</v>
      </c>
      <c r="E1155" t="s">
        <v>75</v>
      </c>
      <c r="G1155">
        <v>59.72</v>
      </c>
      <c r="H1155">
        <v>59.744999999999997</v>
      </c>
      <c r="I1155" t="s">
        <v>94</v>
      </c>
      <c r="K1155">
        <f t="shared" si="36"/>
        <v>59.72</v>
      </c>
      <c r="L1155">
        <f t="shared" si="37"/>
        <v>59.744999999999997</v>
      </c>
      <c r="M1155" t="s">
        <v>143</v>
      </c>
      <c r="O1155" s="7">
        <v>44484</v>
      </c>
    </row>
    <row r="1156" spans="1:15" x14ac:dyDescent="0.15">
      <c r="A1156" t="s">
        <v>162</v>
      </c>
      <c r="B1156" t="s">
        <v>288</v>
      </c>
      <c r="D1156">
        <v>73</v>
      </c>
      <c r="E1156" t="s">
        <v>75</v>
      </c>
      <c r="G1156">
        <v>59.72</v>
      </c>
      <c r="H1156">
        <v>59.744999999999997</v>
      </c>
      <c r="I1156" t="s">
        <v>97</v>
      </c>
      <c r="K1156">
        <f t="shared" si="36"/>
        <v>59.72</v>
      </c>
      <c r="L1156">
        <f t="shared" si="37"/>
        <v>59.744999999999997</v>
      </c>
      <c r="M1156" t="s">
        <v>143</v>
      </c>
      <c r="O1156" s="7">
        <v>44484</v>
      </c>
    </row>
    <row r="1157" spans="1:15" x14ac:dyDescent="0.15">
      <c r="A1157" t="s">
        <v>162</v>
      </c>
      <c r="B1157" t="s">
        <v>288</v>
      </c>
      <c r="D1157">
        <v>73</v>
      </c>
      <c r="E1157" t="s">
        <v>75</v>
      </c>
      <c r="G1157">
        <v>59.85</v>
      </c>
      <c r="H1157">
        <v>59.875</v>
      </c>
      <c r="I1157" t="s">
        <v>94</v>
      </c>
      <c r="K1157">
        <f t="shared" si="36"/>
        <v>59.85</v>
      </c>
      <c r="L1157">
        <f t="shared" si="37"/>
        <v>59.875</v>
      </c>
      <c r="M1157" t="s">
        <v>280</v>
      </c>
      <c r="O1157" s="7">
        <v>44484</v>
      </c>
    </row>
    <row r="1158" spans="1:15" x14ac:dyDescent="0.15">
      <c r="A1158" t="s">
        <v>162</v>
      </c>
      <c r="B1158" t="s">
        <v>288</v>
      </c>
      <c r="D1158">
        <v>73</v>
      </c>
      <c r="E1158" t="s">
        <v>75</v>
      </c>
      <c r="G1158">
        <v>59.85</v>
      </c>
      <c r="H1158">
        <v>59.875</v>
      </c>
      <c r="I1158" t="s">
        <v>94</v>
      </c>
      <c r="K1158">
        <f t="shared" si="36"/>
        <v>59.85</v>
      </c>
      <c r="L1158">
        <f t="shared" si="37"/>
        <v>59.875</v>
      </c>
      <c r="M1158" t="s">
        <v>143</v>
      </c>
      <c r="O1158" s="7">
        <v>44484</v>
      </c>
    </row>
    <row r="1159" spans="1:15" x14ac:dyDescent="0.15">
      <c r="A1159" t="s">
        <v>162</v>
      </c>
      <c r="B1159" t="s">
        <v>288</v>
      </c>
      <c r="D1159">
        <v>73</v>
      </c>
      <c r="E1159" t="s">
        <v>75</v>
      </c>
      <c r="G1159">
        <v>59.85</v>
      </c>
      <c r="H1159">
        <v>59.875</v>
      </c>
      <c r="I1159" t="s">
        <v>97</v>
      </c>
      <c r="K1159">
        <f t="shared" si="36"/>
        <v>59.85</v>
      </c>
      <c r="L1159">
        <f t="shared" si="37"/>
        <v>59.875</v>
      </c>
      <c r="M1159" t="s">
        <v>143</v>
      </c>
      <c r="O1159" s="7">
        <v>44484</v>
      </c>
    </row>
    <row r="1160" spans="1:15" x14ac:dyDescent="0.15">
      <c r="A1160" t="s">
        <v>162</v>
      </c>
      <c r="B1160" t="s">
        <v>288</v>
      </c>
      <c r="D1160">
        <v>73</v>
      </c>
      <c r="E1160" t="s">
        <v>75</v>
      </c>
      <c r="G1160">
        <v>61.36</v>
      </c>
      <c r="H1160">
        <v>61.3</v>
      </c>
      <c r="I1160" t="s">
        <v>22</v>
      </c>
      <c r="K1160">
        <f t="shared" si="36"/>
        <v>61.3</v>
      </c>
      <c r="L1160">
        <f t="shared" si="37"/>
        <v>61.36</v>
      </c>
      <c r="M1160" t="s">
        <v>100</v>
      </c>
      <c r="O1160" s="7">
        <v>44484</v>
      </c>
    </row>
    <row r="1161" spans="1:15" x14ac:dyDescent="0.15">
      <c r="A1161" t="s">
        <v>162</v>
      </c>
      <c r="B1161" t="s">
        <v>288</v>
      </c>
      <c r="D1161">
        <v>73</v>
      </c>
      <c r="E1161" t="s">
        <v>75</v>
      </c>
      <c r="G1161">
        <v>61.38</v>
      </c>
      <c r="H1161">
        <v>61.45</v>
      </c>
      <c r="I1161" t="s">
        <v>22</v>
      </c>
      <c r="K1161">
        <f t="shared" si="36"/>
        <v>61.38</v>
      </c>
      <c r="L1161">
        <f t="shared" si="37"/>
        <v>61.45</v>
      </c>
      <c r="M1161" t="s">
        <v>143</v>
      </c>
      <c r="O1161" s="7">
        <v>44484</v>
      </c>
    </row>
    <row r="1162" spans="1:15" x14ac:dyDescent="0.15">
      <c r="A1162" t="s">
        <v>162</v>
      </c>
      <c r="B1162" t="s">
        <v>288</v>
      </c>
      <c r="D1162">
        <v>73</v>
      </c>
      <c r="E1162" t="s">
        <v>76</v>
      </c>
      <c r="F1162" t="s">
        <v>82</v>
      </c>
      <c r="G1162">
        <v>63.024999999999999</v>
      </c>
      <c r="H1162">
        <v>63.05</v>
      </c>
      <c r="I1162" t="s">
        <v>96</v>
      </c>
      <c r="K1162">
        <f t="shared" si="36"/>
        <v>63.024999999999999</v>
      </c>
      <c r="L1162">
        <f t="shared" si="37"/>
        <v>63.05</v>
      </c>
      <c r="M1162" t="s">
        <v>100</v>
      </c>
      <c r="O1162" s="7">
        <v>44484</v>
      </c>
    </row>
    <row r="1163" spans="1:15" x14ac:dyDescent="0.15">
      <c r="A1163" t="s">
        <v>162</v>
      </c>
      <c r="B1163" t="s">
        <v>288</v>
      </c>
      <c r="D1163">
        <v>73</v>
      </c>
      <c r="E1163" t="s">
        <v>74</v>
      </c>
      <c r="G1163">
        <v>56.48</v>
      </c>
      <c r="H1163">
        <v>56.43</v>
      </c>
      <c r="I1163" t="s">
        <v>92</v>
      </c>
      <c r="K1163">
        <f t="shared" si="36"/>
        <v>56.43</v>
      </c>
      <c r="L1163">
        <f t="shared" si="37"/>
        <v>56.48</v>
      </c>
      <c r="M1163" t="s">
        <v>280</v>
      </c>
      <c r="O1163" s="7">
        <v>44491</v>
      </c>
    </row>
    <row r="1164" spans="1:15" x14ac:dyDescent="0.15">
      <c r="A1164" t="s">
        <v>162</v>
      </c>
      <c r="B1164" t="s">
        <v>288</v>
      </c>
      <c r="D1164">
        <v>73</v>
      </c>
      <c r="E1164" t="s">
        <v>74</v>
      </c>
      <c r="G1164">
        <v>56.48</v>
      </c>
      <c r="H1164">
        <v>56.43</v>
      </c>
      <c r="I1164" t="s">
        <v>92</v>
      </c>
      <c r="K1164">
        <f t="shared" si="36"/>
        <v>56.43</v>
      </c>
      <c r="L1164">
        <f t="shared" si="37"/>
        <v>56.48</v>
      </c>
      <c r="M1164" t="s">
        <v>143</v>
      </c>
      <c r="O1164" s="7">
        <v>44491</v>
      </c>
    </row>
    <row r="1165" spans="1:15" x14ac:dyDescent="0.15">
      <c r="A1165" t="s">
        <v>162</v>
      </c>
      <c r="B1165" t="s">
        <v>288</v>
      </c>
      <c r="D1165">
        <v>73</v>
      </c>
      <c r="E1165" t="s">
        <v>74</v>
      </c>
      <c r="G1165">
        <v>61.3</v>
      </c>
      <c r="H1165">
        <v>61.25</v>
      </c>
      <c r="I1165" t="s">
        <v>92</v>
      </c>
      <c r="K1165">
        <f t="shared" si="36"/>
        <v>61.25</v>
      </c>
      <c r="L1165">
        <f t="shared" si="37"/>
        <v>61.3</v>
      </c>
      <c r="M1165" t="s">
        <v>143</v>
      </c>
      <c r="O1165" s="7">
        <v>44491</v>
      </c>
    </row>
    <row r="1166" spans="1:15" x14ac:dyDescent="0.15">
      <c r="A1166" t="s">
        <v>162</v>
      </c>
      <c r="B1166" t="s">
        <v>288</v>
      </c>
      <c r="D1166">
        <v>73</v>
      </c>
      <c r="E1166" t="s">
        <v>74</v>
      </c>
      <c r="G1166">
        <v>61.35</v>
      </c>
      <c r="H1166">
        <v>61.23</v>
      </c>
      <c r="I1166" t="s">
        <v>93</v>
      </c>
      <c r="K1166">
        <f t="shared" si="36"/>
        <v>61.23</v>
      </c>
      <c r="L1166">
        <f t="shared" si="37"/>
        <v>61.35</v>
      </c>
      <c r="M1166" t="s">
        <v>143</v>
      </c>
      <c r="O1166" s="7">
        <v>44491</v>
      </c>
    </row>
    <row r="1167" spans="1:15" x14ac:dyDescent="0.15">
      <c r="A1167" t="s">
        <v>162</v>
      </c>
      <c r="B1167" t="s">
        <v>288</v>
      </c>
      <c r="D1167">
        <v>73</v>
      </c>
      <c r="E1167" t="s">
        <v>76</v>
      </c>
      <c r="F1167" t="s">
        <v>77</v>
      </c>
      <c r="G1167">
        <v>63.39</v>
      </c>
      <c r="H1167">
        <v>63.365000000000002</v>
      </c>
      <c r="I1167" t="s">
        <v>91</v>
      </c>
      <c r="K1167">
        <f t="shared" si="36"/>
        <v>63.365000000000002</v>
      </c>
      <c r="L1167">
        <f t="shared" si="37"/>
        <v>63.39</v>
      </c>
      <c r="M1167" t="s">
        <v>100</v>
      </c>
      <c r="O1167" s="7">
        <v>44491</v>
      </c>
    </row>
    <row r="1168" spans="1:15" x14ac:dyDescent="0.15">
      <c r="A1168" t="s">
        <v>162</v>
      </c>
      <c r="B1168" t="s">
        <v>288</v>
      </c>
      <c r="D1168">
        <v>73</v>
      </c>
      <c r="E1168" t="s">
        <v>74</v>
      </c>
      <c r="G1168">
        <v>63.65</v>
      </c>
      <c r="H1168">
        <v>62.4</v>
      </c>
      <c r="I1168" t="s">
        <v>92</v>
      </c>
      <c r="K1168">
        <f t="shared" si="36"/>
        <v>62.4</v>
      </c>
      <c r="L1168">
        <f t="shared" si="37"/>
        <v>63.65</v>
      </c>
      <c r="M1168" t="s">
        <v>280</v>
      </c>
      <c r="O1168" s="7">
        <v>44491</v>
      </c>
    </row>
    <row r="1169" spans="1:15" x14ac:dyDescent="0.15">
      <c r="A1169" t="s">
        <v>162</v>
      </c>
      <c r="B1169" t="s">
        <v>288</v>
      </c>
      <c r="D1169">
        <v>73</v>
      </c>
      <c r="E1169" t="s">
        <v>74</v>
      </c>
      <c r="G1169">
        <v>63.65</v>
      </c>
      <c r="H1169">
        <v>62.4</v>
      </c>
      <c r="I1169" t="s">
        <v>92</v>
      </c>
      <c r="K1169">
        <f t="shared" si="36"/>
        <v>62.4</v>
      </c>
      <c r="L1169">
        <f t="shared" si="37"/>
        <v>63.65</v>
      </c>
      <c r="M1169" t="s">
        <v>143</v>
      </c>
      <c r="O1169" s="7">
        <v>44491</v>
      </c>
    </row>
    <row r="1170" spans="1:15" x14ac:dyDescent="0.15">
      <c r="A1170" t="s">
        <v>162</v>
      </c>
      <c r="B1170" t="s">
        <v>288</v>
      </c>
      <c r="D1170">
        <v>73</v>
      </c>
      <c r="E1170" t="s">
        <v>74</v>
      </c>
      <c r="G1170">
        <v>63.65</v>
      </c>
      <c r="H1170">
        <v>62.4</v>
      </c>
      <c r="I1170" t="s">
        <v>90</v>
      </c>
      <c r="K1170">
        <f t="shared" si="36"/>
        <v>62.4</v>
      </c>
      <c r="L1170">
        <f t="shared" si="37"/>
        <v>63.65</v>
      </c>
      <c r="M1170" t="s">
        <v>143</v>
      </c>
      <c r="O1170" s="7">
        <v>44491</v>
      </c>
    </row>
    <row r="1171" spans="1:15" x14ac:dyDescent="0.15">
      <c r="A1171" t="s">
        <v>162</v>
      </c>
      <c r="B1171" t="s">
        <v>288</v>
      </c>
      <c r="D1171">
        <v>76</v>
      </c>
      <c r="E1171" t="s">
        <v>74</v>
      </c>
      <c r="G1171">
        <v>12.24</v>
      </c>
      <c r="H1171">
        <v>12.14</v>
      </c>
      <c r="I1171" t="s">
        <v>92</v>
      </c>
      <c r="K1171">
        <f t="shared" si="36"/>
        <v>12.14</v>
      </c>
      <c r="L1171">
        <f t="shared" si="37"/>
        <v>12.24</v>
      </c>
      <c r="M1171" t="s">
        <v>143</v>
      </c>
      <c r="O1171" s="7">
        <v>44498</v>
      </c>
    </row>
    <row r="1172" spans="1:15" x14ac:dyDescent="0.15">
      <c r="A1172" t="s">
        <v>162</v>
      </c>
      <c r="B1172" t="s">
        <v>288</v>
      </c>
      <c r="D1172">
        <v>76</v>
      </c>
      <c r="E1172" t="s">
        <v>74</v>
      </c>
      <c r="G1172">
        <v>12.24</v>
      </c>
      <c r="H1172">
        <v>12.14</v>
      </c>
      <c r="I1172" t="s">
        <v>90</v>
      </c>
      <c r="K1172">
        <f t="shared" si="36"/>
        <v>12.14</v>
      </c>
      <c r="L1172">
        <f t="shared" si="37"/>
        <v>12.24</v>
      </c>
      <c r="M1172" t="s">
        <v>143</v>
      </c>
      <c r="O1172" s="7">
        <v>44498</v>
      </c>
    </row>
    <row r="1173" spans="1:15" x14ac:dyDescent="0.15">
      <c r="A1173" t="s">
        <v>162</v>
      </c>
      <c r="B1173" t="s">
        <v>288</v>
      </c>
      <c r="D1173">
        <v>76</v>
      </c>
      <c r="E1173" t="s">
        <v>74</v>
      </c>
      <c r="G1173">
        <v>13.215</v>
      </c>
      <c r="H1173">
        <v>13.185</v>
      </c>
      <c r="J1173" t="s">
        <v>23</v>
      </c>
      <c r="K1173">
        <f t="shared" si="36"/>
        <v>13.185</v>
      </c>
      <c r="L1173">
        <f t="shared" si="37"/>
        <v>13.215</v>
      </c>
      <c r="M1173" t="s">
        <v>301</v>
      </c>
      <c r="O1173" s="7">
        <v>44498</v>
      </c>
    </row>
    <row r="1174" spans="1:15" x14ac:dyDescent="0.15">
      <c r="A1174" t="s">
        <v>162</v>
      </c>
      <c r="B1174" t="s">
        <v>288</v>
      </c>
      <c r="D1174">
        <v>76</v>
      </c>
      <c r="E1174" t="s">
        <v>74</v>
      </c>
      <c r="G1174">
        <v>13.86</v>
      </c>
      <c r="H1174">
        <v>13.835000000000001</v>
      </c>
      <c r="I1174" t="s">
        <v>92</v>
      </c>
      <c r="K1174">
        <f t="shared" si="36"/>
        <v>13.835000000000001</v>
      </c>
      <c r="L1174">
        <f t="shared" si="37"/>
        <v>13.86</v>
      </c>
      <c r="M1174" t="s">
        <v>301</v>
      </c>
      <c r="O1174" s="7">
        <v>44498</v>
      </c>
    </row>
    <row r="1175" spans="1:15" x14ac:dyDescent="0.15">
      <c r="A1175" t="s">
        <v>162</v>
      </c>
      <c r="B1175" t="s">
        <v>288</v>
      </c>
      <c r="D1175">
        <v>76</v>
      </c>
      <c r="E1175" t="s">
        <v>74</v>
      </c>
      <c r="G1175">
        <v>14.324999999999999</v>
      </c>
      <c r="H1175">
        <v>14.225</v>
      </c>
      <c r="I1175" t="s">
        <v>92</v>
      </c>
      <c r="K1175">
        <f t="shared" si="36"/>
        <v>14.225</v>
      </c>
      <c r="L1175">
        <f t="shared" si="37"/>
        <v>14.324999999999999</v>
      </c>
      <c r="M1175" t="s">
        <v>301</v>
      </c>
      <c r="O1175" s="7">
        <v>44498</v>
      </c>
    </row>
    <row r="1176" spans="1:15" x14ac:dyDescent="0.15">
      <c r="A1176" t="s">
        <v>162</v>
      </c>
      <c r="B1176" t="s">
        <v>288</v>
      </c>
      <c r="D1176">
        <v>76</v>
      </c>
      <c r="E1176" t="s">
        <v>74</v>
      </c>
      <c r="G1176">
        <v>15</v>
      </c>
      <c r="H1176">
        <v>14.72</v>
      </c>
      <c r="I1176" t="s">
        <v>91</v>
      </c>
      <c r="K1176">
        <f t="shared" si="36"/>
        <v>14.72</v>
      </c>
      <c r="L1176">
        <f t="shared" si="37"/>
        <v>15</v>
      </c>
      <c r="M1176" t="s">
        <v>301</v>
      </c>
      <c r="O1176" s="7">
        <v>44498</v>
      </c>
    </row>
    <row r="1177" spans="1:15" x14ac:dyDescent="0.15">
      <c r="A1177" t="s">
        <v>162</v>
      </c>
      <c r="B1177" t="s">
        <v>288</v>
      </c>
      <c r="D1177">
        <v>76</v>
      </c>
      <c r="E1177" t="s">
        <v>74</v>
      </c>
      <c r="G1177">
        <v>15</v>
      </c>
      <c r="H1177">
        <v>14.72</v>
      </c>
      <c r="I1177" t="s">
        <v>92</v>
      </c>
      <c r="K1177">
        <f t="shared" si="36"/>
        <v>14.72</v>
      </c>
      <c r="L1177">
        <f t="shared" si="37"/>
        <v>15</v>
      </c>
      <c r="M1177" t="s">
        <v>301</v>
      </c>
      <c r="O1177" s="7">
        <v>44498</v>
      </c>
    </row>
    <row r="1178" spans="1:15" x14ac:dyDescent="0.15">
      <c r="A1178" t="s">
        <v>162</v>
      </c>
      <c r="B1178" t="s">
        <v>288</v>
      </c>
      <c r="D1178">
        <v>76</v>
      </c>
      <c r="E1178" t="s">
        <v>74</v>
      </c>
      <c r="G1178">
        <v>15</v>
      </c>
      <c r="H1178">
        <v>14.72</v>
      </c>
      <c r="I1178" t="s">
        <v>90</v>
      </c>
      <c r="K1178">
        <f t="shared" si="36"/>
        <v>14.72</v>
      </c>
      <c r="L1178">
        <f t="shared" si="37"/>
        <v>15</v>
      </c>
      <c r="M1178" t="s">
        <v>143</v>
      </c>
      <c r="O1178" s="7">
        <v>44498</v>
      </c>
    </row>
    <row r="1179" spans="1:15" x14ac:dyDescent="0.15">
      <c r="A1179" t="s">
        <v>162</v>
      </c>
      <c r="B1179" t="s">
        <v>288</v>
      </c>
      <c r="D1179">
        <v>76</v>
      </c>
      <c r="E1179" t="s">
        <v>74</v>
      </c>
      <c r="G1179">
        <v>16.260000000000002</v>
      </c>
      <c r="H1179">
        <v>16.23</v>
      </c>
      <c r="I1179" t="s">
        <v>92</v>
      </c>
      <c r="K1179">
        <f t="shared" si="36"/>
        <v>16.23</v>
      </c>
      <c r="L1179">
        <f t="shared" si="37"/>
        <v>16.260000000000002</v>
      </c>
      <c r="M1179" t="s">
        <v>143</v>
      </c>
      <c r="O1179" s="7">
        <v>44498</v>
      </c>
    </row>
    <row r="1180" spans="1:15" x14ac:dyDescent="0.15">
      <c r="A1180" t="s">
        <v>162</v>
      </c>
      <c r="B1180" t="s">
        <v>288</v>
      </c>
      <c r="D1180">
        <v>76</v>
      </c>
      <c r="E1180" t="s">
        <v>74</v>
      </c>
      <c r="G1180">
        <v>17.625</v>
      </c>
      <c r="H1180">
        <v>17.600000000000001</v>
      </c>
      <c r="I1180" t="s">
        <v>92</v>
      </c>
      <c r="K1180">
        <f t="shared" si="36"/>
        <v>17.600000000000001</v>
      </c>
      <c r="L1180">
        <f t="shared" si="37"/>
        <v>17.625</v>
      </c>
      <c r="M1180" t="s">
        <v>143</v>
      </c>
      <c r="O1180" s="7">
        <v>44498</v>
      </c>
    </row>
    <row r="1181" spans="1:15" x14ac:dyDescent="0.15">
      <c r="A1181" t="s">
        <v>162</v>
      </c>
      <c r="B1181" t="s">
        <v>288</v>
      </c>
      <c r="D1181">
        <v>76</v>
      </c>
      <c r="E1181" t="s">
        <v>74</v>
      </c>
      <c r="G1181">
        <v>17.625</v>
      </c>
      <c r="H1181">
        <v>17.600000000000001</v>
      </c>
      <c r="I1181" t="s">
        <v>90</v>
      </c>
      <c r="K1181">
        <f t="shared" si="36"/>
        <v>17.600000000000001</v>
      </c>
      <c r="L1181">
        <f t="shared" si="37"/>
        <v>17.625</v>
      </c>
      <c r="M1181" t="s">
        <v>143</v>
      </c>
      <c r="O1181" s="7">
        <v>44498</v>
      </c>
    </row>
    <row r="1182" spans="1:15" x14ac:dyDescent="0.15">
      <c r="A1182" t="s">
        <v>162</v>
      </c>
      <c r="B1182" t="s">
        <v>288</v>
      </c>
      <c r="D1182">
        <v>76</v>
      </c>
      <c r="E1182" t="s">
        <v>74</v>
      </c>
      <c r="G1182">
        <v>18</v>
      </c>
      <c r="H1182">
        <v>17.95</v>
      </c>
      <c r="I1182" t="s">
        <v>92</v>
      </c>
      <c r="K1182">
        <f t="shared" si="36"/>
        <v>17.95</v>
      </c>
      <c r="L1182">
        <f t="shared" si="37"/>
        <v>18</v>
      </c>
      <c r="M1182" t="s">
        <v>143</v>
      </c>
      <c r="O1182" s="7">
        <v>44498</v>
      </c>
    </row>
    <row r="1183" spans="1:15" x14ac:dyDescent="0.15">
      <c r="A1183" t="s">
        <v>162</v>
      </c>
      <c r="B1183" t="s">
        <v>288</v>
      </c>
      <c r="D1183">
        <v>76</v>
      </c>
      <c r="E1183" t="s">
        <v>74</v>
      </c>
      <c r="G1183">
        <v>18</v>
      </c>
      <c r="H1183">
        <v>17.95</v>
      </c>
      <c r="I1183" t="s">
        <v>90</v>
      </c>
      <c r="K1183">
        <f t="shared" si="36"/>
        <v>17.95</v>
      </c>
      <c r="L1183">
        <f t="shared" si="37"/>
        <v>18</v>
      </c>
      <c r="M1183" t="s">
        <v>143</v>
      </c>
      <c r="O1183" s="7">
        <v>44498</v>
      </c>
    </row>
    <row r="1184" spans="1:15" x14ac:dyDescent="0.15">
      <c r="A1184" t="s">
        <v>162</v>
      </c>
      <c r="B1184" t="s">
        <v>288</v>
      </c>
      <c r="D1184">
        <v>73</v>
      </c>
      <c r="E1184" t="s">
        <v>76</v>
      </c>
      <c r="F1184" t="s">
        <v>216</v>
      </c>
      <c r="G1184">
        <v>45.1</v>
      </c>
      <c r="H1184">
        <v>45.125</v>
      </c>
      <c r="I1184" t="s">
        <v>22</v>
      </c>
      <c r="K1184">
        <f t="shared" si="36"/>
        <v>45.1</v>
      </c>
      <c r="L1184">
        <f t="shared" si="37"/>
        <v>45.125</v>
      </c>
      <c r="M1184" t="s">
        <v>286</v>
      </c>
      <c r="O1184" s="7">
        <v>44501</v>
      </c>
    </row>
    <row r="1185" spans="1:15" x14ac:dyDescent="0.15">
      <c r="A1185" t="s">
        <v>162</v>
      </c>
      <c r="B1185" t="s">
        <v>288</v>
      </c>
      <c r="D1185">
        <v>73</v>
      </c>
      <c r="E1185" t="s">
        <v>75</v>
      </c>
      <c r="G1185">
        <v>46.8</v>
      </c>
      <c r="H1185">
        <v>46.9</v>
      </c>
      <c r="I1185" t="s">
        <v>96</v>
      </c>
      <c r="K1185">
        <f t="shared" si="36"/>
        <v>46.8</v>
      </c>
      <c r="L1185">
        <f t="shared" si="37"/>
        <v>46.9</v>
      </c>
      <c r="M1185" t="s">
        <v>286</v>
      </c>
      <c r="O1185" s="7">
        <v>44501</v>
      </c>
    </row>
    <row r="1186" spans="1:15" x14ac:dyDescent="0.15">
      <c r="A1186" t="s">
        <v>162</v>
      </c>
      <c r="B1186" t="s">
        <v>288</v>
      </c>
      <c r="D1186">
        <v>73</v>
      </c>
      <c r="E1186" t="s">
        <v>76</v>
      </c>
      <c r="F1186" t="s">
        <v>216</v>
      </c>
      <c r="G1186">
        <v>44.4</v>
      </c>
      <c r="H1186">
        <v>44.5</v>
      </c>
      <c r="I1186" t="s">
        <v>96</v>
      </c>
      <c r="K1186">
        <f t="shared" si="36"/>
        <v>44.4</v>
      </c>
      <c r="L1186">
        <f t="shared" si="37"/>
        <v>44.5</v>
      </c>
      <c r="M1186" t="s">
        <v>286</v>
      </c>
      <c r="O1186" s="7">
        <v>44501</v>
      </c>
    </row>
    <row r="1187" spans="1:15" x14ac:dyDescent="0.15">
      <c r="A1187" t="s">
        <v>162</v>
      </c>
      <c r="B1187" t="s">
        <v>288</v>
      </c>
      <c r="D1187">
        <v>2</v>
      </c>
      <c r="E1187" t="s">
        <v>74</v>
      </c>
      <c r="G1187">
        <v>268.76499999999999</v>
      </c>
      <c r="H1187">
        <v>268.72000000000003</v>
      </c>
      <c r="J1187" t="s">
        <v>23</v>
      </c>
      <c r="K1187">
        <f t="shared" si="36"/>
        <v>268.72000000000003</v>
      </c>
      <c r="L1187">
        <f t="shared" si="37"/>
        <v>268.76499999999999</v>
      </c>
      <c r="M1187" t="s">
        <v>143</v>
      </c>
      <c r="O1187" s="7">
        <v>44501</v>
      </c>
    </row>
    <row r="1188" spans="1:15" x14ac:dyDescent="0.15">
      <c r="A1188" t="s">
        <v>162</v>
      </c>
      <c r="B1188" t="s">
        <v>288</v>
      </c>
      <c r="D1188">
        <v>73</v>
      </c>
      <c r="E1188" t="s">
        <v>74</v>
      </c>
      <c r="G1188">
        <v>46.91</v>
      </c>
      <c r="H1188">
        <v>46.75</v>
      </c>
      <c r="I1188" t="s">
        <v>92</v>
      </c>
      <c r="K1188">
        <f t="shared" si="36"/>
        <v>46.75</v>
      </c>
      <c r="L1188">
        <f t="shared" si="37"/>
        <v>46.91</v>
      </c>
      <c r="M1188" t="s">
        <v>280</v>
      </c>
      <c r="O1188" s="7">
        <v>44502</v>
      </c>
    </row>
    <row r="1189" spans="1:15" x14ac:dyDescent="0.15">
      <c r="A1189" t="s">
        <v>162</v>
      </c>
      <c r="B1189" t="s">
        <v>288</v>
      </c>
      <c r="D1189">
        <v>73</v>
      </c>
      <c r="E1189" t="s">
        <v>74</v>
      </c>
      <c r="G1189">
        <v>46.91</v>
      </c>
      <c r="H1189">
        <v>46.75</v>
      </c>
      <c r="I1189" t="s">
        <v>92</v>
      </c>
      <c r="K1189">
        <f t="shared" si="36"/>
        <v>46.75</v>
      </c>
      <c r="L1189">
        <f t="shared" si="37"/>
        <v>46.91</v>
      </c>
      <c r="M1189" t="s">
        <v>143</v>
      </c>
      <c r="O1189" s="7">
        <v>44502</v>
      </c>
    </row>
    <row r="1190" spans="1:15" x14ac:dyDescent="0.15">
      <c r="A1190" t="s">
        <v>162</v>
      </c>
      <c r="B1190" t="s">
        <v>288</v>
      </c>
      <c r="D1190">
        <v>73</v>
      </c>
      <c r="E1190" t="s">
        <v>74</v>
      </c>
      <c r="G1190">
        <v>46.52</v>
      </c>
      <c r="H1190">
        <v>46.494999999999997</v>
      </c>
      <c r="I1190" t="s">
        <v>92</v>
      </c>
      <c r="K1190">
        <f t="shared" si="36"/>
        <v>46.494999999999997</v>
      </c>
      <c r="L1190">
        <f t="shared" si="37"/>
        <v>46.52</v>
      </c>
      <c r="M1190" t="s">
        <v>280</v>
      </c>
      <c r="O1190" s="7">
        <v>44502</v>
      </c>
    </row>
    <row r="1191" spans="1:15" x14ac:dyDescent="0.15">
      <c r="A1191" t="s">
        <v>162</v>
      </c>
      <c r="B1191" t="s">
        <v>288</v>
      </c>
      <c r="D1191">
        <v>73</v>
      </c>
      <c r="E1191" t="s">
        <v>74</v>
      </c>
      <c r="G1191">
        <v>46.52</v>
      </c>
      <c r="H1191">
        <v>46.494999999999997</v>
      </c>
      <c r="I1191" t="s">
        <v>92</v>
      </c>
      <c r="K1191">
        <f t="shared" si="36"/>
        <v>46.494999999999997</v>
      </c>
      <c r="L1191">
        <f t="shared" si="37"/>
        <v>46.52</v>
      </c>
      <c r="M1191" t="s">
        <v>143</v>
      </c>
      <c r="O1191" s="7">
        <v>44502</v>
      </c>
    </row>
    <row r="1192" spans="1:15" x14ac:dyDescent="0.15">
      <c r="A1192" t="s">
        <v>162</v>
      </c>
      <c r="B1192" t="s">
        <v>288</v>
      </c>
      <c r="D1192">
        <v>73</v>
      </c>
      <c r="E1192" t="s">
        <v>74</v>
      </c>
      <c r="G1192">
        <v>46.52</v>
      </c>
      <c r="H1192">
        <v>46.494999999999997</v>
      </c>
      <c r="I1192" t="s">
        <v>90</v>
      </c>
      <c r="K1192">
        <f t="shared" si="36"/>
        <v>46.494999999999997</v>
      </c>
      <c r="L1192">
        <f t="shared" si="37"/>
        <v>46.52</v>
      </c>
      <c r="M1192" t="s">
        <v>143</v>
      </c>
      <c r="O1192" s="7">
        <v>44502</v>
      </c>
    </row>
    <row r="1193" spans="1:15" x14ac:dyDescent="0.15">
      <c r="A1193" t="s">
        <v>162</v>
      </c>
      <c r="B1193" t="s">
        <v>288</v>
      </c>
      <c r="D1193">
        <v>73</v>
      </c>
      <c r="E1193" t="s">
        <v>74</v>
      </c>
      <c r="G1193">
        <v>46.35</v>
      </c>
      <c r="H1193">
        <v>46</v>
      </c>
      <c r="I1193" t="s">
        <v>92</v>
      </c>
      <c r="K1193">
        <f t="shared" si="36"/>
        <v>46</v>
      </c>
      <c r="L1193">
        <f t="shared" si="37"/>
        <v>46.35</v>
      </c>
      <c r="M1193" t="s">
        <v>286</v>
      </c>
      <c r="O1193" s="7">
        <v>44502</v>
      </c>
    </row>
    <row r="1194" spans="1:15" x14ac:dyDescent="0.15">
      <c r="A1194" t="s">
        <v>162</v>
      </c>
      <c r="B1194" t="s">
        <v>288</v>
      </c>
      <c r="D1194">
        <v>2</v>
      </c>
      <c r="E1194" t="s">
        <v>74</v>
      </c>
      <c r="G1194">
        <v>237.82499999999999</v>
      </c>
      <c r="H1194">
        <v>237.8</v>
      </c>
      <c r="I1194" t="s">
        <v>292</v>
      </c>
      <c r="K1194">
        <f t="shared" si="36"/>
        <v>237.8</v>
      </c>
      <c r="L1194">
        <f t="shared" si="37"/>
        <v>237.82499999999999</v>
      </c>
      <c r="M1194" t="s">
        <v>143</v>
      </c>
      <c r="O1194" s="7">
        <v>44503</v>
      </c>
    </row>
    <row r="1195" spans="1:15" x14ac:dyDescent="0.15">
      <c r="A1195" t="s">
        <v>162</v>
      </c>
      <c r="B1195" t="s">
        <v>288</v>
      </c>
      <c r="D1195">
        <v>2</v>
      </c>
      <c r="E1195" t="s">
        <v>74</v>
      </c>
      <c r="G1195">
        <v>234.375</v>
      </c>
      <c r="H1195">
        <v>234.35</v>
      </c>
      <c r="I1195" t="s">
        <v>292</v>
      </c>
      <c r="K1195">
        <f t="shared" si="36"/>
        <v>234.35</v>
      </c>
      <c r="L1195">
        <f t="shared" si="37"/>
        <v>234.375</v>
      </c>
      <c r="M1195" s="41" t="s">
        <v>27</v>
      </c>
      <c r="O1195" s="7">
        <v>44503</v>
      </c>
    </row>
    <row r="1196" spans="1:15" x14ac:dyDescent="0.15">
      <c r="A1196" t="s">
        <v>162</v>
      </c>
      <c r="B1196" t="s">
        <v>288</v>
      </c>
      <c r="D1196">
        <v>2</v>
      </c>
      <c r="E1196" t="s">
        <v>74</v>
      </c>
      <c r="G1196">
        <v>234.1</v>
      </c>
      <c r="H1196">
        <v>234</v>
      </c>
      <c r="I1196" t="s">
        <v>292</v>
      </c>
      <c r="K1196">
        <f t="shared" si="36"/>
        <v>234</v>
      </c>
      <c r="L1196">
        <f t="shared" si="37"/>
        <v>234.1</v>
      </c>
      <c r="M1196" s="41" t="s">
        <v>27</v>
      </c>
      <c r="O1196" s="7">
        <v>44503</v>
      </c>
    </row>
    <row r="1197" spans="1:15" x14ac:dyDescent="0.15">
      <c r="A1197" t="s">
        <v>162</v>
      </c>
      <c r="B1197" t="s">
        <v>288</v>
      </c>
      <c r="D1197">
        <v>2</v>
      </c>
      <c r="E1197" t="s">
        <v>75</v>
      </c>
      <c r="G1197">
        <v>191.2</v>
      </c>
      <c r="H1197">
        <v>191.3</v>
      </c>
      <c r="I1197" t="s">
        <v>96</v>
      </c>
      <c r="K1197">
        <f t="shared" si="36"/>
        <v>191.2</v>
      </c>
      <c r="L1197">
        <f t="shared" si="37"/>
        <v>191.3</v>
      </c>
      <c r="M1197" t="s">
        <v>286</v>
      </c>
      <c r="O1197" s="7">
        <v>44505</v>
      </c>
    </row>
    <row r="1198" spans="1:15" x14ac:dyDescent="0.15">
      <c r="A1198" t="s">
        <v>162</v>
      </c>
      <c r="B1198" t="s">
        <v>288</v>
      </c>
      <c r="D1198">
        <v>2</v>
      </c>
      <c r="E1198" t="s">
        <v>75</v>
      </c>
      <c r="G1198">
        <v>191.9</v>
      </c>
      <c r="H1198">
        <v>192</v>
      </c>
      <c r="I1198" t="s">
        <v>96</v>
      </c>
      <c r="K1198">
        <f t="shared" si="36"/>
        <v>191.9</v>
      </c>
      <c r="L1198">
        <f t="shared" si="37"/>
        <v>192</v>
      </c>
      <c r="M1198" t="s">
        <v>286</v>
      </c>
      <c r="O1198" s="7">
        <v>44505</v>
      </c>
    </row>
    <row r="1199" spans="1:15" x14ac:dyDescent="0.15">
      <c r="A1199" t="s">
        <v>162</v>
      </c>
      <c r="B1199" t="s">
        <v>288</v>
      </c>
      <c r="D1199">
        <v>2</v>
      </c>
      <c r="E1199" t="s">
        <v>75</v>
      </c>
      <c r="G1199">
        <v>191.9</v>
      </c>
      <c r="H1199">
        <v>192</v>
      </c>
      <c r="I1199" t="s">
        <v>94</v>
      </c>
      <c r="K1199">
        <f t="shared" si="36"/>
        <v>191.9</v>
      </c>
      <c r="L1199">
        <f t="shared" si="37"/>
        <v>192</v>
      </c>
      <c r="M1199" t="s">
        <v>143</v>
      </c>
      <c r="O1199" s="7">
        <v>44505</v>
      </c>
    </row>
    <row r="1200" spans="1:15" x14ac:dyDescent="0.15">
      <c r="A1200" t="s">
        <v>162</v>
      </c>
      <c r="B1200" t="s">
        <v>288</v>
      </c>
      <c r="D1200">
        <v>2</v>
      </c>
      <c r="E1200" t="s">
        <v>75</v>
      </c>
      <c r="G1200">
        <v>201.5</v>
      </c>
      <c r="H1200">
        <v>202.6</v>
      </c>
      <c r="I1200" t="s">
        <v>94</v>
      </c>
      <c r="K1200">
        <f t="shared" si="36"/>
        <v>201.5</v>
      </c>
      <c r="L1200">
        <f t="shared" si="37"/>
        <v>202.6</v>
      </c>
      <c r="M1200" t="s">
        <v>286</v>
      </c>
      <c r="O1200" s="7">
        <v>44505</v>
      </c>
    </row>
    <row r="1201" spans="1:15" x14ac:dyDescent="0.15">
      <c r="A1201" t="s">
        <v>162</v>
      </c>
      <c r="B1201" t="s">
        <v>288</v>
      </c>
      <c r="D1201">
        <v>2</v>
      </c>
      <c r="E1201" t="s">
        <v>75</v>
      </c>
      <c r="G1201">
        <v>202.6</v>
      </c>
      <c r="H1201">
        <v>203.1</v>
      </c>
      <c r="I1201" t="s">
        <v>94</v>
      </c>
      <c r="K1201">
        <f t="shared" si="36"/>
        <v>202.6</v>
      </c>
      <c r="L1201">
        <f t="shared" si="37"/>
        <v>203.1</v>
      </c>
      <c r="M1201" t="s">
        <v>143</v>
      </c>
      <c r="O1201" s="7">
        <v>44505</v>
      </c>
    </row>
    <row r="1202" spans="1:15" x14ac:dyDescent="0.15">
      <c r="A1202" t="s">
        <v>162</v>
      </c>
      <c r="B1202" t="s">
        <v>288</v>
      </c>
      <c r="D1202">
        <v>2</v>
      </c>
      <c r="E1202" t="s">
        <v>75</v>
      </c>
      <c r="G1202">
        <v>203.6</v>
      </c>
      <c r="H1202">
        <v>204.1</v>
      </c>
      <c r="I1202" t="s">
        <v>94</v>
      </c>
      <c r="K1202">
        <f t="shared" si="36"/>
        <v>203.6</v>
      </c>
      <c r="L1202">
        <f t="shared" si="37"/>
        <v>204.1</v>
      </c>
      <c r="M1202" t="s">
        <v>301</v>
      </c>
      <c r="O1202" s="7">
        <v>44505</v>
      </c>
    </row>
    <row r="1203" spans="1:15" x14ac:dyDescent="0.15">
      <c r="A1203" t="s">
        <v>162</v>
      </c>
      <c r="B1203" t="s">
        <v>288</v>
      </c>
      <c r="D1203">
        <v>2</v>
      </c>
      <c r="E1203" t="s">
        <v>75</v>
      </c>
      <c r="G1203">
        <v>204.1</v>
      </c>
      <c r="H1203">
        <v>204.5</v>
      </c>
      <c r="I1203" t="s">
        <v>94</v>
      </c>
      <c r="K1203">
        <f t="shared" si="36"/>
        <v>204.1</v>
      </c>
      <c r="L1203">
        <f t="shared" si="37"/>
        <v>204.5</v>
      </c>
      <c r="M1203" t="s">
        <v>301</v>
      </c>
      <c r="O1203" s="7">
        <v>44505</v>
      </c>
    </row>
    <row r="1204" spans="1:15" x14ac:dyDescent="0.15">
      <c r="A1204" t="s">
        <v>162</v>
      </c>
      <c r="B1204" t="s">
        <v>288</v>
      </c>
      <c r="D1204">
        <v>2</v>
      </c>
      <c r="E1204" t="s">
        <v>75</v>
      </c>
      <c r="G1204">
        <v>204.5</v>
      </c>
      <c r="H1204">
        <v>205</v>
      </c>
      <c r="I1204" t="s">
        <v>94</v>
      </c>
      <c r="K1204">
        <f t="shared" si="36"/>
        <v>204.5</v>
      </c>
      <c r="L1204">
        <f t="shared" si="37"/>
        <v>205</v>
      </c>
      <c r="M1204" t="s">
        <v>301</v>
      </c>
      <c r="O1204" s="7">
        <v>44505</v>
      </c>
    </row>
    <row r="1205" spans="1:15" x14ac:dyDescent="0.15">
      <c r="A1205" t="s">
        <v>162</v>
      </c>
      <c r="B1205" t="s">
        <v>288</v>
      </c>
      <c r="D1205">
        <v>2</v>
      </c>
      <c r="E1205" t="s">
        <v>75</v>
      </c>
      <c r="G1205">
        <v>205</v>
      </c>
      <c r="H1205">
        <v>205.9</v>
      </c>
      <c r="I1205" t="s">
        <v>94</v>
      </c>
      <c r="K1205">
        <f t="shared" si="36"/>
        <v>205</v>
      </c>
      <c r="L1205">
        <f t="shared" si="37"/>
        <v>205.9</v>
      </c>
      <c r="M1205" t="s">
        <v>286</v>
      </c>
      <c r="O1205" s="7">
        <v>44505</v>
      </c>
    </row>
    <row r="1206" spans="1:15" x14ac:dyDescent="0.15">
      <c r="A1206" t="s">
        <v>162</v>
      </c>
      <c r="B1206" t="s">
        <v>288</v>
      </c>
      <c r="D1206">
        <v>2</v>
      </c>
      <c r="E1206" t="s">
        <v>75</v>
      </c>
      <c r="G1206">
        <v>205.9</v>
      </c>
      <c r="H1206">
        <v>206.4</v>
      </c>
      <c r="I1206" t="s">
        <v>94</v>
      </c>
      <c r="K1206">
        <f t="shared" si="36"/>
        <v>205.9</v>
      </c>
      <c r="L1206">
        <f t="shared" si="37"/>
        <v>206.4</v>
      </c>
      <c r="M1206" t="s">
        <v>286</v>
      </c>
      <c r="O1206" s="7">
        <v>44505</v>
      </c>
    </row>
    <row r="1207" spans="1:15" x14ac:dyDescent="0.15">
      <c r="A1207" t="s">
        <v>162</v>
      </c>
      <c r="B1207" t="s">
        <v>288</v>
      </c>
      <c r="D1207">
        <v>2</v>
      </c>
      <c r="E1207" t="s">
        <v>75</v>
      </c>
      <c r="G1207">
        <v>206.4</v>
      </c>
      <c r="H1207">
        <v>206.5</v>
      </c>
      <c r="I1207" t="s">
        <v>94</v>
      </c>
      <c r="K1207">
        <f t="shared" si="36"/>
        <v>206.4</v>
      </c>
      <c r="L1207">
        <f t="shared" si="37"/>
        <v>206.5</v>
      </c>
      <c r="M1207" t="s">
        <v>301</v>
      </c>
      <c r="O1207" s="7">
        <v>44505</v>
      </c>
    </row>
    <row r="1208" spans="1:15" x14ac:dyDescent="0.15">
      <c r="A1208" t="s">
        <v>162</v>
      </c>
      <c r="B1208" t="s">
        <v>288</v>
      </c>
      <c r="D1208">
        <v>2</v>
      </c>
      <c r="E1208" t="s">
        <v>75</v>
      </c>
      <c r="G1208">
        <v>211.7</v>
      </c>
      <c r="H1208">
        <v>212</v>
      </c>
      <c r="I1208" t="s">
        <v>94</v>
      </c>
      <c r="K1208">
        <f t="shared" si="36"/>
        <v>211.7</v>
      </c>
      <c r="L1208">
        <f t="shared" si="37"/>
        <v>212</v>
      </c>
      <c r="M1208" t="s">
        <v>143</v>
      </c>
      <c r="O1208" s="7">
        <v>44505</v>
      </c>
    </row>
    <row r="1209" spans="1:15" x14ac:dyDescent="0.15">
      <c r="A1209" t="s">
        <v>162</v>
      </c>
      <c r="B1209" t="s">
        <v>288</v>
      </c>
      <c r="D1209">
        <v>2</v>
      </c>
      <c r="E1209" t="s">
        <v>75</v>
      </c>
      <c r="G1209">
        <v>189.41</v>
      </c>
      <c r="H1209">
        <v>189.43</v>
      </c>
      <c r="I1209" t="s">
        <v>94</v>
      </c>
      <c r="K1209">
        <f t="shared" si="36"/>
        <v>189.41</v>
      </c>
      <c r="L1209">
        <f t="shared" si="37"/>
        <v>189.43</v>
      </c>
      <c r="M1209" t="s">
        <v>143</v>
      </c>
      <c r="O1209" s="7">
        <v>44505</v>
      </c>
    </row>
    <row r="1210" spans="1:15" x14ac:dyDescent="0.15">
      <c r="A1210" t="s">
        <v>162</v>
      </c>
      <c r="B1210" t="s">
        <v>288</v>
      </c>
      <c r="D1210">
        <v>2</v>
      </c>
      <c r="E1210" t="s">
        <v>75</v>
      </c>
      <c r="G1210">
        <v>189.41</v>
      </c>
      <c r="H1210">
        <v>189.43</v>
      </c>
      <c r="I1210" t="s">
        <v>97</v>
      </c>
      <c r="K1210">
        <f t="shared" si="36"/>
        <v>189.41</v>
      </c>
      <c r="L1210">
        <f t="shared" si="37"/>
        <v>189.43</v>
      </c>
      <c r="M1210" t="s">
        <v>143</v>
      </c>
      <c r="O1210" s="7">
        <v>44505</v>
      </c>
    </row>
    <row r="1211" spans="1:15" x14ac:dyDescent="0.15">
      <c r="A1211" t="s">
        <v>162</v>
      </c>
      <c r="B1211" t="s">
        <v>288</v>
      </c>
      <c r="D1211">
        <v>2</v>
      </c>
      <c r="E1211" t="s">
        <v>75</v>
      </c>
      <c r="G1211">
        <v>193.25</v>
      </c>
      <c r="H1211">
        <v>193.31</v>
      </c>
      <c r="J1211" t="s">
        <v>23</v>
      </c>
      <c r="K1211">
        <f t="shared" si="36"/>
        <v>193.25</v>
      </c>
      <c r="L1211">
        <f t="shared" si="37"/>
        <v>193.31</v>
      </c>
      <c r="M1211" t="s">
        <v>143</v>
      </c>
      <c r="O1211" s="7">
        <v>44505</v>
      </c>
    </row>
    <row r="1212" spans="1:15" x14ac:dyDescent="0.15">
      <c r="A1212" t="s">
        <v>162</v>
      </c>
      <c r="B1212" t="s">
        <v>288</v>
      </c>
      <c r="D1212">
        <v>2</v>
      </c>
      <c r="E1212" t="s">
        <v>75</v>
      </c>
      <c r="G1212">
        <v>206.18</v>
      </c>
      <c r="H1212">
        <v>206.5</v>
      </c>
      <c r="I1212" t="s">
        <v>22</v>
      </c>
      <c r="K1212">
        <f t="shared" si="36"/>
        <v>206.18</v>
      </c>
      <c r="L1212">
        <f t="shared" si="37"/>
        <v>206.5</v>
      </c>
      <c r="M1212" t="s">
        <v>143</v>
      </c>
      <c r="O1212" s="7">
        <v>44505</v>
      </c>
    </row>
    <row r="1213" spans="1:15" x14ac:dyDescent="0.15">
      <c r="A1213" t="s">
        <v>162</v>
      </c>
      <c r="B1213" t="s">
        <v>288</v>
      </c>
      <c r="D1213">
        <v>2</v>
      </c>
      <c r="E1213" t="s">
        <v>75</v>
      </c>
      <c r="G1213">
        <v>201.1</v>
      </c>
      <c r="H1213">
        <v>208.3</v>
      </c>
      <c r="I1213" t="s">
        <v>22</v>
      </c>
      <c r="K1213">
        <f t="shared" si="36"/>
        <v>201.1</v>
      </c>
      <c r="L1213">
        <f t="shared" si="37"/>
        <v>208.3</v>
      </c>
      <c r="M1213" t="s">
        <v>143</v>
      </c>
      <c r="O1213" s="7">
        <v>44505</v>
      </c>
    </row>
    <row r="1214" spans="1:15" x14ac:dyDescent="0.15">
      <c r="A1214" t="s">
        <v>162</v>
      </c>
      <c r="B1214" t="s">
        <v>288</v>
      </c>
      <c r="D1214">
        <v>2</v>
      </c>
      <c r="E1214" t="s">
        <v>75</v>
      </c>
      <c r="G1214">
        <v>209.07499999999999</v>
      </c>
      <c r="H1214">
        <v>209.1</v>
      </c>
      <c r="I1214" t="s">
        <v>96</v>
      </c>
      <c r="K1214">
        <f t="shared" si="36"/>
        <v>209.07499999999999</v>
      </c>
      <c r="L1214">
        <f t="shared" si="37"/>
        <v>209.1</v>
      </c>
      <c r="M1214" t="s">
        <v>143</v>
      </c>
      <c r="O1214" s="7">
        <v>44505</v>
      </c>
    </row>
    <row r="1215" spans="1:15" x14ac:dyDescent="0.15">
      <c r="A1215" t="s">
        <v>162</v>
      </c>
      <c r="B1215" t="s">
        <v>288</v>
      </c>
      <c r="D1215">
        <v>2</v>
      </c>
      <c r="E1215" t="s">
        <v>75</v>
      </c>
      <c r="G1215">
        <v>209.85</v>
      </c>
      <c r="H1215">
        <v>209.875</v>
      </c>
      <c r="I1215" t="s">
        <v>94</v>
      </c>
      <c r="K1215">
        <f t="shared" si="36"/>
        <v>209.85</v>
      </c>
      <c r="L1215">
        <f t="shared" si="37"/>
        <v>209.875</v>
      </c>
      <c r="M1215" t="s">
        <v>143</v>
      </c>
      <c r="O1215" s="7">
        <v>44505</v>
      </c>
    </row>
    <row r="1216" spans="1:15" x14ac:dyDescent="0.15">
      <c r="A1216" t="s">
        <v>162</v>
      </c>
      <c r="B1216" t="s">
        <v>288</v>
      </c>
      <c r="D1216">
        <v>2</v>
      </c>
      <c r="E1216" t="s">
        <v>75</v>
      </c>
      <c r="G1216">
        <v>209.85</v>
      </c>
      <c r="H1216">
        <v>209.875</v>
      </c>
      <c r="I1216" t="s">
        <v>97</v>
      </c>
      <c r="K1216">
        <f t="shared" si="36"/>
        <v>209.85</v>
      </c>
      <c r="L1216">
        <f t="shared" si="37"/>
        <v>209.875</v>
      </c>
      <c r="M1216" t="s">
        <v>143</v>
      </c>
      <c r="O1216" s="7">
        <v>44505</v>
      </c>
    </row>
    <row r="1217" spans="1:15" x14ac:dyDescent="0.15">
      <c r="A1217" t="s">
        <v>162</v>
      </c>
      <c r="B1217" t="s">
        <v>288</v>
      </c>
      <c r="D1217">
        <v>73</v>
      </c>
      <c r="E1217" t="s">
        <v>75</v>
      </c>
      <c r="G1217">
        <v>67.835999999999999</v>
      </c>
      <c r="H1217">
        <v>67.873000000000005</v>
      </c>
      <c r="J1217" t="s">
        <v>23</v>
      </c>
      <c r="K1217">
        <f t="shared" ref="K1217:K1280" si="38">MIN(G1217:H1217)</f>
        <v>67.835999999999999</v>
      </c>
      <c r="L1217">
        <f t="shared" ref="L1217:L1280" si="39">MAX(G1217:H1217)</f>
        <v>67.873000000000005</v>
      </c>
      <c r="M1217" t="s">
        <v>143</v>
      </c>
      <c r="O1217" s="7">
        <v>44508</v>
      </c>
    </row>
    <row r="1218" spans="1:15" x14ac:dyDescent="0.15">
      <c r="A1218" t="s">
        <v>162</v>
      </c>
      <c r="B1218" t="s">
        <v>288</v>
      </c>
      <c r="D1218">
        <v>2</v>
      </c>
      <c r="E1218" t="s">
        <v>74</v>
      </c>
      <c r="G1218">
        <v>247.6</v>
      </c>
      <c r="H1218">
        <v>247.3</v>
      </c>
      <c r="I1218" t="s">
        <v>91</v>
      </c>
      <c r="K1218">
        <f t="shared" si="38"/>
        <v>247.3</v>
      </c>
      <c r="L1218">
        <f t="shared" si="39"/>
        <v>247.6</v>
      </c>
      <c r="M1218" t="s">
        <v>143</v>
      </c>
      <c r="O1218" s="7">
        <v>44512</v>
      </c>
    </row>
    <row r="1219" spans="1:15" x14ac:dyDescent="0.15">
      <c r="A1219" t="s">
        <v>162</v>
      </c>
      <c r="B1219" t="s">
        <v>288</v>
      </c>
      <c r="D1219">
        <v>2</v>
      </c>
      <c r="E1219" t="s">
        <v>74</v>
      </c>
      <c r="G1219">
        <v>247</v>
      </c>
      <c r="H1219">
        <v>246.8</v>
      </c>
      <c r="I1219" t="s">
        <v>91</v>
      </c>
      <c r="K1219">
        <f t="shared" si="38"/>
        <v>246.8</v>
      </c>
      <c r="L1219">
        <f t="shared" si="39"/>
        <v>247</v>
      </c>
      <c r="M1219" t="s">
        <v>143</v>
      </c>
      <c r="O1219" s="7">
        <v>44512</v>
      </c>
    </row>
    <row r="1220" spans="1:15" x14ac:dyDescent="0.15">
      <c r="A1220" t="s">
        <v>162</v>
      </c>
      <c r="B1220" t="s">
        <v>288</v>
      </c>
      <c r="D1220">
        <v>2</v>
      </c>
      <c r="E1220" t="s">
        <v>74</v>
      </c>
      <c r="G1220">
        <v>246.2</v>
      </c>
      <c r="H1220">
        <v>246.17500000000001</v>
      </c>
      <c r="I1220" t="s">
        <v>92</v>
      </c>
      <c r="K1220">
        <f t="shared" si="38"/>
        <v>246.17500000000001</v>
      </c>
      <c r="L1220">
        <f t="shared" si="39"/>
        <v>246.2</v>
      </c>
      <c r="M1220" t="s">
        <v>143</v>
      </c>
      <c r="O1220" s="7">
        <v>44512</v>
      </c>
    </row>
    <row r="1221" spans="1:15" x14ac:dyDescent="0.15">
      <c r="A1221" t="s">
        <v>162</v>
      </c>
      <c r="B1221" t="s">
        <v>288</v>
      </c>
      <c r="D1221">
        <v>2</v>
      </c>
      <c r="E1221" t="s">
        <v>76</v>
      </c>
      <c r="F1221" t="s">
        <v>77</v>
      </c>
      <c r="G1221">
        <v>246.2</v>
      </c>
      <c r="H1221">
        <v>246.15</v>
      </c>
      <c r="I1221" t="s">
        <v>91</v>
      </c>
      <c r="K1221">
        <f t="shared" si="38"/>
        <v>246.15</v>
      </c>
      <c r="L1221">
        <f t="shared" si="39"/>
        <v>246.2</v>
      </c>
      <c r="M1221" t="s">
        <v>100</v>
      </c>
      <c r="O1221" s="7">
        <v>44512</v>
      </c>
    </row>
    <row r="1222" spans="1:15" x14ac:dyDescent="0.15">
      <c r="A1222" t="s">
        <v>162</v>
      </c>
      <c r="B1222" t="s">
        <v>288</v>
      </c>
      <c r="D1222">
        <v>2</v>
      </c>
      <c r="E1222" t="s">
        <v>74</v>
      </c>
      <c r="G1222">
        <v>245.79</v>
      </c>
      <c r="H1222">
        <v>245.76</v>
      </c>
      <c r="I1222" t="s">
        <v>92</v>
      </c>
      <c r="K1222">
        <f t="shared" si="38"/>
        <v>245.76</v>
      </c>
      <c r="L1222">
        <f t="shared" si="39"/>
        <v>245.79</v>
      </c>
      <c r="M1222" t="s">
        <v>143</v>
      </c>
      <c r="O1222" s="7">
        <v>44512</v>
      </c>
    </row>
    <row r="1223" spans="1:15" x14ac:dyDescent="0.15">
      <c r="A1223" t="s">
        <v>162</v>
      </c>
      <c r="B1223" t="s">
        <v>288</v>
      </c>
      <c r="D1223">
        <v>2</v>
      </c>
      <c r="E1223" t="s">
        <v>74</v>
      </c>
      <c r="G1223">
        <v>245.76</v>
      </c>
      <c r="H1223">
        <v>245.73500000000001</v>
      </c>
      <c r="I1223" t="s">
        <v>91</v>
      </c>
      <c r="K1223">
        <f t="shared" si="38"/>
        <v>245.73500000000001</v>
      </c>
      <c r="L1223">
        <f t="shared" si="39"/>
        <v>245.76</v>
      </c>
      <c r="M1223" t="s">
        <v>143</v>
      </c>
      <c r="O1223" s="7">
        <v>44512</v>
      </c>
    </row>
    <row r="1224" spans="1:15" x14ac:dyDescent="0.15">
      <c r="A1224" t="s">
        <v>162</v>
      </c>
      <c r="B1224" t="s">
        <v>288</v>
      </c>
      <c r="D1224">
        <v>2</v>
      </c>
      <c r="E1224" t="s">
        <v>74</v>
      </c>
      <c r="G1224">
        <v>245.45</v>
      </c>
      <c r="H1224">
        <v>245.4</v>
      </c>
      <c r="I1224" t="s">
        <v>92</v>
      </c>
      <c r="K1224">
        <f t="shared" si="38"/>
        <v>245.4</v>
      </c>
      <c r="L1224">
        <f t="shared" si="39"/>
        <v>245.45</v>
      </c>
      <c r="M1224" t="s">
        <v>143</v>
      </c>
      <c r="O1224" s="7">
        <v>44512</v>
      </c>
    </row>
    <row r="1225" spans="1:15" x14ac:dyDescent="0.15">
      <c r="A1225" t="s">
        <v>162</v>
      </c>
      <c r="B1225" t="s">
        <v>288</v>
      </c>
      <c r="D1225">
        <v>2</v>
      </c>
      <c r="E1225" t="s">
        <v>74</v>
      </c>
      <c r="G1225">
        <v>245.45</v>
      </c>
      <c r="H1225">
        <v>245.4</v>
      </c>
      <c r="I1225" t="s">
        <v>90</v>
      </c>
      <c r="K1225">
        <f t="shared" si="38"/>
        <v>245.4</v>
      </c>
      <c r="L1225">
        <f t="shared" si="39"/>
        <v>245.45</v>
      </c>
      <c r="M1225" t="s">
        <v>143</v>
      </c>
      <c r="O1225" s="7">
        <v>44512</v>
      </c>
    </row>
    <row r="1226" spans="1:15" x14ac:dyDescent="0.15">
      <c r="A1226" t="s">
        <v>162</v>
      </c>
      <c r="B1226" t="s">
        <v>288</v>
      </c>
      <c r="D1226">
        <v>2</v>
      </c>
      <c r="E1226" t="s">
        <v>74</v>
      </c>
      <c r="G1226">
        <v>242.02500000000001</v>
      </c>
      <c r="H1226">
        <v>241.52</v>
      </c>
      <c r="I1226" t="s">
        <v>92</v>
      </c>
      <c r="K1226">
        <f t="shared" si="38"/>
        <v>241.52</v>
      </c>
      <c r="L1226">
        <f t="shared" si="39"/>
        <v>242.02500000000001</v>
      </c>
      <c r="M1226" t="s">
        <v>143</v>
      </c>
      <c r="O1226" s="7">
        <v>44512</v>
      </c>
    </row>
    <row r="1227" spans="1:15" x14ac:dyDescent="0.15">
      <c r="A1227" t="s">
        <v>162</v>
      </c>
      <c r="B1227" t="s">
        <v>288</v>
      </c>
      <c r="D1227">
        <v>2</v>
      </c>
      <c r="E1227" t="s">
        <v>74</v>
      </c>
      <c r="G1227">
        <v>244.23500000000001</v>
      </c>
      <c r="H1227">
        <v>244.18</v>
      </c>
      <c r="J1227" t="s">
        <v>23</v>
      </c>
      <c r="K1227">
        <f t="shared" si="38"/>
        <v>244.18</v>
      </c>
      <c r="L1227">
        <f t="shared" si="39"/>
        <v>244.23500000000001</v>
      </c>
      <c r="M1227" t="s">
        <v>297</v>
      </c>
      <c r="O1227" s="7">
        <v>44512</v>
      </c>
    </row>
    <row r="1228" spans="1:15" x14ac:dyDescent="0.15">
      <c r="A1228" t="s">
        <v>162</v>
      </c>
      <c r="B1228" t="s">
        <v>288</v>
      </c>
      <c r="D1228">
        <v>2</v>
      </c>
      <c r="E1228" t="s">
        <v>74</v>
      </c>
      <c r="G1228">
        <v>244.26</v>
      </c>
      <c r="H1228">
        <v>244.16</v>
      </c>
      <c r="J1228" t="s">
        <v>23</v>
      </c>
      <c r="K1228">
        <f t="shared" si="38"/>
        <v>244.16</v>
      </c>
      <c r="L1228">
        <f t="shared" si="39"/>
        <v>244.26</v>
      </c>
      <c r="M1228" t="s">
        <v>143</v>
      </c>
      <c r="O1228" s="7">
        <v>44512</v>
      </c>
    </row>
    <row r="1229" spans="1:15" x14ac:dyDescent="0.15">
      <c r="A1229" t="s">
        <v>162</v>
      </c>
      <c r="B1229" t="s">
        <v>288</v>
      </c>
      <c r="D1229">
        <v>2</v>
      </c>
      <c r="E1229" t="s">
        <v>74</v>
      </c>
      <c r="G1229">
        <v>240.66</v>
      </c>
      <c r="H1229">
        <v>240.61</v>
      </c>
      <c r="I1229" t="s">
        <v>92</v>
      </c>
      <c r="K1229">
        <f t="shared" si="38"/>
        <v>240.61</v>
      </c>
      <c r="L1229">
        <f t="shared" si="39"/>
        <v>240.66</v>
      </c>
      <c r="M1229" t="s">
        <v>143</v>
      </c>
      <c r="O1229" s="7">
        <v>44512</v>
      </c>
    </row>
    <row r="1230" spans="1:15" x14ac:dyDescent="0.15">
      <c r="A1230" t="s">
        <v>162</v>
      </c>
      <c r="B1230" t="s">
        <v>288</v>
      </c>
      <c r="D1230">
        <v>2</v>
      </c>
      <c r="E1230" t="s">
        <v>74</v>
      </c>
      <c r="G1230">
        <v>251.7</v>
      </c>
      <c r="H1230">
        <v>251.45</v>
      </c>
      <c r="I1230" t="s">
        <v>93</v>
      </c>
      <c r="K1230">
        <f t="shared" si="38"/>
        <v>251.45</v>
      </c>
      <c r="L1230">
        <f t="shared" si="39"/>
        <v>251.7</v>
      </c>
      <c r="M1230" t="s">
        <v>143</v>
      </c>
      <c r="O1230" s="7">
        <v>44512</v>
      </c>
    </row>
    <row r="1231" spans="1:15" x14ac:dyDescent="0.15">
      <c r="A1231" t="s">
        <v>162</v>
      </c>
      <c r="B1231" t="s">
        <v>288</v>
      </c>
      <c r="D1231">
        <v>2</v>
      </c>
      <c r="E1231" t="s">
        <v>74</v>
      </c>
      <c r="G1231">
        <v>250.73</v>
      </c>
      <c r="H1231">
        <v>250.6</v>
      </c>
      <c r="I1231" t="s">
        <v>93</v>
      </c>
      <c r="K1231">
        <f t="shared" si="38"/>
        <v>250.6</v>
      </c>
      <c r="L1231">
        <f t="shared" si="39"/>
        <v>250.73</v>
      </c>
      <c r="M1231" t="s">
        <v>143</v>
      </c>
      <c r="O1231" s="7">
        <v>44512</v>
      </c>
    </row>
    <row r="1232" spans="1:15" x14ac:dyDescent="0.15">
      <c r="A1232" t="s">
        <v>162</v>
      </c>
      <c r="B1232" t="s">
        <v>288</v>
      </c>
      <c r="D1232">
        <v>73</v>
      </c>
      <c r="E1232" t="s">
        <v>74</v>
      </c>
      <c r="G1232">
        <v>11.88</v>
      </c>
      <c r="H1232">
        <v>11.9</v>
      </c>
      <c r="I1232" t="s">
        <v>92</v>
      </c>
      <c r="K1232">
        <f t="shared" si="38"/>
        <v>11.88</v>
      </c>
      <c r="L1232">
        <f t="shared" si="39"/>
        <v>11.9</v>
      </c>
      <c r="M1232" s="41" t="s">
        <v>298</v>
      </c>
      <c r="O1232" s="7">
        <v>44512</v>
      </c>
    </row>
    <row r="1233" spans="1:15" x14ac:dyDescent="0.15">
      <c r="A1233" t="s">
        <v>162</v>
      </c>
      <c r="B1233" t="s">
        <v>288</v>
      </c>
      <c r="D1233">
        <v>76</v>
      </c>
      <c r="E1233" t="s">
        <v>75</v>
      </c>
      <c r="G1233">
        <v>9.1</v>
      </c>
      <c r="H1233">
        <v>9.98</v>
      </c>
      <c r="I1233" t="s">
        <v>94</v>
      </c>
      <c r="K1233">
        <f t="shared" si="38"/>
        <v>9.1</v>
      </c>
      <c r="L1233">
        <f t="shared" si="39"/>
        <v>9.98</v>
      </c>
      <c r="M1233" t="s">
        <v>143</v>
      </c>
      <c r="O1233" s="7">
        <v>44515</v>
      </c>
    </row>
    <row r="1234" spans="1:15" x14ac:dyDescent="0.15">
      <c r="A1234" t="s">
        <v>162</v>
      </c>
      <c r="B1234" t="s">
        <v>288</v>
      </c>
      <c r="D1234">
        <v>76</v>
      </c>
      <c r="E1234" t="s">
        <v>75</v>
      </c>
      <c r="G1234">
        <v>9.86</v>
      </c>
      <c r="H1234">
        <v>9.8849999999999998</v>
      </c>
      <c r="I1234" t="s">
        <v>96</v>
      </c>
      <c r="K1234">
        <f t="shared" si="38"/>
        <v>9.86</v>
      </c>
      <c r="L1234">
        <f t="shared" si="39"/>
        <v>9.8849999999999998</v>
      </c>
      <c r="M1234" t="s">
        <v>143</v>
      </c>
      <c r="O1234" s="7">
        <v>44515</v>
      </c>
    </row>
    <row r="1235" spans="1:15" x14ac:dyDescent="0.15">
      <c r="A1235" t="s">
        <v>162</v>
      </c>
      <c r="B1235" t="s">
        <v>288</v>
      </c>
      <c r="D1235">
        <v>76</v>
      </c>
      <c r="E1235" t="s">
        <v>75</v>
      </c>
      <c r="G1235">
        <v>10.3</v>
      </c>
      <c r="H1235">
        <v>10.4</v>
      </c>
      <c r="I1235" t="s">
        <v>96</v>
      </c>
      <c r="K1235">
        <f t="shared" si="38"/>
        <v>10.3</v>
      </c>
      <c r="L1235">
        <f t="shared" si="39"/>
        <v>10.4</v>
      </c>
      <c r="M1235" t="s">
        <v>143</v>
      </c>
      <c r="O1235" s="7">
        <v>44516</v>
      </c>
    </row>
    <row r="1236" spans="1:15" x14ac:dyDescent="0.15">
      <c r="A1236" t="s">
        <v>162</v>
      </c>
      <c r="B1236" t="s">
        <v>288</v>
      </c>
      <c r="D1236">
        <v>76</v>
      </c>
      <c r="E1236" t="s">
        <v>76</v>
      </c>
      <c r="F1236" t="s">
        <v>88</v>
      </c>
      <c r="G1236">
        <v>6.98</v>
      </c>
      <c r="H1236">
        <v>7.0449999999999999</v>
      </c>
      <c r="J1236" t="s">
        <v>23</v>
      </c>
      <c r="K1236">
        <f t="shared" si="38"/>
        <v>6.98</v>
      </c>
      <c r="L1236">
        <f t="shared" si="39"/>
        <v>7.0449999999999999</v>
      </c>
      <c r="M1236" t="s">
        <v>100</v>
      </c>
      <c r="O1236" s="7">
        <v>44516</v>
      </c>
    </row>
    <row r="1237" spans="1:15" x14ac:dyDescent="0.15">
      <c r="A1237" t="s">
        <v>162</v>
      </c>
      <c r="B1237" t="s">
        <v>288</v>
      </c>
      <c r="D1237">
        <v>2</v>
      </c>
      <c r="E1237" t="s">
        <v>75</v>
      </c>
      <c r="G1237">
        <v>264</v>
      </c>
      <c r="H1237">
        <v>264.10000000000002</v>
      </c>
      <c r="I1237" t="s">
        <v>94</v>
      </c>
      <c r="K1237">
        <f t="shared" si="38"/>
        <v>264</v>
      </c>
      <c r="L1237">
        <f t="shared" si="39"/>
        <v>264.10000000000002</v>
      </c>
      <c r="M1237" t="s">
        <v>143</v>
      </c>
      <c r="O1237" s="7">
        <v>44517</v>
      </c>
    </row>
    <row r="1238" spans="1:15" x14ac:dyDescent="0.15">
      <c r="A1238" t="s">
        <v>162</v>
      </c>
      <c r="B1238" t="s">
        <v>288</v>
      </c>
      <c r="D1238">
        <v>2</v>
      </c>
      <c r="E1238" t="s">
        <v>75</v>
      </c>
      <c r="G1238">
        <v>258.3</v>
      </c>
      <c r="H1238">
        <v>263.3</v>
      </c>
      <c r="I1238" t="s">
        <v>94</v>
      </c>
      <c r="K1238">
        <f t="shared" si="38"/>
        <v>258.3</v>
      </c>
      <c r="L1238">
        <f t="shared" si="39"/>
        <v>263.3</v>
      </c>
      <c r="M1238" t="s">
        <v>143</v>
      </c>
      <c r="O1238" s="7">
        <v>44517</v>
      </c>
    </row>
    <row r="1239" spans="1:15" x14ac:dyDescent="0.15">
      <c r="A1239" t="s">
        <v>162</v>
      </c>
      <c r="B1239" t="s">
        <v>288</v>
      </c>
      <c r="D1239">
        <v>2</v>
      </c>
      <c r="E1239" t="s">
        <v>74</v>
      </c>
      <c r="G1239">
        <v>263.60000000000002</v>
      </c>
      <c r="H1239">
        <v>263.5</v>
      </c>
      <c r="I1239" t="s">
        <v>92</v>
      </c>
      <c r="K1239">
        <f t="shared" si="38"/>
        <v>263.5</v>
      </c>
      <c r="L1239">
        <f t="shared" si="39"/>
        <v>263.60000000000002</v>
      </c>
      <c r="M1239" t="s">
        <v>286</v>
      </c>
      <c r="O1239" s="7">
        <v>44518</v>
      </c>
    </row>
    <row r="1240" spans="1:15" x14ac:dyDescent="0.15">
      <c r="A1240" t="s">
        <v>162</v>
      </c>
      <c r="B1240" t="s">
        <v>288</v>
      </c>
      <c r="D1240">
        <v>2</v>
      </c>
      <c r="E1240" t="s">
        <v>74</v>
      </c>
      <c r="G1240">
        <v>264.8</v>
      </c>
      <c r="H1240">
        <v>264.10000000000002</v>
      </c>
      <c r="I1240" t="s">
        <v>92</v>
      </c>
      <c r="K1240">
        <f t="shared" si="38"/>
        <v>264.10000000000002</v>
      </c>
      <c r="L1240">
        <f t="shared" si="39"/>
        <v>264.8</v>
      </c>
      <c r="M1240" t="s">
        <v>143</v>
      </c>
      <c r="O1240" s="7">
        <v>44518</v>
      </c>
    </row>
    <row r="1241" spans="1:15" x14ac:dyDescent="0.15">
      <c r="A1241" t="s">
        <v>162</v>
      </c>
      <c r="B1241" t="s">
        <v>288</v>
      </c>
      <c r="D1241">
        <v>73</v>
      </c>
      <c r="E1241" t="s">
        <v>76</v>
      </c>
      <c r="F1241" t="s">
        <v>88</v>
      </c>
      <c r="G1241">
        <v>35.75</v>
      </c>
      <c r="H1241">
        <v>35.92</v>
      </c>
      <c r="J1241" t="s">
        <v>23</v>
      </c>
      <c r="K1241">
        <f t="shared" si="38"/>
        <v>35.75</v>
      </c>
      <c r="L1241">
        <f t="shared" si="39"/>
        <v>35.92</v>
      </c>
      <c r="M1241" t="s">
        <v>100</v>
      </c>
      <c r="O1241" s="7">
        <v>44520</v>
      </c>
    </row>
    <row r="1242" spans="1:15" x14ac:dyDescent="0.15">
      <c r="A1242" t="s">
        <v>162</v>
      </c>
      <c r="B1242" t="s">
        <v>288</v>
      </c>
      <c r="D1242">
        <v>73</v>
      </c>
      <c r="E1242" t="s">
        <v>76</v>
      </c>
      <c r="F1242" t="s">
        <v>88</v>
      </c>
      <c r="G1242">
        <v>35.92</v>
      </c>
      <c r="H1242">
        <v>36</v>
      </c>
      <c r="J1242" t="s">
        <v>23</v>
      </c>
      <c r="K1242">
        <f t="shared" si="38"/>
        <v>35.92</v>
      </c>
      <c r="L1242">
        <f t="shared" si="39"/>
        <v>36</v>
      </c>
      <c r="M1242" t="s">
        <v>143</v>
      </c>
      <c r="O1242" s="7">
        <v>44520</v>
      </c>
    </row>
    <row r="1243" spans="1:15" x14ac:dyDescent="0.15">
      <c r="A1243" t="s">
        <v>162</v>
      </c>
      <c r="B1243" t="s">
        <v>288</v>
      </c>
      <c r="D1243">
        <v>73</v>
      </c>
      <c r="E1243" t="s">
        <v>75</v>
      </c>
      <c r="G1243">
        <v>39.6</v>
      </c>
      <c r="H1243">
        <v>39.664999999999999</v>
      </c>
      <c r="I1243" t="s">
        <v>94</v>
      </c>
      <c r="K1243">
        <f t="shared" si="38"/>
        <v>39.6</v>
      </c>
      <c r="L1243">
        <f t="shared" si="39"/>
        <v>39.664999999999999</v>
      </c>
      <c r="M1243" t="s">
        <v>286</v>
      </c>
      <c r="O1243" s="7">
        <v>44520</v>
      </c>
    </row>
    <row r="1244" spans="1:15" x14ac:dyDescent="0.15">
      <c r="A1244" t="s">
        <v>162</v>
      </c>
      <c r="B1244" t="s">
        <v>288</v>
      </c>
      <c r="D1244">
        <v>73</v>
      </c>
      <c r="E1244" t="s">
        <v>75</v>
      </c>
      <c r="G1244">
        <v>39.664999999999999</v>
      </c>
      <c r="H1244">
        <v>39.72</v>
      </c>
      <c r="J1244" t="s">
        <v>23</v>
      </c>
      <c r="K1244">
        <f t="shared" si="38"/>
        <v>39.664999999999999</v>
      </c>
      <c r="L1244">
        <f t="shared" si="39"/>
        <v>39.72</v>
      </c>
      <c r="M1244" s="41" t="s">
        <v>27</v>
      </c>
      <c r="O1244" s="7">
        <v>44520</v>
      </c>
    </row>
    <row r="1245" spans="1:15" x14ac:dyDescent="0.15">
      <c r="A1245" t="s">
        <v>162</v>
      </c>
      <c r="B1245" t="s">
        <v>288</v>
      </c>
      <c r="D1245">
        <v>73</v>
      </c>
      <c r="E1245" t="s">
        <v>75</v>
      </c>
      <c r="G1245">
        <v>39.72</v>
      </c>
      <c r="H1245">
        <v>39.85</v>
      </c>
      <c r="I1245" t="s">
        <v>94</v>
      </c>
      <c r="K1245">
        <f t="shared" si="38"/>
        <v>39.72</v>
      </c>
      <c r="L1245">
        <f t="shared" si="39"/>
        <v>39.85</v>
      </c>
      <c r="M1245" s="41" t="s">
        <v>27</v>
      </c>
      <c r="O1245" s="7">
        <v>44520</v>
      </c>
    </row>
    <row r="1246" spans="1:15" x14ac:dyDescent="0.15">
      <c r="A1246" t="s">
        <v>162</v>
      </c>
      <c r="B1246" t="s">
        <v>288</v>
      </c>
      <c r="D1246">
        <v>73</v>
      </c>
      <c r="E1246" t="s">
        <v>75</v>
      </c>
      <c r="G1246">
        <v>40.975000000000001</v>
      </c>
      <c r="H1246">
        <v>41.3</v>
      </c>
      <c r="J1246" t="s">
        <v>23</v>
      </c>
      <c r="K1246">
        <f t="shared" si="38"/>
        <v>40.975000000000001</v>
      </c>
      <c r="L1246">
        <f t="shared" si="39"/>
        <v>41.3</v>
      </c>
      <c r="M1246" t="s">
        <v>302</v>
      </c>
      <c r="O1246" s="7">
        <v>44520</v>
      </c>
    </row>
    <row r="1247" spans="1:15" x14ac:dyDescent="0.15">
      <c r="A1247" t="s">
        <v>162</v>
      </c>
      <c r="B1247" t="s">
        <v>288</v>
      </c>
      <c r="D1247">
        <v>74</v>
      </c>
      <c r="E1247" t="s">
        <v>75</v>
      </c>
      <c r="G1247">
        <v>99.89</v>
      </c>
      <c r="H1247">
        <v>99.915000000000006</v>
      </c>
      <c r="I1247" t="s">
        <v>94</v>
      </c>
      <c r="K1247">
        <f t="shared" si="38"/>
        <v>99.89</v>
      </c>
      <c r="L1247">
        <f t="shared" si="39"/>
        <v>99.915000000000006</v>
      </c>
      <c r="M1247" t="s">
        <v>286</v>
      </c>
      <c r="O1247" s="7">
        <v>44520</v>
      </c>
    </row>
    <row r="1248" spans="1:15" x14ac:dyDescent="0.15">
      <c r="A1248" t="s">
        <v>162</v>
      </c>
      <c r="B1248" t="s">
        <v>288</v>
      </c>
      <c r="D1248">
        <v>74</v>
      </c>
      <c r="E1248" t="s">
        <v>75</v>
      </c>
      <c r="G1248">
        <v>100.14</v>
      </c>
      <c r="H1248">
        <v>100.16500000000001</v>
      </c>
      <c r="I1248" t="s">
        <v>94</v>
      </c>
      <c r="K1248">
        <f t="shared" si="38"/>
        <v>100.14</v>
      </c>
      <c r="L1248">
        <f t="shared" si="39"/>
        <v>100.16500000000001</v>
      </c>
      <c r="M1248" t="s">
        <v>286</v>
      </c>
      <c r="O1248" s="7">
        <v>44520</v>
      </c>
    </row>
    <row r="1249" spans="1:15" x14ac:dyDescent="0.15">
      <c r="A1249" t="s">
        <v>162</v>
      </c>
      <c r="B1249" t="s">
        <v>288</v>
      </c>
      <c r="D1249">
        <v>74</v>
      </c>
      <c r="E1249" t="s">
        <v>75</v>
      </c>
      <c r="G1249">
        <v>100.41</v>
      </c>
      <c r="H1249">
        <v>100.435</v>
      </c>
      <c r="I1249" t="s">
        <v>94</v>
      </c>
      <c r="K1249">
        <f t="shared" si="38"/>
        <v>100.41</v>
      </c>
      <c r="L1249">
        <f t="shared" si="39"/>
        <v>100.435</v>
      </c>
      <c r="M1249" t="s">
        <v>286</v>
      </c>
      <c r="O1249" s="7">
        <v>44520</v>
      </c>
    </row>
    <row r="1250" spans="1:15" x14ac:dyDescent="0.15">
      <c r="A1250" t="s">
        <v>162</v>
      </c>
      <c r="B1250" t="s">
        <v>288</v>
      </c>
      <c r="D1250">
        <v>74</v>
      </c>
      <c r="E1250" t="s">
        <v>75</v>
      </c>
      <c r="G1250">
        <v>100.65</v>
      </c>
      <c r="H1250">
        <v>100.675</v>
      </c>
      <c r="I1250" t="s">
        <v>94</v>
      </c>
      <c r="K1250">
        <f t="shared" si="38"/>
        <v>100.65</v>
      </c>
      <c r="L1250">
        <f t="shared" si="39"/>
        <v>100.675</v>
      </c>
      <c r="M1250" t="s">
        <v>286</v>
      </c>
      <c r="O1250" s="7">
        <v>44520</v>
      </c>
    </row>
    <row r="1251" spans="1:15" x14ac:dyDescent="0.15">
      <c r="A1251" t="s">
        <v>162</v>
      </c>
      <c r="B1251" t="s">
        <v>288</v>
      </c>
      <c r="D1251">
        <v>74</v>
      </c>
      <c r="E1251" t="s">
        <v>75</v>
      </c>
      <c r="G1251">
        <v>101.375</v>
      </c>
      <c r="H1251">
        <v>101.4</v>
      </c>
      <c r="I1251" t="s">
        <v>94</v>
      </c>
      <c r="K1251">
        <f t="shared" si="38"/>
        <v>101.375</v>
      </c>
      <c r="L1251">
        <f t="shared" si="39"/>
        <v>101.4</v>
      </c>
      <c r="M1251" t="s">
        <v>286</v>
      </c>
      <c r="O1251" s="7">
        <v>44520</v>
      </c>
    </row>
    <row r="1252" spans="1:15" x14ac:dyDescent="0.15">
      <c r="A1252" t="s">
        <v>162</v>
      </c>
      <c r="B1252" t="s">
        <v>288</v>
      </c>
      <c r="D1252">
        <v>73</v>
      </c>
      <c r="E1252" t="s">
        <v>75</v>
      </c>
      <c r="G1252">
        <v>30.96</v>
      </c>
      <c r="H1252">
        <v>31</v>
      </c>
      <c r="J1252" t="s">
        <v>23</v>
      </c>
      <c r="K1252">
        <f t="shared" si="38"/>
        <v>30.96</v>
      </c>
      <c r="L1252">
        <f t="shared" si="39"/>
        <v>31</v>
      </c>
      <c r="M1252" s="41" t="s">
        <v>27</v>
      </c>
      <c r="O1252" s="7">
        <v>44520</v>
      </c>
    </row>
    <row r="1253" spans="1:15" x14ac:dyDescent="0.15">
      <c r="A1253" t="s">
        <v>162</v>
      </c>
      <c r="B1253" t="s">
        <v>288</v>
      </c>
      <c r="D1253">
        <v>76</v>
      </c>
      <c r="E1253" t="s">
        <v>75</v>
      </c>
      <c r="G1253">
        <v>1.375</v>
      </c>
      <c r="H1253">
        <v>1.5249999999999999</v>
      </c>
      <c r="I1253" t="s">
        <v>94</v>
      </c>
      <c r="K1253">
        <f t="shared" si="38"/>
        <v>1.375</v>
      </c>
      <c r="L1253">
        <f t="shared" si="39"/>
        <v>1.5249999999999999</v>
      </c>
      <c r="M1253" t="s">
        <v>143</v>
      </c>
      <c r="O1253" s="7">
        <v>44524</v>
      </c>
    </row>
    <row r="1254" spans="1:15" x14ac:dyDescent="0.15">
      <c r="A1254" t="s">
        <v>162</v>
      </c>
      <c r="B1254" t="s">
        <v>288</v>
      </c>
      <c r="D1254">
        <v>76</v>
      </c>
      <c r="E1254" t="s">
        <v>75</v>
      </c>
      <c r="G1254">
        <v>1.375</v>
      </c>
      <c r="H1254">
        <v>1.5249999999999999</v>
      </c>
      <c r="I1254" t="s">
        <v>97</v>
      </c>
      <c r="K1254">
        <f t="shared" si="38"/>
        <v>1.375</v>
      </c>
      <c r="L1254">
        <f t="shared" si="39"/>
        <v>1.5249999999999999</v>
      </c>
      <c r="M1254" t="s">
        <v>143</v>
      </c>
      <c r="O1254" s="7">
        <v>44524</v>
      </c>
    </row>
    <row r="1255" spans="1:15" x14ac:dyDescent="0.15">
      <c r="A1255" t="s">
        <v>162</v>
      </c>
      <c r="B1255" t="s">
        <v>288</v>
      </c>
      <c r="D1255">
        <v>76</v>
      </c>
      <c r="E1255" t="s">
        <v>75</v>
      </c>
      <c r="G1255">
        <v>3.02</v>
      </c>
      <c r="H1255">
        <v>3.05</v>
      </c>
      <c r="I1255" t="s">
        <v>94</v>
      </c>
      <c r="K1255">
        <f t="shared" si="38"/>
        <v>3.02</v>
      </c>
      <c r="L1255">
        <f t="shared" si="39"/>
        <v>3.05</v>
      </c>
      <c r="M1255" t="s">
        <v>301</v>
      </c>
      <c r="O1255" s="7">
        <v>44524</v>
      </c>
    </row>
    <row r="1256" spans="1:15" x14ac:dyDescent="0.15">
      <c r="A1256" t="s">
        <v>162</v>
      </c>
      <c r="B1256" t="s">
        <v>288</v>
      </c>
      <c r="D1256">
        <v>76</v>
      </c>
      <c r="E1256" t="s">
        <v>75</v>
      </c>
      <c r="G1256">
        <v>3.02</v>
      </c>
      <c r="H1256">
        <v>3.05</v>
      </c>
      <c r="I1256" t="s">
        <v>97</v>
      </c>
      <c r="K1256">
        <f t="shared" si="38"/>
        <v>3.02</v>
      </c>
      <c r="L1256">
        <f t="shared" si="39"/>
        <v>3.05</v>
      </c>
      <c r="M1256" t="s">
        <v>301</v>
      </c>
      <c r="O1256" s="7">
        <v>44524</v>
      </c>
    </row>
    <row r="1257" spans="1:15" x14ac:dyDescent="0.15">
      <c r="A1257" t="s">
        <v>162</v>
      </c>
      <c r="B1257" t="s">
        <v>288</v>
      </c>
      <c r="D1257">
        <v>2</v>
      </c>
      <c r="E1257" t="s">
        <v>74</v>
      </c>
      <c r="G1257">
        <v>272.68</v>
      </c>
      <c r="H1257">
        <v>272.3</v>
      </c>
      <c r="I1257" t="s">
        <v>92</v>
      </c>
      <c r="K1257">
        <f t="shared" si="38"/>
        <v>272.3</v>
      </c>
      <c r="L1257">
        <f t="shared" si="39"/>
        <v>272.68</v>
      </c>
      <c r="M1257" t="s">
        <v>143</v>
      </c>
      <c r="O1257" s="7">
        <v>44525</v>
      </c>
    </row>
    <row r="1258" spans="1:15" x14ac:dyDescent="0.15">
      <c r="A1258" t="s">
        <v>162</v>
      </c>
      <c r="B1258" t="s">
        <v>288</v>
      </c>
      <c r="D1258">
        <v>2</v>
      </c>
      <c r="E1258" t="s">
        <v>74</v>
      </c>
      <c r="G1258">
        <v>271.73500000000001</v>
      </c>
      <c r="H1258">
        <v>271.70999999999998</v>
      </c>
      <c r="I1258" t="s">
        <v>92</v>
      </c>
      <c r="K1258">
        <f t="shared" si="38"/>
        <v>271.70999999999998</v>
      </c>
      <c r="L1258">
        <f t="shared" si="39"/>
        <v>271.73500000000001</v>
      </c>
      <c r="M1258" t="s">
        <v>143</v>
      </c>
      <c r="O1258" s="7">
        <v>44525</v>
      </c>
    </row>
    <row r="1259" spans="1:15" x14ac:dyDescent="0.15">
      <c r="A1259" t="s">
        <v>162</v>
      </c>
      <c r="B1259" t="s">
        <v>288</v>
      </c>
      <c r="D1259">
        <v>2</v>
      </c>
      <c r="E1259" t="s">
        <v>74</v>
      </c>
      <c r="G1259">
        <v>271.73500000000001</v>
      </c>
      <c r="H1259">
        <v>271.70999999999998</v>
      </c>
      <c r="I1259" t="s">
        <v>90</v>
      </c>
      <c r="K1259">
        <f t="shared" si="38"/>
        <v>271.70999999999998</v>
      </c>
      <c r="L1259">
        <f t="shared" si="39"/>
        <v>271.73500000000001</v>
      </c>
      <c r="M1259" t="s">
        <v>143</v>
      </c>
      <c r="O1259" s="7">
        <v>44525</v>
      </c>
    </row>
    <row r="1260" spans="1:15" x14ac:dyDescent="0.15">
      <c r="A1260" t="s">
        <v>162</v>
      </c>
      <c r="B1260" t="s">
        <v>288</v>
      </c>
      <c r="D1260">
        <v>2</v>
      </c>
      <c r="E1260" t="s">
        <v>75</v>
      </c>
      <c r="G1260">
        <v>234.05</v>
      </c>
      <c r="H1260">
        <v>234.15</v>
      </c>
      <c r="I1260" t="s">
        <v>185</v>
      </c>
      <c r="K1260">
        <f t="shared" si="38"/>
        <v>234.05</v>
      </c>
      <c r="L1260">
        <f t="shared" si="39"/>
        <v>234.15</v>
      </c>
      <c r="M1260" s="41" t="s">
        <v>27</v>
      </c>
      <c r="O1260" s="7">
        <v>44525</v>
      </c>
    </row>
    <row r="1261" spans="1:15" x14ac:dyDescent="0.15">
      <c r="A1261" t="s">
        <v>162</v>
      </c>
      <c r="B1261" t="s">
        <v>288</v>
      </c>
      <c r="D1261">
        <v>67</v>
      </c>
      <c r="E1261" t="s">
        <v>76</v>
      </c>
      <c r="F1261" t="s">
        <v>77</v>
      </c>
      <c r="G1261">
        <v>65.41</v>
      </c>
      <c r="H1261">
        <v>65.385000000000005</v>
      </c>
      <c r="I1261" t="s">
        <v>91</v>
      </c>
      <c r="K1261">
        <f t="shared" si="38"/>
        <v>65.385000000000005</v>
      </c>
      <c r="L1261">
        <f t="shared" si="39"/>
        <v>65.41</v>
      </c>
      <c r="M1261" t="s">
        <v>100</v>
      </c>
      <c r="O1261" s="7">
        <v>44531</v>
      </c>
    </row>
    <row r="1262" spans="1:15" x14ac:dyDescent="0.15">
      <c r="A1262" t="s">
        <v>162</v>
      </c>
      <c r="B1262" t="s">
        <v>288</v>
      </c>
      <c r="D1262">
        <v>73</v>
      </c>
      <c r="E1262" t="s">
        <v>74</v>
      </c>
      <c r="G1262">
        <v>54.87</v>
      </c>
      <c r="H1262">
        <v>54.844999999999999</v>
      </c>
      <c r="J1262" t="s">
        <v>23</v>
      </c>
      <c r="K1262">
        <f t="shared" si="38"/>
        <v>54.844999999999999</v>
      </c>
      <c r="L1262">
        <f t="shared" si="39"/>
        <v>54.87</v>
      </c>
      <c r="M1262" t="s">
        <v>143</v>
      </c>
      <c r="O1262" s="7">
        <v>44531</v>
      </c>
    </row>
    <row r="1263" spans="1:15" x14ac:dyDescent="0.15">
      <c r="A1263" t="s">
        <v>162</v>
      </c>
      <c r="B1263" t="s">
        <v>288</v>
      </c>
      <c r="D1263">
        <v>73</v>
      </c>
      <c r="E1263" t="s">
        <v>76</v>
      </c>
      <c r="F1263" t="s">
        <v>166</v>
      </c>
      <c r="G1263">
        <v>45.89</v>
      </c>
      <c r="H1263">
        <v>46.1</v>
      </c>
      <c r="I1263" t="s">
        <v>91</v>
      </c>
      <c r="K1263">
        <f t="shared" si="38"/>
        <v>45.89</v>
      </c>
      <c r="L1263">
        <f t="shared" si="39"/>
        <v>46.1</v>
      </c>
      <c r="M1263" t="s">
        <v>100</v>
      </c>
      <c r="O1263" s="7">
        <v>44532</v>
      </c>
    </row>
    <row r="1264" spans="1:15" x14ac:dyDescent="0.15">
      <c r="A1264" t="s">
        <v>162</v>
      </c>
      <c r="B1264" t="s">
        <v>288</v>
      </c>
      <c r="D1264">
        <v>67</v>
      </c>
      <c r="E1264" t="s">
        <v>74</v>
      </c>
      <c r="G1264">
        <v>59.023000000000003</v>
      </c>
      <c r="H1264">
        <v>59</v>
      </c>
      <c r="I1264" t="s">
        <v>93</v>
      </c>
      <c r="K1264">
        <f t="shared" si="38"/>
        <v>59</v>
      </c>
      <c r="L1264">
        <f t="shared" si="39"/>
        <v>59.023000000000003</v>
      </c>
      <c r="M1264" t="s">
        <v>143</v>
      </c>
      <c r="O1264" s="7">
        <v>44532</v>
      </c>
    </row>
    <row r="1265" spans="1:15" x14ac:dyDescent="0.15">
      <c r="A1265" t="s">
        <v>162</v>
      </c>
      <c r="B1265" t="s">
        <v>288</v>
      </c>
      <c r="D1265">
        <v>67</v>
      </c>
      <c r="E1265" t="s">
        <v>74</v>
      </c>
      <c r="G1265">
        <v>59.023000000000003</v>
      </c>
      <c r="H1265">
        <v>59</v>
      </c>
      <c r="I1265" t="s">
        <v>90</v>
      </c>
      <c r="K1265">
        <f t="shared" si="38"/>
        <v>59</v>
      </c>
      <c r="L1265">
        <f t="shared" si="39"/>
        <v>59.023000000000003</v>
      </c>
      <c r="M1265" t="s">
        <v>143</v>
      </c>
      <c r="O1265" s="7">
        <v>44532</v>
      </c>
    </row>
    <row r="1266" spans="1:15" x14ac:dyDescent="0.15">
      <c r="A1266" t="s">
        <v>162</v>
      </c>
      <c r="B1266" t="s">
        <v>288</v>
      </c>
      <c r="D1266">
        <v>2</v>
      </c>
      <c r="E1266" t="s">
        <v>75</v>
      </c>
      <c r="G1266">
        <v>220.25</v>
      </c>
      <c r="H1266">
        <v>220.85</v>
      </c>
      <c r="J1266" t="s">
        <v>23</v>
      </c>
      <c r="K1266">
        <f t="shared" si="38"/>
        <v>220.25</v>
      </c>
      <c r="L1266">
        <f t="shared" si="39"/>
        <v>220.85</v>
      </c>
      <c r="M1266" t="s">
        <v>143</v>
      </c>
      <c r="O1266" s="7">
        <v>44533</v>
      </c>
    </row>
    <row r="1267" spans="1:15" x14ac:dyDescent="0.15">
      <c r="A1267" t="s">
        <v>162</v>
      </c>
      <c r="B1267" t="s">
        <v>288</v>
      </c>
      <c r="D1267">
        <v>2</v>
      </c>
      <c r="E1267" t="s">
        <v>74</v>
      </c>
      <c r="G1267">
        <v>238.66</v>
      </c>
      <c r="H1267">
        <v>238.4</v>
      </c>
      <c r="I1267" t="s">
        <v>95</v>
      </c>
      <c r="K1267">
        <f t="shared" si="38"/>
        <v>238.4</v>
      </c>
      <c r="L1267">
        <f t="shared" si="39"/>
        <v>238.66</v>
      </c>
      <c r="M1267" t="s">
        <v>143</v>
      </c>
      <c r="O1267" s="7">
        <v>44540</v>
      </c>
    </row>
    <row r="1268" spans="1:15" x14ac:dyDescent="0.15">
      <c r="A1268" t="s">
        <v>162</v>
      </c>
      <c r="B1268" t="s">
        <v>288</v>
      </c>
      <c r="D1268">
        <v>2</v>
      </c>
      <c r="E1268" t="s">
        <v>74</v>
      </c>
      <c r="G1268">
        <v>237.72</v>
      </c>
      <c r="H1268">
        <v>237.69499999999999</v>
      </c>
      <c r="I1268" t="s">
        <v>92</v>
      </c>
      <c r="K1268">
        <f t="shared" si="38"/>
        <v>237.69499999999999</v>
      </c>
      <c r="L1268">
        <f t="shared" si="39"/>
        <v>237.72</v>
      </c>
      <c r="M1268" t="s">
        <v>143</v>
      </c>
      <c r="O1268" s="7">
        <v>44540</v>
      </c>
    </row>
    <row r="1269" spans="1:15" x14ac:dyDescent="0.15">
      <c r="A1269" t="s">
        <v>162</v>
      </c>
      <c r="B1269" t="s">
        <v>288</v>
      </c>
      <c r="D1269">
        <v>2</v>
      </c>
      <c r="E1269" t="s">
        <v>74</v>
      </c>
      <c r="G1269">
        <v>237.55</v>
      </c>
      <c r="H1269">
        <v>237.5</v>
      </c>
      <c r="I1269" t="s">
        <v>92</v>
      </c>
      <c r="K1269">
        <f t="shared" si="38"/>
        <v>237.5</v>
      </c>
      <c r="L1269">
        <f t="shared" si="39"/>
        <v>237.55</v>
      </c>
      <c r="M1269" t="s">
        <v>143</v>
      </c>
      <c r="O1269" s="7">
        <v>44540</v>
      </c>
    </row>
    <row r="1270" spans="1:15" x14ac:dyDescent="0.15">
      <c r="A1270" t="s">
        <v>162</v>
      </c>
      <c r="B1270" t="s">
        <v>288</v>
      </c>
      <c r="D1270">
        <v>2</v>
      </c>
      <c r="E1270" t="s">
        <v>74</v>
      </c>
      <c r="G1270">
        <v>237.55</v>
      </c>
      <c r="H1270">
        <v>237.5</v>
      </c>
      <c r="I1270" t="s">
        <v>292</v>
      </c>
      <c r="K1270">
        <f t="shared" si="38"/>
        <v>237.5</v>
      </c>
      <c r="L1270">
        <f t="shared" si="39"/>
        <v>237.55</v>
      </c>
      <c r="M1270" t="s">
        <v>143</v>
      </c>
      <c r="O1270" s="7">
        <v>44540</v>
      </c>
    </row>
    <row r="1271" spans="1:15" x14ac:dyDescent="0.15">
      <c r="A1271" t="s">
        <v>162</v>
      </c>
      <c r="B1271" t="s">
        <v>288</v>
      </c>
      <c r="D1271">
        <v>2</v>
      </c>
      <c r="E1271" t="s">
        <v>74</v>
      </c>
      <c r="G1271">
        <v>237.315</v>
      </c>
      <c r="H1271">
        <v>237.29</v>
      </c>
      <c r="I1271" t="s">
        <v>92</v>
      </c>
      <c r="K1271">
        <f t="shared" si="38"/>
        <v>237.29</v>
      </c>
      <c r="L1271">
        <f t="shared" si="39"/>
        <v>237.315</v>
      </c>
      <c r="M1271" t="s">
        <v>143</v>
      </c>
      <c r="O1271" s="7">
        <v>44540</v>
      </c>
    </row>
    <row r="1272" spans="1:15" x14ac:dyDescent="0.15">
      <c r="A1272" t="s">
        <v>162</v>
      </c>
      <c r="B1272" t="s">
        <v>288</v>
      </c>
      <c r="D1272">
        <v>2</v>
      </c>
      <c r="E1272" t="s">
        <v>74</v>
      </c>
      <c r="G1272">
        <v>236.83</v>
      </c>
      <c r="H1272">
        <v>236.78</v>
      </c>
      <c r="I1272" t="s">
        <v>92</v>
      </c>
      <c r="K1272">
        <f t="shared" si="38"/>
        <v>236.78</v>
      </c>
      <c r="L1272">
        <f t="shared" si="39"/>
        <v>236.83</v>
      </c>
      <c r="M1272" t="s">
        <v>143</v>
      </c>
      <c r="O1272" s="7">
        <v>44540</v>
      </c>
    </row>
    <row r="1273" spans="1:15" x14ac:dyDescent="0.15">
      <c r="A1273" t="s">
        <v>162</v>
      </c>
      <c r="B1273" t="s">
        <v>288</v>
      </c>
      <c r="D1273">
        <v>2</v>
      </c>
      <c r="E1273" t="s">
        <v>74</v>
      </c>
      <c r="G1273">
        <v>236.83</v>
      </c>
      <c r="H1273">
        <v>236.78</v>
      </c>
      <c r="I1273" t="s">
        <v>292</v>
      </c>
      <c r="K1273">
        <f t="shared" si="38"/>
        <v>236.78</v>
      </c>
      <c r="L1273">
        <f t="shared" si="39"/>
        <v>236.83</v>
      </c>
      <c r="M1273" t="s">
        <v>143</v>
      </c>
      <c r="O1273" s="7">
        <v>44540</v>
      </c>
    </row>
    <row r="1274" spans="1:15" x14ac:dyDescent="0.15">
      <c r="A1274" t="s">
        <v>162</v>
      </c>
      <c r="B1274" t="s">
        <v>288</v>
      </c>
      <c r="D1274">
        <v>2</v>
      </c>
      <c r="E1274" t="s">
        <v>74</v>
      </c>
      <c r="G1274">
        <v>235.38</v>
      </c>
      <c r="H1274">
        <v>235.35499999999999</v>
      </c>
      <c r="I1274" t="s">
        <v>92</v>
      </c>
      <c r="K1274">
        <f t="shared" si="38"/>
        <v>235.35499999999999</v>
      </c>
      <c r="L1274">
        <f t="shared" si="39"/>
        <v>235.38</v>
      </c>
      <c r="M1274" t="s">
        <v>143</v>
      </c>
      <c r="O1274" s="7">
        <v>44540</v>
      </c>
    </row>
    <row r="1275" spans="1:15" x14ac:dyDescent="0.15">
      <c r="A1275" t="s">
        <v>162</v>
      </c>
      <c r="B1275" t="s">
        <v>288</v>
      </c>
      <c r="D1275">
        <v>2</v>
      </c>
      <c r="E1275" t="s">
        <v>74</v>
      </c>
      <c r="G1275">
        <v>235.05</v>
      </c>
      <c r="H1275">
        <v>234.94</v>
      </c>
      <c r="I1275" t="s">
        <v>92</v>
      </c>
      <c r="K1275">
        <f t="shared" si="38"/>
        <v>234.94</v>
      </c>
      <c r="L1275">
        <f t="shared" si="39"/>
        <v>235.05</v>
      </c>
      <c r="M1275" t="s">
        <v>143</v>
      </c>
      <c r="O1275" s="7">
        <v>44540</v>
      </c>
    </row>
    <row r="1276" spans="1:15" x14ac:dyDescent="0.15">
      <c r="A1276" t="s">
        <v>162</v>
      </c>
      <c r="B1276" t="s">
        <v>288</v>
      </c>
      <c r="D1276">
        <v>2</v>
      </c>
      <c r="E1276" t="s">
        <v>74</v>
      </c>
      <c r="G1276">
        <v>234.66</v>
      </c>
      <c r="H1276">
        <v>234.63499999999999</v>
      </c>
      <c r="I1276" t="s">
        <v>92</v>
      </c>
      <c r="K1276">
        <f t="shared" si="38"/>
        <v>234.63499999999999</v>
      </c>
      <c r="L1276">
        <f t="shared" si="39"/>
        <v>234.66</v>
      </c>
      <c r="M1276" t="s">
        <v>143</v>
      </c>
      <c r="O1276" s="7">
        <v>44540</v>
      </c>
    </row>
    <row r="1277" spans="1:15" x14ac:dyDescent="0.15">
      <c r="A1277" t="s">
        <v>162</v>
      </c>
      <c r="B1277" t="s">
        <v>288</v>
      </c>
      <c r="D1277">
        <v>2</v>
      </c>
      <c r="E1277" t="s">
        <v>76</v>
      </c>
      <c r="F1277" t="s">
        <v>80</v>
      </c>
      <c r="G1277">
        <v>232.53</v>
      </c>
      <c r="H1277">
        <v>232.48</v>
      </c>
      <c r="I1277" t="s">
        <v>306</v>
      </c>
      <c r="K1277">
        <f t="shared" si="38"/>
        <v>232.48</v>
      </c>
      <c r="L1277">
        <f t="shared" si="39"/>
        <v>232.53</v>
      </c>
      <c r="M1277" t="s">
        <v>299</v>
      </c>
      <c r="O1277" s="7">
        <v>44540</v>
      </c>
    </row>
    <row r="1278" spans="1:15" x14ac:dyDescent="0.15">
      <c r="A1278" t="s">
        <v>162</v>
      </c>
      <c r="B1278" t="s">
        <v>288</v>
      </c>
      <c r="D1278">
        <v>2</v>
      </c>
      <c r="E1278" t="s">
        <v>76</v>
      </c>
      <c r="F1278" t="s">
        <v>80</v>
      </c>
      <c r="G1278">
        <v>232.53</v>
      </c>
      <c r="H1278">
        <v>232.48</v>
      </c>
      <c r="I1278" t="s">
        <v>182</v>
      </c>
      <c r="K1278">
        <f t="shared" si="38"/>
        <v>232.48</v>
      </c>
      <c r="L1278">
        <f t="shared" si="39"/>
        <v>232.53</v>
      </c>
      <c r="M1278" t="s">
        <v>299</v>
      </c>
      <c r="O1278" s="7">
        <v>44540</v>
      </c>
    </row>
    <row r="1279" spans="1:15" x14ac:dyDescent="0.15">
      <c r="A1279" t="s">
        <v>162</v>
      </c>
      <c r="B1279" t="s">
        <v>288</v>
      </c>
      <c r="D1279">
        <v>73</v>
      </c>
      <c r="E1279" t="s">
        <v>74</v>
      </c>
      <c r="G1279">
        <v>16.3</v>
      </c>
      <c r="H1279">
        <v>16.399999999999999</v>
      </c>
      <c r="I1279" t="s">
        <v>92</v>
      </c>
      <c r="K1279">
        <f t="shared" si="38"/>
        <v>16.3</v>
      </c>
      <c r="L1279">
        <f t="shared" si="39"/>
        <v>16.399999999999999</v>
      </c>
      <c r="M1279" t="s">
        <v>300</v>
      </c>
      <c r="O1279" s="7">
        <v>44540</v>
      </c>
    </row>
    <row r="1280" spans="1:15" x14ac:dyDescent="0.15">
      <c r="A1280" t="s">
        <v>162</v>
      </c>
      <c r="B1280" t="s">
        <v>288</v>
      </c>
      <c r="D1280">
        <v>67</v>
      </c>
      <c r="E1280" t="s">
        <v>75</v>
      </c>
      <c r="G1280">
        <v>60.2</v>
      </c>
      <c r="H1280">
        <v>61.5</v>
      </c>
      <c r="I1280" t="s">
        <v>94</v>
      </c>
      <c r="K1280">
        <f t="shared" si="38"/>
        <v>60.2</v>
      </c>
      <c r="L1280">
        <f t="shared" si="39"/>
        <v>61.5</v>
      </c>
      <c r="M1280" t="s">
        <v>280</v>
      </c>
      <c r="O1280" s="7">
        <v>44486</v>
      </c>
    </row>
    <row r="1281" spans="1:18" x14ac:dyDescent="0.15">
      <c r="A1281" t="s">
        <v>162</v>
      </c>
      <c r="B1281" t="s">
        <v>288</v>
      </c>
      <c r="D1281">
        <v>67</v>
      </c>
      <c r="E1281" t="s">
        <v>75</v>
      </c>
      <c r="G1281">
        <v>60.2</v>
      </c>
      <c r="H1281">
        <v>61.5</v>
      </c>
      <c r="I1281" t="s">
        <v>94</v>
      </c>
      <c r="K1281">
        <f t="shared" ref="K1281:K1344" si="40">MIN(G1281:H1281)</f>
        <v>60.2</v>
      </c>
      <c r="L1281">
        <f t="shared" ref="L1281:L1344" si="41">MAX(G1281:H1281)</f>
        <v>61.5</v>
      </c>
      <c r="M1281" t="s">
        <v>143</v>
      </c>
      <c r="O1281" s="7">
        <v>44486</v>
      </c>
    </row>
    <row r="1282" spans="1:18" x14ac:dyDescent="0.15">
      <c r="A1282" t="s">
        <v>162</v>
      </c>
      <c r="B1282" t="s">
        <v>288</v>
      </c>
      <c r="D1282">
        <v>67</v>
      </c>
      <c r="E1282" t="s">
        <v>75</v>
      </c>
      <c r="G1282">
        <v>60.2</v>
      </c>
      <c r="H1282">
        <v>61.5</v>
      </c>
      <c r="I1282" t="s">
        <v>97</v>
      </c>
      <c r="K1282">
        <f t="shared" si="40"/>
        <v>60.2</v>
      </c>
      <c r="L1282">
        <f t="shared" si="41"/>
        <v>61.5</v>
      </c>
      <c r="M1282" t="s">
        <v>143</v>
      </c>
      <c r="O1282" s="7">
        <v>44486</v>
      </c>
    </row>
    <row r="1283" spans="1:18" x14ac:dyDescent="0.15">
      <c r="A1283" t="s">
        <v>162</v>
      </c>
      <c r="B1283" t="s">
        <v>288</v>
      </c>
      <c r="D1283">
        <v>67</v>
      </c>
      <c r="E1283" t="s">
        <v>75</v>
      </c>
      <c r="G1283">
        <v>61.5</v>
      </c>
      <c r="H1283">
        <v>61.8</v>
      </c>
      <c r="I1283" t="s">
        <v>94</v>
      </c>
      <c r="K1283">
        <f t="shared" si="40"/>
        <v>61.5</v>
      </c>
      <c r="L1283">
        <f t="shared" si="41"/>
        <v>61.8</v>
      </c>
      <c r="M1283" t="s">
        <v>280</v>
      </c>
      <c r="O1283" s="7">
        <v>44486</v>
      </c>
    </row>
    <row r="1284" spans="1:18" x14ac:dyDescent="0.15">
      <c r="A1284" t="s">
        <v>162</v>
      </c>
      <c r="B1284" t="s">
        <v>288</v>
      </c>
      <c r="D1284">
        <v>67</v>
      </c>
      <c r="E1284" t="s">
        <v>75</v>
      </c>
      <c r="G1284">
        <v>61.5</v>
      </c>
      <c r="H1284">
        <v>61.8</v>
      </c>
      <c r="I1284" t="s">
        <v>94</v>
      </c>
      <c r="K1284">
        <f t="shared" si="40"/>
        <v>61.5</v>
      </c>
      <c r="L1284">
        <f t="shared" si="41"/>
        <v>61.8</v>
      </c>
      <c r="M1284" t="s">
        <v>143</v>
      </c>
      <c r="O1284" s="7">
        <v>44486</v>
      </c>
    </row>
    <row r="1285" spans="1:18" x14ac:dyDescent="0.15">
      <c r="A1285" t="s">
        <v>162</v>
      </c>
      <c r="B1285" t="s">
        <v>288</v>
      </c>
      <c r="D1285">
        <v>67</v>
      </c>
      <c r="E1285" t="s">
        <v>75</v>
      </c>
      <c r="G1285">
        <v>61.5</v>
      </c>
      <c r="H1285">
        <v>61.8</v>
      </c>
      <c r="I1285" t="s">
        <v>98</v>
      </c>
      <c r="K1285">
        <f t="shared" si="40"/>
        <v>61.5</v>
      </c>
      <c r="L1285">
        <f t="shared" si="41"/>
        <v>61.8</v>
      </c>
      <c r="M1285" t="s">
        <v>143</v>
      </c>
      <c r="O1285" s="7">
        <v>44486</v>
      </c>
    </row>
    <row r="1286" spans="1:18" x14ac:dyDescent="0.15">
      <c r="A1286" t="s">
        <v>162</v>
      </c>
      <c r="B1286" t="s">
        <v>288</v>
      </c>
      <c r="D1286">
        <v>67</v>
      </c>
      <c r="E1286" t="s">
        <v>75</v>
      </c>
      <c r="G1286">
        <v>65.2</v>
      </c>
      <c r="H1286">
        <v>65.55</v>
      </c>
      <c r="I1286" t="s">
        <v>94</v>
      </c>
      <c r="K1286">
        <f t="shared" si="40"/>
        <v>65.2</v>
      </c>
      <c r="L1286">
        <f t="shared" si="41"/>
        <v>65.55</v>
      </c>
      <c r="M1286" t="s">
        <v>280</v>
      </c>
      <c r="O1286" s="7">
        <v>44486</v>
      </c>
    </row>
    <row r="1287" spans="1:18" x14ac:dyDescent="0.15">
      <c r="A1287" t="s">
        <v>162</v>
      </c>
      <c r="B1287" t="s">
        <v>288</v>
      </c>
      <c r="D1287">
        <v>67</v>
      </c>
      <c r="E1287" t="s">
        <v>75</v>
      </c>
      <c r="G1287">
        <v>65.2</v>
      </c>
      <c r="H1287">
        <v>65.45</v>
      </c>
      <c r="I1287" t="s">
        <v>94</v>
      </c>
      <c r="K1287">
        <f t="shared" si="40"/>
        <v>65.2</v>
      </c>
      <c r="L1287">
        <f t="shared" si="41"/>
        <v>65.45</v>
      </c>
      <c r="M1287" t="s">
        <v>143</v>
      </c>
      <c r="O1287" s="7">
        <v>44486</v>
      </c>
    </row>
    <row r="1288" spans="1:18" x14ac:dyDescent="0.15">
      <c r="A1288" t="s">
        <v>162</v>
      </c>
      <c r="B1288" t="s">
        <v>288</v>
      </c>
      <c r="D1288">
        <v>67</v>
      </c>
      <c r="E1288" t="s">
        <v>75</v>
      </c>
      <c r="G1288">
        <v>65.2</v>
      </c>
      <c r="H1288">
        <v>65.45</v>
      </c>
      <c r="I1288" t="s">
        <v>97</v>
      </c>
      <c r="K1288">
        <f t="shared" si="40"/>
        <v>65.2</v>
      </c>
      <c r="L1288">
        <f t="shared" si="41"/>
        <v>65.45</v>
      </c>
      <c r="M1288" t="s">
        <v>143</v>
      </c>
      <c r="O1288" s="7">
        <v>44486</v>
      </c>
    </row>
    <row r="1289" spans="1:18" x14ac:dyDescent="0.15">
      <c r="A1289" t="s">
        <v>162</v>
      </c>
      <c r="B1289" t="s">
        <v>288</v>
      </c>
      <c r="D1289">
        <v>67</v>
      </c>
      <c r="E1289" t="s">
        <v>75</v>
      </c>
      <c r="G1289">
        <v>65.45</v>
      </c>
      <c r="H1289">
        <v>65.55</v>
      </c>
      <c r="I1289" t="s">
        <v>94</v>
      </c>
      <c r="K1289">
        <f t="shared" si="40"/>
        <v>65.45</v>
      </c>
      <c r="L1289">
        <f t="shared" si="41"/>
        <v>65.55</v>
      </c>
      <c r="M1289" t="s">
        <v>143</v>
      </c>
      <c r="O1289" s="7">
        <v>44486</v>
      </c>
    </row>
    <row r="1290" spans="1:18" x14ac:dyDescent="0.15">
      <c r="A1290" t="s">
        <v>162</v>
      </c>
      <c r="B1290" t="s">
        <v>288</v>
      </c>
      <c r="D1290">
        <v>67</v>
      </c>
      <c r="E1290" t="s">
        <v>76</v>
      </c>
      <c r="F1290" t="s">
        <v>289</v>
      </c>
      <c r="G1290">
        <v>69.094999999999999</v>
      </c>
      <c r="H1290">
        <v>69.125</v>
      </c>
      <c r="I1290" t="s">
        <v>96</v>
      </c>
      <c r="K1290">
        <f t="shared" si="40"/>
        <v>69.094999999999999</v>
      </c>
      <c r="L1290">
        <f t="shared" si="41"/>
        <v>69.125</v>
      </c>
      <c r="M1290" s="41" t="s">
        <v>27</v>
      </c>
      <c r="O1290" s="7">
        <v>44486</v>
      </c>
    </row>
    <row r="1291" spans="1:18" x14ac:dyDescent="0.15">
      <c r="A1291" s="12" t="s">
        <v>287</v>
      </c>
      <c r="B1291" t="s">
        <v>288</v>
      </c>
      <c r="D1291">
        <v>67</v>
      </c>
      <c r="E1291" t="s">
        <v>75</v>
      </c>
      <c r="G1291">
        <v>67.525000000000006</v>
      </c>
      <c r="H1291">
        <v>67.924999999999997</v>
      </c>
      <c r="J1291" t="s">
        <v>23</v>
      </c>
      <c r="K1291">
        <f t="shared" si="40"/>
        <v>67.525000000000006</v>
      </c>
      <c r="L1291">
        <f t="shared" si="41"/>
        <v>67.924999999999997</v>
      </c>
      <c r="M1291" t="s">
        <v>143</v>
      </c>
      <c r="O1291" s="7">
        <v>2021</v>
      </c>
    </row>
    <row r="1292" spans="1:18" x14ac:dyDescent="0.15">
      <c r="A1292" s="12" t="s">
        <v>287</v>
      </c>
      <c r="B1292" t="s">
        <v>288</v>
      </c>
      <c r="D1292">
        <v>67</v>
      </c>
      <c r="E1292" t="s">
        <v>75</v>
      </c>
      <c r="G1292">
        <v>67.3</v>
      </c>
      <c r="H1292">
        <v>69.194000000000003</v>
      </c>
      <c r="J1292" t="s">
        <v>23</v>
      </c>
      <c r="K1292">
        <f t="shared" si="40"/>
        <v>67.3</v>
      </c>
      <c r="L1292">
        <f t="shared" si="41"/>
        <v>69.194000000000003</v>
      </c>
      <c r="M1292" t="s">
        <v>143</v>
      </c>
      <c r="O1292" s="7">
        <v>2021</v>
      </c>
    </row>
    <row r="1293" spans="1:18" x14ac:dyDescent="0.15">
      <c r="A1293" s="12" t="s">
        <v>287</v>
      </c>
      <c r="B1293" t="s">
        <v>288</v>
      </c>
      <c r="D1293">
        <v>67</v>
      </c>
      <c r="E1293" t="s">
        <v>75</v>
      </c>
      <c r="G1293">
        <v>69.692999999999998</v>
      </c>
      <c r="H1293">
        <v>70.307000000000002</v>
      </c>
      <c r="J1293" t="s">
        <v>23</v>
      </c>
      <c r="K1293">
        <f t="shared" si="40"/>
        <v>69.692999999999998</v>
      </c>
      <c r="L1293">
        <f t="shared" si="41"/>
        <v>70.307000000000002</v>
      </c>
      <c r="M1293" t="s">
        <v>143</v>
      </c>
      <c r="O1293" s="7">
        <v>2021</v>
      </c>
    </row>
    <row r="1294" spans="1:18" x14ac:dyDescent="0.15">
      <c r="A1294" t="s">
        <v>308</v>
      </c>
      <c r="B1294" t="s">
        <v>349</v>
      </c>
      <c r="D1294">
        <v>59</v>
      </c>
      <c r="E1294" t="s">
        <v>75</v>
      </c>
      <c r="G1294">
        <v>124.4</v>
      </c>
      <c r="H1294">
        <v>124.5</v>
      </c>
      <c r="I1294" t="s">
        <v>94</v>
      </c>
      <c r="K1294">
        <f t="shared" si="40"/>
        <v>124.4</v>
      </c>
      <c r="L1294">
        <f t="shared" si="41"/>
        <v>124.5</v>
      </c>
      <c r="M1294" t="s">
        <v>25</v>
      </c>
      <c r="O1294" s="7">
        <v>44246</v>
      </c>
      <c r="Q1294" t="s">
        <v>226</v>
      </c>
      <c r="R1294" t="s">
        <v>222</v>
      </c>
    </row>
    <row r="1295" spans="1:18" x14ac:dyDescent="0.15">
      <c r="A1295" t="s">
        <v>308</v>
      </c>
      <c r="B1295" t="s">
        <v>349</v>
      </c>
      <c r="D1295">
        <v>59</v>
      </c>
      <c r="E1295" t="s">
        <v>75</v>
      </c>
      <c r="G1295">
        <v>124.6</v>
      </c>
      <c r="H1295">
        <v>125.1</v>
      </c>
      <c r="I1295" t="s">
        <v>94</v>
      </c>
      <c r="K1295">
        <f t="shared" si="40"/>
        <v>124.6</v>
      </c>
      <c r="L1295">
        <f t="shared" si="41"/>
        <v>125.1</v>
      </c>
      <c r="M1295" t="s">
        <v>25</v>
      </c>
      <c r="O1295" s="7">
        <v>44246</v>
      </c>
      <c r="Q1295" t="s">
        <v>226</v>
      </c>
      <c r="R1295" t="s">
        <v>222</v>
      </c>
    </row>
    <row r="1296" spans="1:18" x14ac:dyDescent="0.15">
      <c r="A1296" t="s">
        <v>308</v>
      </c>
      <c r="B1296" t="s">
        <v>349</v>
      </c>
      <c r="D1296">
        <v>59</v>
      </c>
      <c r="E1296" t="s">
        <v>75</v>
      </c>
      <c r="G1296">
        <v>125.84</v>
      </c>
      <c r="H1296">
        <v>125.86499999999999</v>
      </c>
      <c r="I1296" t="s">
        <v>94</v>
      </c>
      <c r="K1296">
        <f t="shared" si="40"/>
        <v>125.84</v>
      </c>
      <c r="L1296">
        <f t="shared" si="41"/>
        <v>125.86499999999999</v>
      </c>
      <c r="M1296" t="s">
        <v>25</v>
      </c>
      <c r="O1296" s="7">
        <v>44246</v>
      </c>
      <c r="Q1296" t="s">
        <v>226</v>
      </c>
      <c r="R1296" t="s">
        <v>222</v>
      </c>
    </row>
    <row r="1297" spans="1:18" x14ac:dyDescent="0.15">
      <c r="A1297" t="s">
        <v>308</v>
      </c>
      <c r="B1297" t="s">
        <v>349</v>
      </c>
      <c r="D1297">
        <v>59</v>
      </c>
      <c r="E1297" t="s">
        <v>75</v>
      </c>
      <c r="G1297">
        <v>126.6</v>
      </c>
      <c r="H1297">
        <v>126.7</v>
      </c>
      <c r="I1297" t="s">
        <v>94</v>
      </c>
      <c r="K1297">
        <f t="shared" si="40"/>
        <v>126.6</v>
      </c>
      <c r="L1297">
        <f t="shared" si="41"/>
        <v>126.7</v>
      </c>
      <c r="M1297" t="s">
        <v>25</v>
      </c>
      <c r="O1297" s="7">
        <v>44247</v>
      </c>
      <c r="Q1297" t="s">
        <v>226</v>
      </c>
      <c r="R1297" t="s">
        <v>222</v>
      </c>
    </row>
    <row r="1298" spans="1:18" x14ac:dyDescent="0.15">
      <c r="A1298" t="s">
        <v>308</v>
      </c>
      <c r="B1298" t="s">
        <v>349</v>
      </c>
      <c r="D1298">
        <v>59</v>
      </c>
      <c r="E1298" t="s">
        <v>75</v>
      </c>
      <c r="G1298">
        <v>126.8</v>
      </c>
      <c r="H1298">
        <v>126.9</v>
      </c>
      <c r="I1298" t="s">
        <v>94</v>
      </c>
      <c r="K1298">
        <f t="shared" si="40"/>
        <v>126.8</v>
      </c>
      <c r="L1298">
        <f t="shared" si="41"/>
        <v>126.9</v>
      </c>
      <c r="M1298" t="s">
        <v>25</v>
      </c>
      <c r="O1298" s="7">
        <v>44247</v>
      </c>
      <c r="Q1298" t="s">
        <v>226</v>
      </c>
      <c r="R1298" t="s">
        <v>222</v>
      </c>
    </row>
    <row r="1299" spans="1:18" x14ac:dyDescent="0.15">
      <c r="A1299" t="s">
        <v>308</v>
      </c>
      <c r="B1299" t="s">
        <v>349</v>
      </c>
      <c r="D1299">
        <v>59</v>
      </c>
      <c r="E1299" t="s">
        <v>75</v>
      </c>
      <c r="G1299">
        <v>126.8</v>
      </c>
      <c r="I1299" t="s">
        <v>94</v>
      </c>
      <c r="K1299">
        <f t="shared" si="40"/>
        <v>126.8</v>
      </c>
      <c r="L1299">
        <f t="shared" si="41"/>
        <v>126.8</v>
      </c>
      <c r="M1299" t="s">
        <v>25</v>
      </c>
      <c r="O1299" s="7">
        <v>44247</v>
      </c>
      <c r="Q1299" t="s">
        <v>226</v>
      </c>
      <c r="R1299" t="s">
        <v>222</v>
      </c>
    </row>
    <row r="1300" spans="1:18" x14ac:dyDescent="0.15">
      <c r="A1300" t="s">
        <v>308</v>
      </c>
      <c r="B1300" t="s">
        <v>349</v>
      </c>
      <c r="D1300">
        <v>59</v>
      </c>
      <c r="E1300" t="s">
        <v>75</v>
      </c>
      <c r="G1300">
        <v>127.65</v>
      </c>
      <c r="H1300">
        <v>127.8</v>
      </c>
      <c r="I1300" t="s">
        <v>22</v>
      </c>
      <c r="K1300">
        <f t="shared" si="40"/>
        <v>127.65</v>
      </c>
      <c r="L1300">
        <f t="shared" si="41"/>
        <v>127.8</v>
      </c>
      <c r="M1300" t="s">
        <v>25</v>
      </c>
      <c r="O1300" s="7">
        <v>44247</v>
      </c>
      <c r="Q1300" t="s">
        <v>226</v>
      </c>
      <c r="R1300" t="s">
        <v>222</v>
      </c>
    </row>
    <row r="1301" spans="1:18" x14ac:dyDescent="0.15">
      <c r="A1301" t="s">
        <v>308</v>
      </c>
      <c r="B1301" t="s">
        <v>349</v>
      </c>
      <c r="D1301">
        <v>2</v>
      </c>
      <c r="E1301" t="s">
        <v>75</v>
      </c>
      <c r="G1301">
        <v>183.3</v>
      </c>
      <c r="H1301">
        <v>183.8</v>
      </c>
      <c r="I1301" t="s">
        <v>94</v>
      </c>
      <c r="K1301">
        <f t="shared" si="40"/>
        <v>183.3</v>
      </c>
      <c r="L1301">
        <f t="shared" si="41"/>
        <v>183.8</v>
      </c>
      <c r="M1301" t="s">
        <v>25</v>
      </c>
      <c r="O1301" s="7">
        <v>44249</v>
      </c>
      <c r="Q1301" t="s">
        <v>226</v>
      </c>
      <c r="R1301" t="s">
        <v>222</v>
      </c>
    </row>
    <row r="1302" spans="1:18" x14ac:dyDescent="0.15">
      <c r="A1302" t="s">
        <v>308</v>
      </c>
      <c r="B1302" t="s">
        <v>349</v>
      </c>
      <c r="D1302">
        <v>2</v>
      </c>
      <c r="E1302" t="s">
        <v>75</v>
      </c>
      <c r="G1302">
        <v>182.8</v>
      </c>
      <c r="H1302">
        <v>183.3</v>
      </c>
      <c r="I1302" t="s">
        <v>94</v>
      </c>
      <c r="K1302">
        <f t="shared" si="40"/>
        <v>182.8</v>
      </c>
      <c r="L1302">
        <f t="shared" si="41"/>
        <v>183.3</v>
      </c>
      <c r="M1302" t="s">
        <v>25</v>
      </c>
      <c r="O1302" s="7">
        <v>44250</v>
      </c>
      <c r="Q1302" t="s">
        <v>226</v>
      </c>
      <c r="R1302" t="s">
        <v>222</v>
      </c>
    </row>
    <row r="1303" spans="1:18" x14ac:dyDescent="0.15">
      <c r="A1303" t="s">
        <v>308</v>
      </c>
      <c r="B1303" t="s">
        <v>349</v>
      </c>
      <c r="D1303">
        <v>67</v>
      </c>
      <c r="E1303" t="s">
        <v>74</v>
      </c>
      <c r="G1303">
        <v>49.6</v>
      </c>
      <c r="H1303">
        <v>49.5</v>
      </c>
      <c r="I1303" t="s">
        <v>95</v>
      </c>
      <c r="K1303">
        <f t="shared" si="40"/>
        <v>49.5</v>
      </c>
      <c r="L1303">
        <f t="shared" si="41"/>
        <v>49.6</v>
      </c>
      <c r="M1303" t="s">
        <v>25</v>
      </c>
      <c r="O1303" s="7">
        <v>44251</v>
      </c>
      <c r="Q1303" t="s">
        <v>231</v>
      </c>
      <c r="R1303" t="s">
        <v>222</v>
      </c>
    </row>
    <row r="1304" spans="1:18" x14ac:dyDescent="0.15">
      <c r="A1304" t="s">
        <v>308</v>
      </c>
      <c r="B1304" t="s">
        <v>349</v>
      </c>
      <c r="D1304">
        <v>2</v>
      </c>
      <c r="E1304" t="s">
        <v>74</v>
      </c>
      <c r="G1304">
        <v>169.9</v>
      </c>
      <c r="H1304">
        <v>169.6</v>
      </c>
      <c r="I1304" t="s">
        <v>217</v>
      </c>
      <c r="J1304" t="s">
        <v>23</v>
      </c>
      <c r="K1304">
        <f t="shared" si="40"/>
        <v>169.6</v>
      </c>
      <c r="L1304">
        <f t="shared" si="41"/>
        <v>169.9</v>
      </c>
      <c r="M1304" t="s">
        <v>310</v>
      </c>
      <c r="O1304" s="7">
        <v>44262</v>
      </c>
      <c r="Q1304" t="s">
        <v>335</v>
      </c>
      <c r="R1304" t="s">
        <v>222</v>
      </c>
    </row>
    <row r="1305" spans="1:18" x14ac:dyDescent="0.15">
      <c r="A1305" t="s">
        <v>308</v>
      </c>
      <c r="B1305" t="s">
        <v>349</v>
      </c>
      <c r="D1305">
        <v>58</v>
      </c>
      <c r="E1305" t="s">
        <v>75</v>
      </c>
      <c r="G1305">
        <v>15.35</v>
      </c>
      <c r="H1305">
        <v>13.45</v>
      </c>
      <c r="I1305" t="s">
        <v>181</v>
      </c>
      <c r="K1305">
        <f t="shared" si="40"/>
        <v>13.45</v>
      </c>
      <c r="L1305">
        <f t="shared" si="41"/>
        <v>15.35</v>
      </c>
      <c r="M1305" t="s">
        <v>311</v>
      </c>
      <c r="O1305" s="7">
        <v>44275</v>
      </c>
      <c r="Q1305" t="s">
        <v>336</v>
      </c>
      <c r="R1305" t="s">
        <v>222</v>
      </c>
    </row>
    <row r="1306" spans="1:18" x14ac:dyDescent="0.15">
      <c r="A1306" t="s">
        <v>308</v>
      </c>
      <c r="B1306" t="s">
        <v>349</v>
      </c>
      <c r="D1306">
        <v>58</v>
      </c>
      <c r="E1306" t="s">
        <v>75</v>
      </c>
      <c r="G1306">
        <v>16.25</v>
      </c>
      <c r="H1306">
        <v>17.725000000000001</v>
      </c>
      <c r="I1306" t="s">
        <v>181</v>
      </c>
      <c r="K1306">
        <f t="shared" si="40"/>
        <v>16.25</v>
      </c>
      <c r="L1306">
        <f t="shared" si="41"/>
        <v>17.725000000000001</v>
      </c>
      <c r="M1306" t="s">
        <v>311</v>
      </c>
      <c r="O1306" s="7">
        <v>44275</v>
      </c>
      <c r="Q1306" t="s">
        <v>336</v>
      </c>
      <c r="R1306" t="s">
        <v>222</v>
      </c>
    </row>
    <row r="1307" spans="1:18" x14ac:dyDescent="0.15">
      <c r="A1307" t="s">
        <v>308</v>
      </c>
      <c r="B1307" t="s">
        <v>349</v>
      </c>
      <c r="D1307">
        <v>58</v>
      </c>
      <c r="E1307" t="s">
        <v>75</v>
      </c>
      <c r="G1307">
        <v>16.25</v>
      </c>
      <c r="H1307">
        <v>17.725000000000001</v>
      </c>
      <c r="I1307" t="s">
        <v>22</v>
      </c>
      <c r="K1307">
        <f t="shared" si="40"/>
        <v>16.25</v>
      </c>
      <c r="L1307">
        <f t="shared" si="41"/>
        <v>17.725000000000001</v>
      </c>
      <c r="M1307" t="s">
        <v>311</v>
      </c>
      <c r="O1307" s="7">
        <v>44275</v>
      </c>
      <c r="Q1307" t="s">
        <v>336</v>
      </c>
      <c r="R1307" t="s">
        <v>222</v>
      </c>
    </row>
    <row r="1308" spans="1:18" x14ac:dyDescent="0.15">
      <c r="A1308" t="s">
        <v>308</v>
      </c>
      <c r="B1308" t="s">
        <v>349</v>
      </c>
      <c r="D1308">
        <v>58</v>
      </c>
      <c r="E1308" t="s">
        <v>75</v>
      </c>
      <c r="G1308">
        <v>20.72</v>
      </c>
      <c r="H1308">
        <v>20.82</v>
      </c>
      <c r="I1308" t="s">
        <v>94</v>
      </c>
      <c r="K1308">
        <f t="shared" si="40"/>
        <v>20.72</v>
      </c>
      <c r="L1308">
        <f t="shared" si="41"/>
        <v>20.82</v>
      </c>
      <c r="M1308" s="41" t="s">
        <v>27</v>
      </c>
      <c r="O1308" s="7">
        <v>44275</v>
      </c>
      <c r="Q1308" t="s">
        <v>337</v>
      </c>
      <c r="R1308" t="s">
        <v>222</v>
      </c>
    </row>
    <row r="1309" spans="1:18" x14ac:dyDescent="0.15">
      <c r="A1309" t="s">
        <v>308</v>
      </c>
      <c r="B1309" t="s">
        <v>349</v>
      </c>
      <c r="D1309">
        <v>58</v>
      </c>
      <c r="E1309" t="s">
        <v>75</v>
      </c>
      <c r="G1309">
        <v>20.72</v>
      </c>
      <c r="H1309">
        <v>20.82</v>
      </c>
      <c r="I1309" t="s">
        <v>94</v>
      </c>
      <c r="K1309">
        <f t="shared" si="40"/>
        <v>20.72</v>
      </c>
      <c r="L1309">
        <f t="shared" si="41"/>
        <v>20.82</v>
      </c>
      <c r="M1309" s="41" t="s">
        <v>27</v>
      </c>
      <c r="O1309" s="7">
        <v>44275</v>
      </c>
      <c r="Q1309" t="s">
        <v>335</v>
      </c>
      <c r="R1309" t="s">
        <v>222</v>
      </c>
    </row>
    <row r="1310" spans="1:18" x14ac:dyDescent="0.15">
      <c r="A1310" t="s">
        <v>308</v>
      </c>
      <c r="B1310" t="s">
        <v>349</v>
      </c>
      <c r="D1310">
        <v>58</v>
      </c>
      <c r="E1310" t="s">
        <v>75</v>
      </c>
      <c r="G1310">
        <v>24.364999999999998</v>
      </c>
      <c r="H1310">
        <v>24.39</v>
      </c>
      <c r="I1310" t="s">
        <v>94</v>
      </c>
      <c r="K1310">
        <f t="shared" si="40"/>
        <v>24.364999999999998</v>
      </c>
      <c r="L1310">
        <f t="shared" si="41"/>
        <v>24.39</v>
      </c>
      <c r="M1310" s="41" t="s">
        <v>27</v>
      </c>
      <c r="O1310" s="7">
        <v>44275</v>
      </c>
      <c r="Q1310" t="s">
        <v>335</v>
      </c>
      <c r="R1310" t="s">
        <v>222</v>
      </c>
    </row>
    <row r="1311" spans="1:18" x14ac:dyDescent="0.15">
      <c r="A1311" t="s">
        <v>308</v>
      </c>
      <c r="B1311" t="s">
        <v>349</v>
      </c>
      <c r="D1311">
        <v>58</v>
      </c>
      <c r="E1311" t="s">
        <v>75</v>
      </c>
      <c r="G1311">
        <v>15.115</v>
      </c>
      <c r="H1311">
        <v>15.2</v>
      </c>
      <c r="I1311" t="s">
        <v>181</v>
      </c>
      <c r="K1311">
        <f t="shared" si="40"/>
        <v>15.115</v>
      </c>
      <c r="L1311">
        <f t="shared" si="41"/>
        <v>15.2</v>
      </c>
      <c r="M1311" t="s">
        <v>312</v>
      </c>
      <c r="O1311" s="7">
        <v>44276</v>
      </c>
      <c r="Q1311" t="s">
        <v>226</v>
      </c>
      <c r="R1311" t="s">
        <v>222</v>
      </c>
    </row>
    <row r="1312" spans="1:18" x14ac:dyDescent="0.15">
      <c r="A1312" t="s">
        <v>308</v>
      </c>
      <c r="B1312" t="s">
        <v>349</v>
      </c>
      <c r="D1312">
        <v>58</v>
      </c>
      <c r="E1312" t="s">
        <v>75</v>
      </c>
      <c r="G1312">
        <v>15.35</v>
      </c>
      <c r="H1312">
        <v>15.45</v>
      </c>
      <c r="I1312" t="s">
        <v>181</v>
      </c>
      <c r="K1312">
        <f t="shared" si="40"/>
        <v>15.35</v>
      </c>
      <c r="L1312">
        <f t="shared" si="41"/>
        <v>15.45</v>
      </c>
      <c r="M1312" t="s">
        <v>312</v>
      </c>
      <c r="O1312" s="7">
        <v>44276</v>
      </c>
      <c r="Q1312" t="s">
        <v>226</v>
      </c>
      <c r="R1312" t="s">
        <v>222</v>
      </c>
    </row>
    <row r="1313" spans="1:18" x14ac:dyDescent="0.15">
      <c r="A1313" t="s">
        <v>308</v>
      </c>
      <c r="B1313" t="s">
        <v>349</v>
      </c>
      <c r="D1313">
        <v>58</v>
      </c>
      <c r="E1313" t="s">
        <v>75</v>
      </c>
      <c r="G1313">
        <v>16.2</v>
      </c>
      <c r="H1313">
        <v>17.725000000000001</v>
      </c>
      <c r="I1313" t="s">
        <v>181</v>
      </c>
      <c r="K1313">
        <f t="shared" si="40"/>
        <v>16.2</v>
      </c>
      <c r="L1313">
        <f t="shared" si="41"/>
        <v>17.725000000000001</v>
      </c>
      <c r="M1313" t="s">
        <v>312</v>
      </c>
      <c r="O1313" s="7">
        <v>44276</v>
      </c>
      <c r="Q1313" t="s">
        <v>226</v>
      </c>
      <c r="R1313" t="s">
        <v>222</v>
      </c>
    </row>
    <row r="1314" spans="1:18" x14ac:dyDescent="0.15">
      <c r="A1314" t="s">
        <v>308</v>
      </c>
      <c r="B1314" t="s">
        <v>349</v>
      </c>
      <c r="D1314">
        <v>58</v>
      </c>
      <c r="E1314" t="s">
        <v>75</v>
      </c>
      <c r="G1314">
        <v>16.2</v>
      </c>
      <c r="H1314">
        <v>17.725000000000001</v>
      </c>
      <c r="I1314" t="s">
        <v>22</v>
      </c>
      <c r="K1314">
        <f t="shared" si="40"/>
        <v>16.2</v>
      </c>
      <c r="L1314">
        <f t="shared" si="41"/>
        <v>17.725000000000001</v>
      </c>
      <c r="M1314" t="s">
        <v>312</v>
      </c>
      <c r="O1314" s="7">
        <v>44276</v>
      </c>
      <c r="Q1314" t="s">
        <v>226</v>
      </c>
      <c r="R1314" t="s">
        <v>222</v>
      </c>
    </row>
    <row r="1315" spans="1:18" x14ac:dyDescent="0.15">
      <c r="A1315" t="s">
        <v>308</v>
      </c>
      <c r="B1315" t="s">
        <v>349</v>
      </c>
      <c r="D1315">
        <v>58</v>
      </c>
      <c r="E1315" t="s">
        <v>75</v>
      </c>
      <c r="G1315">
        <v>13.3</v>
      </c>
      <c r="H1315">
        <v>13.5</v>
      </c>
      <c r="I1315" t="s">
        <v>181</v>
      </c>
      <c r="K1315">
        <f t="shared" si="40"/>
        <v>13.3</v>
      </c>
      <c r="L1315">
        <f t="shared" si="41"/>
        <v>13.5</v>
      </c>
      <c r="M1315" t="s">
        <v>310</v>
      </c>
      <c r="O1315" s="7">
        <v>44276</v>
      </c>
      <c r="Q1315" t="s">
        <v>335</v>
      </c>
      <c r="R1315" t="s">
        <v>222</v>
      </c>
    </row>
    <row r="1316" spans="1:18" x14ac:dyDescent="0.15">
      <c r="A1316" t="s">
        <v>308</v>
      </c>
      <c r="B1316" t="s">
        <v>349</v>
      </c>
      <c r="D1316">
        <v>58</v>
      </c>
      <c r="E1316" t="s">
        <v>75</v>
      </c>
      <c r="G1316">
        <v>13.31</v>
      </c>
      <c r="H1316">
        <v>13.4</v>
      </c>
      <c r="I1316" t="s">
        <v>22</v>
      </c>
      <c r="K1316">
        <f t="shared" si="40"/>
        <v>13.31</v>
      </c>
      <c r="L1316">
        <f t="shared" si="41"/>
        <v>13.4</v>
      </c>
      <c r="M1316" t="s">
        <v>310</v>
      </c>
      <c r="O1316" s="7">
        <v>44276</v>
      </c>
      <c r="Q1316" t="s">
        <v>335</v>
      </c>
      <c r="R1316" t="s">
        <v>222</v>
      </c>
    </row>
    <row r="1317" spans="1:18" x14ac:dyDescent="0.15">
      <c r="A1317" t="s">
        <v>308</v>
      </c>
      <c r="B1317" t="s">
        <v>349</v>
      </c>
      <c r="D1317">
        <v>58</v>
      </c>
      <c r="E1317" t="s">
        <v>75</v>
      </c>
      <c r="G1317">
        <v>18.899999999999999</v>
      </c>
      <c r="H1317">
        <v>19.2</v>
      </c>
      <c r="I1317" t="s">
        <v>98</v>
      </c>
      <c r="K1317">
        <f t="shared" si="40"/>
        <v>18.899999999999999</v>
      </c>
      <c r="L1317">
        <f t="shared" si="41"/>
        <v>19.2</v>
      </c>
      <c r="M1317" t="s">
        <v>310</v>
      </c>
      <c r="O1317" s="7">
        <v>44276</v>
      </c>
      <c r="Q1317" t="s">
        <v>335</v>
      </c>
      <c r="R1317" t="s">
        <v>222</v>
      </c>
    </row>
    <row r="1318" spans="1:18" x14ac:dyDescent="0.15">
      <c r="A1318" t="s">
        <v>308</v>
      </c>
      <c r="B1318" t="s">
        <v>349</v>
      </c>
      <c r="D1318">
        <v>67</v>
      </c>
      <c r="E1318" t="s">
        <v>75</v>
      </c>
      <c r="G1318">
        <v>4</v>
      </c>
      <c r="H1318">
        <v>4.5750000000000002</v>
      </c>
      <c r="I1318" t="s">
        <v>94</v>
      </c>
      <c r="K1318">
        <f t="shared" si="40"/>
        <v>4</v>
      </c>
      <c r="L1318">
        <f t="shared" si="41"/>
        <v>4.5750000000000002</v>
      </c>
      <c r="M1318" t="s">
        <v>313</v>
      </c>
      <c r="O1318" s="7">
        <v>44277</v>
      </c>
      <c r="Q1318" t="s">
        <v>226</v>
      </c>
      <c r="R1318" t="s">
        <v>222</v>
      </c>
    </row>
    <row r="1319" spans="1:18" x14ac:dyDescent="0.15">
      <c r="A1319" t="s">
        <v>308</v>
      </c>
      <c r="B1319" t="s">
        <v>349</v>
      </c>
      <c r="D1319">
        <v>67</v>
      </c>
      <c r="E1319" t="s">
        <v>75</v>
      </c>
      <c r="G1319">
        <v>4.5750000000000002</v>
      </c>
      <c r="H1319">
        <v>5.125</v>
      </c>
      <c r="I1319" t="s">
        <v>94</v>
      </c>
      <c r="K1319">
        <f t="shared" si="40"/>
        <v>4.5750000000000002</v>
      </c>
      <c r="L1319">
        <f t="shared" si="41"/>
        <v>5.125</v>
      </c>
      <c r="M1319" t="s">
        <v>313</v>
      </c>
      <c r="O1319" s="7">
        <v>44278</v>
      </c>
      <c r="Q1319" t="s">
        <v>226</v>
      </c>
      <c r="R1319" t="s">
        <v>222</v>
      </c>
    </row>
    <row r="1320" spans="1:18" x14ac:dyDescent="0.15">
      <c r="A1320" t="s">
        <v>308</v>
      </c>
      <c r="B1320" t="s">
        <v>349</v>
      </c>
      <c r="D1320">
        <v>67</v>
      </c>
      <c r="E1320" t="s">
        <v>75</v>
      </c>
      <c r="G1320">
        <v>4.9000000000000004</v>
      </c>
      <c r="H1320">
        <v>4.9249999999999998</v>
      </c>
      <c r="I1320" t="s">
        <v>96</v>
      </c>
      <c r="K1320">
        <f t="shared" si="40"/>
        <v>4.9000000000000004</v>
      </c>
      <c r="L1320">
        <f t="shared" si="41"/>
        <v>4.9249999999999998</v>
      </c>
      <c r="M1320" t="s">
        <v>313</v>
      </c>
      <c r="O1320" s="7">
        <v>44278</v>
      </c>
      <c r="Q1320" t="s">
        <v>226</v>
      </c>
      <c r="R1320" t="s">
        <v>222</v>
      </c>
    </row>
    <row r="1321" spans="1:18" x14ac:dyDescent="0.15">
      <c r="A1321" t="s">
        <v>308</v>
      </c>
      <c r="B1321" t="s">
        <v>349</v>
      </c>
      <c r="D1321">
        <v>67</v>
      </c>
      <c r="E1321" t="s">
        <v>75</v>
      </c>
      <c r="G1321">
        <v>5.125</v>
      </c>
      <c r="H1321">
        <v>5.7</v>
      </c>
      <c r="I1321" t="s">
        <v>94</v>
      </c>
      <c r="K1321">
        <f t="shared" si="40"/>
        <v>5.125</v>
      </c>
      <c r="L1321">
        <f t="shared" si="41"/>
        <v>5.7</v>
      </c>
      <c r="M1321" t="s">
        <v>313</v>
      </c>
      <c r="O1321" s="7">
        <v>44279</v>
      </c>
      <c r="Q1321" t="s">
        <v>226</v>
      </c>
      <c r="R1321" t="s">
        <v>222</v>
      </c>
    </row>
    <row r="1322" spans="1:18" x14ac:dyDescent="0.15">
      <c r="A1322" t="s">
        <v>308</v>
      </c>
      <c r="B1322" t="s">
        <v>349</v>
      </c>
      <c r="D1322">
        <v>67</v>
      </c>
      <c r="E1322" t="s">
        <v>75</v>
      </c>
      <c r="G1322">
        <v>5.7</v>
      </c>
      <c r="H1322">
        <v>6.1</v>
      </c>
      <c r="I1322" t="s">
        <v>94</v>
      </c>
      <c r="K1322">
        <f t="shared" si="40"/>
        <v>5.7</v>
      </c>
      <c r="L1322">
        <f t="shared" si="41"/>
        <v>6.1</v>
      </c>
      <c r="M1322" t="s">
        <v>313</v>
      </c>
      <c r="O1322" s="7">
        <v>44280</v>
      </c>
      <c r="Q1322" t="s">
        <v>226</v>
      </c>
      <c r="R1322" t="s">
        <v>222</v>
      </c>
    </row>
    <row r="1323" spans="1:18" x14ac:dyDescent="0.15">
      <c r="A1323" t="s">
        <v>308</v>
      </c>
      <c r="B1323" t="s">
        <v>349</v>
      </c>
      <c r="D1323">
        <v>67</v>
      </c>
      <c r="E1323" t="s">
        <v>74</v>
      </c>
      <c r="G1323">
        <v>7.3</v>
      </c>
      <c r="H1323">
        <v>7.1</v>
      </c>
      <c r="I1323" t="s">
        <v>92</v>
      </c>
      <c r="K1323">
        <f t="shared" si="40"/>
        <v>7.1</v>
      </c>
      <c r="L1323">
        <f t="shared" si="41"/>
        <v>7.3</v>
      </c>
      <c r="M1323" t="s">
        <v>313</v>
      </c>
      <c r="O1323" s="7">
        <v>44284</v>
      </c>
      <c r="Q1323" t="s">
        <v>226</v>
      </c>
      <c r="R1323" t="s">
        <v>222</v>
      </c>
    </row>
    <row r="1324" spans="1:18" x14ac:dyDescent="0.15">
      <c r="A1324" t="s">
        <v>308</v>
      </c>
      <c r="B1324" t="s">
        <v>349</v>
      </c>
      <c r="D1324">
        <v>67</v>
      </c>
      <c r="E1324" t="s">
        <v>74</v>
      </c>
      <c r="G1324">
        <v>7.1</v>
      </c>
      <c r="H1324">
        <v>7</v>
      </c>
      <c r="I1324" t="s">
        <v>92</v>
      </c>
      <c r="K1324">
        <f t="shared" si="40"/>
        <v>7</v>
      </c>
      <c r="L1324">
        <f t="shared" si="41"/>
        <v>7.1</v>
      </c>
      <c r="M1324" t="s">
        <v>313</v>
      </c>
      <c r="O1324" s="7">
        <v>44284</v>
      </c>
      <c r="Q1324" t="s">
        <v>226</v>
      </c>
      <c r="R1324" t="s">
        <v>222</v>
      </c>
    </row>
    <row r="1325" spans="1:18" x14ac:dyDescent="0.15">
      <c r="A1325" t="s">
        <v>308</v>
      </c>
      <c r="B1325" t="s">
        <v>349</v>
      </c>
      <c r="D1325">
        <v>67</v>
      </c>
      <c r="E1325" t="s">
        <v>74</v>
      </c>
      <c r="G1325">
        <v>7.7</v>
      </c>
      <c r="H1325">
        <v>7.5</v>
      </c>
      <c r="I1325" t="s">
        <v>92</v>
      </c>
      <c r="K1325">
        <f t="shared" si="40"/>
        <v>7.5</v>
      </c>
      <c r="L1325">
        <f t="shared" si="41"/>
        <v>7.7</v>
      </c>
      <c r="M1325" t="s">
        <v>313</v>
      </c>
      <c r="O1325" s="7">
        <v>44285</v>
      </c>
      <c r="Q1325" t="s">
        <v>226</v>
      </c>
      <c r="R1325" t="s">
        <v>222</v>
      </c>
    </row>
    <row r="1326" spans="1:18" x14ac:dyDescent="0.15">
      <c r="A1326" t="s">
        <v>308</v>
      </c>
      <c r="B1326" t="s">
        <v>349</v>
      </c>
      <c r="D1326">
        <v>67</v>
      </c>
      <c r="E1326" t="s">
        <v>74</v>
      </c>
      <c r="G1326">
        <v>7.5</v>
      </c>
      <c r="H1326">
        <v>7.3</v>
      </c>
      <c r="I1326" t="s">
        <v>92</v>
      </c>
      <c r="K1326">
        <f t="shared" si="40"/>
        <v>7.3</v>
      </c>
      <c r="L1326">
        <f t="shared" si="41"/>
        <v>7.5</v>
      </c>
      <c r="M1326" t="s">
        <v>313</v>
      </c>
      <c r="O1326" s="7">
        <v>44285</v>
      </c>
      <c r="Q1326" t="s">
        <v>226</v>
      </c>
      <c r="R1326" t="s">
        <v>222</v>
      </c>
    </row>
    <row r="1327" spans="1:18" x14ac:dyDescent="0.15">
      <c r="A1327" t="s">
        <v>308</v>
      </c>
      <c r="B1327" t="s">
        <v>349</v>
      </c>
      <c r="D1327">
        <v>2</v>
      </c>
      <c r="E1327" t="s">
        <v>309</v>
      </c>
      <c r="G1327">
        <v>166.7</v>
      </c>
      <c r="H1327">
        <v>166.5</v>
      </c>
      <c r="I1327" t="s">
        <v>92</v>
      </c>
      <c r="K1327">
        <f t="shared" si="40"/>
        <v>166.5</v>
      </c>
      <c r="L1327">
        <f t="shared" si="41"/>
        <v>166.7</v>
      </c>
      <c r="M1327" t="s">
        <v>310</v>
      </c>
      <c r="O1327" s="7">
        <v>44286</v>
      </c>
      <c r="Q1327" t="s">
        <v>338</v>
      </c>
      <c r="R1327" t="s">
        <v>222</v>
      </c>
    </row>
    <row r="1328" spans="1:18" x14ac:dyDescent="0.15">
      <c r="A1328" t="s">
        <v>308</v>
      </c>
      <c r="B1328" t="s">
        <v>349</v>
      </c>
      <c r="D1328">
        <v>67</v>
      </c>
      <c r="E1328" t="s">
        <v>75</v>
      </c>
      <c r="G1328">
        <v>36.76</v>
      </c>
      <c r="H1328">
        <v>36.9</v>
      </c>
      <c r="I1328" t="s">
        <v>94</v>
      </c>
      <c r="K1328">
        <f t="shared" si="40"/>
        <v>36.76</v>
      </c>
      <c r="L1328">
        <f t="shared" si="41"/>
        <v>36.9</v>
      </c>
      <c r="M1328" t="s">
        <v>313</v>
      </c>
      <c r="O1328" s="7">
        <v>44296</v>
      </c>
      <c r="Q1328" t="s">
        <v>226</v>
      </c>
      <c r="R1328" t="s">
        <v>222</v>
      </c>
    </row>
    <row r="1329" spans="1:18" x14ac:dyDescent="0.15">
      <c r="A1329" t="s">
        <v>308</v>
      </c>
      <c r="B1329" t="s">
        <v>349</v>
      </c>
      <c r="D1329">
        <v>67</v>
      </c>
      <c r="E1329" t="s">
        <v>75</v>
      </c>
      <c r="G1329">
        <v>28.75</v>
      </c>
      <c r="H1329">
        <v>28.85</v>
      </c>
      <c r="I1329" t="s">
        <v>94</v>
      </c>
      <c r="K1329">
        <f t="shared" si="40"/>
        <v>28.75</v>
      </c>
      <c r="L1329">
        <f t="shared" si="41"/>
        <v>28.85</v>
      </c>
      <c r="M1329" t="s">
        <v>313</v>
      </c>
      <c r="O1329" s="7">
        <v>44296</v>
      </c>
      <c r="Q1329" t="s">
        <v>226</v>
      </c>
      <c r="R1329" t="s">
        <v>222</v>
      </c>
    </row>
    <row r="1330" spans="1:18" x14ac:dyDescent="0.15">
      <c r="A1330" t="s">
        <v>308</v>
      </c>
      <c r="B1330" t="s">
        <v>349</v>
      </c>
      <c r="D1330">
        <v>67</v>
      </c>
      <c r="E1330" t="s">
        <v>75</v>
      </c>
      <c r="G1330">
        <v>25.024999999999999</v>
      </c>
      <c r="H1330">
        <v>25.125</v>
      </c>
      <c r="I1330" t="s">
        <v>217</v>
      </c>
      <c r="J1330" t="s">
        <v>23</v>
      </c>
      <c r="K1330">
        <f t="shared" si="40"/>
        <v>25.024999999999999</v>
      </c>
      <c r="L1330">
        <f t="shared" si="41"/>
        <v>25.125</v>
      </c>
      <c r="M1330" t="s">
        <v>314</v>
      </c>
      <c r="O1330" s="7">
        <v>44297</v>
      </c>
      <c r="Q1330" t="s">
        <v>336</v>
      </c>
      <c r="R1330" t="s">
        <v>222</v>
      </c>
    </row>
    <row r="1331" spans="1:18" x14ac:dyDescent="0.15">
      <c r="A1331" t="s">
        <v>308</v>
      </c>
      <c r="B1331" t="s">
        <v>349</v>
      </c>
      <c r="D1331">
        <v>67</v>
      </c>
      <c r="E1331" t="s">
        <v>75</v>
      </c>
      <c r="G1331">
        <v>24.85</v>
      </c>
      <c r="H1331">
        <v>25.125</v>
      </c>
      <c r="I1331" t="s">
        <v>217</v>
      </c>
      <c r="J1331" t="s">
        <v>23</v>
      </c>
      <c r="K1331">
        <f t="shared" si="40"/>
        <v>24.85</v>
      </c>
      <c r="L1331">
        <f t="shared" si="41"/>
        <v>25.125</v>
      </c>
      <c r="M1331" t="s">
        <v>313</v>
      </c>
      <c r="O1331" s="7">
        <v>44297</v>
      </c>
      <c r="Q1331" t="s">
        <v>226</v>
      </c>
      <c r="R1331" t="s">
        <v>222</v>
      </c>
    </row>
    <row r="1332" spans="1:18" x14ac:dyDescent="0.15">
      <c r="A1332" t="s">
        <v>308</v>
      </c>
      <c r="B1332" t="s">
        <v>349</v>
      </c>
      <c r="D1332">
        <v>65</v>
      </c>
      <c r="E1332" t="s">
        <v>74</v>
      </c>
      <c r="G1332">
        <v>11.2</v>
      </c>
      <c r="H1332">
        <v>10.9</v>
      </c>
      <c r="I1332" t="s">
        <v>92</v>
      </c>
      <c r="K1332">
        <f t="shared" si="40"/>
        <v>10.9</v>
      </c>
      <c r="L1332">
        <f t="shared" si="41"/>
        <v>11.2</v>
      </c>
      <c r="M1332" t="s">
        <v>315</v>
      </c>
      <c r="O1332" s="7">
        <v>44301</v>
      </c>
      <c r="Q1332" t="s">
        <v>339</v>
      </c>
      <c r="R1332" t="s">
        <v>222</v>
      </c>
    </row>
    <row r="1333" spans="1:18" x14ac:dyDescent="0.15">
      <c r="A1333" t="s">
        <v>308</v>
      </c>
      <c r="B1333" t="s">
        <v>349</v>
      </c>
      <c r="D1333">
        <v>50</v>
      </c>
      <c r="E1333" t="s">
        <v>75</v>
      </c>
      <c r="G1333">
        <v>133</v>
      </c>
      <c r="H1333">
        <v>133.19999999999999</v>
      </c>
      <c r="I1333" t="s">
        <v>94</v>
      </c>
      <c r="K1333">
        <f t="shared" si="40"/>
        <v>133</v>
      </c>
      <c r="L1333">
        <f t="shared" si="41"/>
        <v>133.19999999999999</v>
      </c>
      <c r="M1333" t="s">
        <v>313</v>
      </c>
      <c r="O1333" s="7">
        <v>44307</v>
      </c>
      <c r="Q1333" t="s">
        <v>226</v>
      </c>
      <c r="R1333" t="s">
        <v>222</v>
      </c>
    </row>
    <row r="1334" spans="1:18" x14ac:dyDescent="0.15">
      <c r="A1334" t="s">
        <v>308</v>
      </c>
      <c r="B1334" t="s">
        <v>349</v>
      </c>
      <c r="D1334">
        <v>50</v>
      </c>
      <c r="E1334" t="s">
        <v>75</v>
      </c>
      <c r="G1334">
        <v>132.1</v>
      </c>
      <c r="H1334">
        <v>132.30000000000001</v>
      </c>
      <c r="I1334" t="s">
        <v>94</v>
      </c>
      <c r="K1334">
        <f t="shared" si="40"/>
        <v>132.1</v>
      </c>
      <c r="L1334">
        <f t="shared" si="41"/>
        <v>132.30000000000001</v>
      </c>
      <c r="M1334" t="s">
        <v>313</v>
      </c>
      <c r="O1334" s="7">
        <v>44307</v>
      </c>
      <c r="Q1334" t="s">
        <v>226</v>
      </c>
      <c r="R1334" t="s">
        <v>222</v>
      </c>
    </row>
    <row r="1335" spans="1:18" x14ac:dyDescent="0.15">
      <c r="A1335" t="s">
        <v>308</v>
      </c>
      <c r="B1335" t="s">
        <v>349</v>
      </c>
      <c r="D1335">
        <v>67</v>
      </c>
      <c r="E1335" t="s">
        <v>74</v>
      </c>
      <c r="G1335">
        <v>37.4</v>
      </c>
      <c r="H1335">
        <v>37.5</v>
      </c>
      <c r="I1335" t="s">
        <v>91</v>
      </c>
      <c r="K1335">
        <f t="shared" si="40"/>
        <v>37.4</v>
      </c>
      <c r="L1335">
        <f t="shared" si="41"/>
        <v>37.5</v>
      </c>
      <c r="M1335" t="s">
        <v>313</v>
      </c>
      <c r="O1335" s="7">
        <v>44311</v>
      </c>
      <c r="Q1335" t="s">
        <v>226</v>
      </c>
      <c r="R1335" t="s">
        <v>222</v>
      </c>
    </row>
    <row r="1336" spans="1:18" x14ac:dyDescent="0.15">
      <c r="A1336" t="s">
        <v>308</v>
      </c>
      <c r="B1336" t="s">
        <v>349</v>
      </c>
      <c r="D1336">
        <v>67</v>
      </c>
      <c r="E1336" t="s">
        <v>74</v>
      </c>
      <c r="G1336">
        <v>38.15</v>
      </c>
      <c r="H1336">
        <v>38</v>
      </c>
      <c r="I1336" t="s">
        <v>92</v>
      </c>
      <c r="K1336">
        <f t="shared" si="40"/>
        <v>38</v>
      </c>
      <c r="L1336">
        <f t="shared" si="41"/>
        <v>38.15</v>
      </c>
      <c r="M1336" t="s">
        <v>313</v>
      </c>
      <c r="O1336" s="7">
        <v>44311</v>
      </c>
      <c r="Q1336" t="s">
        <v>226</v>
      </c>
      <c r="R1336" t="s">
        <v>222</v>
      </c>
    </row>
    <row r="1337" spans="1:18" x14ac:dyDescent="0.15">
      <c r="A1337" t="s">
        <v>308</v>
      </c>
      <c r="B1337" t="s">
        <v>349</v>
      </c>
      <c r="D1337">
        <v>67</v>
      </c>
      <c r="E1337" t="s">
        <v>74</v>
      </c>
      <c r="G1337">
        <v>36.15</v>
      </c>
      <c r="H1337">
        <v>36.25</v>
      </c>
      <c r="I1337" t="s">
        <v>217</v>
      </c>
      <c r="K1337">
        <f t="shared" si="40"/>
        <v>36.15</v>
      </c>
      <c r="L1337">
        <f t="shared" si="41"/>
        <v>36.25</v>
      </c>
      <c r="M1337" t="s">
        <v>316</v>
      </c>
      <c r="O1337" s="7">
        <v>44310</v>
      </c>
      <c r="Q1337" t="s">
        <v>336</v>
      </c>
      <c r="R1337" t="s">
        <v>222</v>
      </c>
    </row>
    <row r="1338" spans="1:18" x14ac:dyDescent="0.15">
      <c r="A1338" t="s">
        <v>308</v>
      </c>
      <c r="B1338" t="s">
        <v>349</v>
      </c>
      <c r="D1338">
        <v>67</v>
      </c>
      <c r="E1338" t="s">
        <v>74</v>
      </c>
      <c r="G1338">
        <v>36.15</v>
      </c>
      <c r="H1338">
        <v>36.454999999999998</v>
      </c>
      <c r="I1338" t="s">
        <v>217</v>
      </c>
      <c r="K1338">
        <f t="shared" si="40"/>
        <v>36.15</v>
      </c>
      <c r="L1338">
        <f t="shared" si="41"/>
        <v>36.454999999999998</v>
      </c>
      <c r="M1338" t="s">
        <v>313</v>
      </c>
      <c r="O1338" s="7">
        <v>44310</v>
      </c>
      <c r="Q1338" t="s">
        <v>226</v>
      </c>
      <c r="R1338" t="s">
        <v>222</v>
      </c>
    </row>
    <row r="1339" spans="1:18" x14ac:dyDescent="0.15">
      <c r="A1339" t="s">
        <v>308</v>
      </c>
      <c r="B1339" t="s">
        <v>349</v>
      </c>
      <c r="D1339">
        <v>65</v>
      </c>
      <c r="E1339" t="s">
        <v>75</v>
      </c>
      <c r="G1339">
        <v>10.199999999999999</v>
      </c>
      <c r="H1339">
        <v>10.4</v>
      </c>
      <c r="I1339" t="s">
        <v>94</v>
      </c>
      <c r="K1339">
        <f t="shared" si="40"/>
        <v>10.199999999999999</v>
      </c>
      <c r="L1339">
        <f t="shared" si="41"/>
        <v>10.4</v>
      </c>
      <c r="M1339" t="s">
        <v>317</v>
      </c>
      <c r="O1339" s="7">
        <v>44325</v>
      </c>
      <c r="Q1339" t="s">
        <v>231</v>
      </c>
      <c r="R1339" t="s">
        <v>222</v>
      </c>
    </row>
    <row r="1340" spans="1:18" x14ac:dyDescent="0.15">
      <c r="A1340" t="s">
        <v>308</v>
      </c>
      <c r="B1340" t="s">
        <v>349</v>
      </c>
      <c r="D1340">
        <v>65</v>
      </c>
      <c r="E1340" t="s">
        <v>75</v>
      </c>
      <c r="G1340">
        <v>12</v>
      </c>
      <c r="H1340">
        <v>12.1</v>
      </c>
      <c r="I1340" t="s">
        <v>94</v>
      </c>
      <c r="K1340">
        <f t="shared" si="40"/>
        <v>12</v>
      </c>
      <c r="L1340">
        <f t="shared" si="41"/>
        <v>12.1</v>
      </c>
      <c r="M1340" t="s">
        <v>317</v>
      </c>
      <c r="O1340" s="7">
        <v>44325</v>
      </c>
      <c r="Q1340" t="s">
        <v>231</v>
      </c>
      <c r="R1340" t="s">
        <v>222</v>
      </c>
    </row>
    <row r="1341" spans="1:18" x14ac:dyDescent="0.15">
      <c r="A1341" t="s">
        <v>308</v>
      </c>
      <c r="B1341" t="s">
        <v>349</v>
      </c>
      <c r="D1341">
        <v>65</v>
      </c>
      <c r="E1341" t="s">
        <v>75</v>
      </c>
      <c r="G1341">
        <v>13.5</v>
      </c>
      <c r="H1341">
        <v>13.6</v>
      </c>
      <c r="I1341" t="s">
        <v>94</v>
      </c>
      <c r="K1341">
        <f t="shared" si="40"/>
        <v>13.5</v>
      </c>
      <c r="L1341">
        <f t="shared" si="41"/>
        <v>13.6</v>
      </c>
      <c r="M1341" t="s">
        <v>317</v>
      </c>
      <c r="O1341" s="7">
        <v>44325</v>
      </c>
      <c r="Q1341" t="s">
        <v>231</v>
      </c>
      <c r="R1341" t="s">
        <v>222</v>
      </c>
    </row>
    <row r="1342" spans="1:18" x14ac:dyDescent="0.15">
      <c r="A1342" t="s">
        <v>308</v>
      </c>
      <c r="B1342" t="s">
        <v>349</v>
      </c>
      <c r="D1342">
        <v>65</v>
      </c>
      <c r="E1342" t="s">
        <v>75</v>
      </c>
      <c r="G1342">
        <v>13.9</v>
      </c>
      <c r="H1342">
        <v>14</v>
      </c>
      <c r="I1342" t="s">
        <v>94</v>
      </c>
      <c r="K1342">
        <f t="shared" si="40"/>
        <v>13.9</v>
      </c>
      <c r="L1342">
        <f t="shared" si="41"/>
        <v>14</v>
      </c>
      <c r="M1342" t="s">
        <v>317</v>
      </c>
      <c r="O1342" s="7">
        <v>44325</v>
      </c>
      <c r="Q1342" t="s">
        <v>231</v>
      </c>
      <c r="R1342" t="s">
        <v>222</v>
      </c>
    </row>
    <row r="1343" spans="1:18" x14ac:dyDescent="0.15">
      <c r="A1343" t="s">
        <v>308</v>
      </c>
      <c r="B1343" t="s">
        <v>349</v>
      </c>
      <c r="D1343">
        <v>65</v>
      </c>
      <c r="E1343" t="s">
        <v>75</v>
      </c>
      <c r="G1343">
        <v>5.3</v>
      </c>
      <c r="H1343">
        <v>5.5</v>
      </c>
      <c r="I1343" t="s">
        <v>96</v>
      </c>
      <c r="K1343">
        <f t="shared" si="40"/>
        <v>5.3</v>
      </c>
      <c r="L1343">
        <f t="shared" si="41"/>
        <v>5.5</v>
      </c>
      <c r="M1343" t="s">
        <v>318</v>
      </c>
      <c r="O1343" s="7">
        <v>44325</v>
      </c>
      <c r="Q1343" t="s">
        <v>340</v>
      </c>
      <c r="R1343" t="s">
        <v>222</v>
      </c>
    </row>
    <row r="1344" spans="1:18" x14ac:dyDescent="0.15">
      <c r="A1344" t="s">
        <v>308</v>
      </c>
      <c r="B1344" t="s">
        <v>349</v>
      </c>
      <c r="D1344">
        <v>65</v>
      </c>
      <c r="E1344" t="s">
        <v>75</v>
      </c>
      <c r="G1344">
        <v>5.5</v>
      </c>
      <c r="H1344">
        <v>5.6</v>
      </c>
      <c r="I1344" t="s">
        <v>96</v>
      </c>
      <c r="K1344">
        <f t="shared" si="40"/>
        <v>5.5</v>
      </c>
      <c r="L1344">
        <f t="shared" si="41"/>
        <v>5.6</v>
      </c>
      <c r="M1344" t="s">
        <v>315</v>
      </c>
      <c r="O1344" s="7">
        <v>44325</v>
      </c>
      <c r="Q1344" t="s">
        <v>339</v>
      </c>
      <c r="R1344" t="s">
        <v>222</v>
      </c>
    </row>
    <row r="1345" spans="1:18" x14ac:dyDescent="0.15">
      <c r="A1345" t="s">
        <v>308</v>
      </c>
      <c r="B1345" t="s">
        <v>349</v>
      </c>
      <c r="D1345">
        <v>65</v>
      </c>
      <c r="E1345" t="s">
        <v>75</v>
      </c>
      <c r="G1345">
        <v>5.5</v>
      </c>
      <c r="H1345">
        <v>5.6</v>
      </c>
      <c r="I1345" t="s">
        <v>94</v>
      </c>
      <c r="K1345">
        <f t="shared" ref="K1345:K1408" si="42">MIN(G1345:H1345)</f>
        <v>5.5</v>
      </c>
      <c r="L1345">
        <f t="shared" ref="L1345:L1408" si="43">MAX(G1345:H1345)</f>
        <v>5.6</v>
      </c>
      <c r="M1345" t="s">
        <v>315</v>
      </c>
      <c r="O1345" s="7">
        <v>44325</v>
      </c>
      <c r="Q1345" t="s">
        <v>339</v>
      </c>
      <c r="R1345" t="s">
        <v>222</v>
      </c>
    </row>
    <row r="1346" spans="1:18" x14ac:dyDescent="0.15">
      <c r="A1346" t="s">
        <v>308</v>
      </c>
      <c r="B1346" t="s">
        <v>349</v>
      </c>
      <c r="D1346">
        <v>65</v>
      </c>
      <c r="E1346" t="s">
        <v>75</v>
      </c>
      <c r="G1346">
        <v>8.1999999999999993</v>
      </c>
      <c r="H1346">
        <v>8.3000000000000007</v>
      </c>
      <c r="I1346" t="s">
        <v>96</v>
      </c>
      <c r="K1346">
        <f t="shared" si="42"/>
        <v>8.1999999999999993</v>
      </c>
      <c r="L1346">
        <f t="shared" si="43"/>
        <v>8.3000000000000007</v>
      </c>
      <c r="M1346" t="s">
        <v>318</v>
      </c>
      <c r="O1346" s="7">
        <v>44325</v>
      </c>
      <c r="Q1346" t="s">
        <v>340</v>
      </c>
      <c r="R1346" t="s">
        <v>222</v>
      </c>
    </row>
    <row r="1347" spans="1:18" x14ac:dyDescent="0.15">
      <c r="A1347" t="s">
        <v>308</v>
      </c>
      <c r="B1347" t="s">
        <v>349</v>
      </c>
      <c r="D1347">
        <v>65</v>
      </c>
      <c r="E1347" t="s">
        <v>75</v>
      </c>
      <c r="G1347">
        <v>9.6999999999999993</v>
      </c>
      <c r="H1347">
        <v>9.8000000000000007</v>
      </c>
      <c r="I1347" t="s">
        <v>96</v>
      </c>
      <c r="K1347">
        <f t="shared" si="42"/>
        <v>9.6999999999999993</v>
      </c>
      <c r="L1347">
        <f t="shared" si="43"/>
        <v>9.8000000000000007</v>
      </c>
      <c r="M1347" t="s">
        <v>318</v>
      </c>
      <c r="O1347" s="7">
        <v>44325</v>
      </c>
      <c r="Q1347" t="s">
        <v>340</v>
      </c>
      <c r="R1347" t="s">
        <v>222</v>
      </c>
    </row>
    <row r="1348" spans="1:18" x14ac:dyDescent="0.15">
      <c r="A1348" t="s">
        <v>308</v>
      </c>
      <c r="B1348" t="s">
        <v>349</v>
      </c>
      <c r="D1348">
        <v>65</v>
      </c>
      <c r="E1348" t="s">
        <v>75</v>
      </c>
      <c r="G1348">
        <v>9.9</v>
      </c>
      <c r="H1348">
        <v>10</v>
      </c>
      <c r="I1348" t="s">
        <v>96</v>
      </c>
      <c r="K1348">
        <f t="shared" si="42"/>
        <v>9.9</v>
      </c>
      <c r="L1348">
        <f t="shared" si="43"/>
        <v>10</v>
      </c>
      <c r="M1348" t="s">
        <v>318</v>
      </c>
      <c r="O1348" s="7">
        <v>44325</v>
      </c>
      <c r="Q1348" t="s">
        <v>340</v>
      </c>
      <c r="R1348" t="s">
        <v>222</v>
      </c>
    </row>
    <row r="1349" spans="1:18" x14ac:dyDescent="0.15">
      <c r="A1349" t="s">
        <v>308</v>
      </c>
      <c r="B1349" t="s">
        <v>349</v>
      </c>
      <c r="D1349">
        <v>65</v>
      </c>
      <c r="E1349" t="s">
        <v>75</v>
      </c>
      <c r="G1349">
        <v>10.1</v>
      </c>
      <c r="H1349">
        <v>10.199999999999999</v>
      </c>
      <c r="I1349" t="s">
        <v>96</v>
      </c>
      <c r="K1349">
        <f t="shared" si="42"/>
        <v>10.1</v>
      </c>
      <c r="L1349">
        <f t="shared" si="43"/>
        <v>10.199999999999999</v>
      </c>
      <c r="M1349" t="s">
        <v>318</v>
      </c>
      <c r="O1349" s="7">
        <v>44325</v>
      </c>
      <c r="Q1349" t="s">
        <v>340</v>
      </c>
      <c r="R1349" t="s">
        <v>222</v>
      </c>
    </row>
    <row r="1350" spans="1:18" x14ac:dyDescent="0.15">
      <c r="A1350" t="s">
        <v>308</v>
      </c>
      <c r="B1350" t="s">
        <v>349</v>
      </c>
      <c r="D1350">
        <v>65</v>
      </c>
      <c r="E1350" t="s">
        <v>75</v>
      </c>
      <c r="G1350">
        <v>10.1</v>
      </c>
      <c r="H1350">
        <v>10.199999999999999</v>
      </c>
      <c r="I1350" t="s">
        <v>94</v>
      </c>
      <c r="K1350">
        <f t="shared" si="42"/>
        <v>10.1</v>
      </c>
      <c r="L1350">
        <f t="shared" si="43"/>
        <v>10.199999999999999</v>
      </c>
      <c r="M1350" t="s">
        <v>318</v>
      </c>
      <c r="O1350" s="7">
        <v>44325</v>
      </c>
      <c r="Q1350" t="s">
        <v>340</v>
      </c>
      <c r="R1350" t="s">
        <v>222</v>
      </c>
    </row>
    <row r="1351" spans="1:18" x14ac:dyDescent="0.15">
      <c r="A1351" t="s">
        <v>308</v>
      </c>
      <c r="B1351" t="s">
        <v>349</v>
      </c>
      <c r="D1351">
        <v>73</v>
      </c>
      <c r="E1351" t="s">
        <v>74</v>
      </c>
      <c r="G1351">
        <v>92.9</v>
      </c>
      <c r="H1351">
        <v>92.87</v>
      </c>
      <c r="I1351" t="s">
        <v>91</v>
      </c>
      <c r="K1351">
        <f t="shared" si="42"/>
        <v>92.87</v>
      </c>
      <c r="L1351">
        <f t="shared" si="43"/>
        <v>92.9</v>
      </c>
      <c r="M1351" t="s">
        <v>313</v>
      </c>
      <c r="O1351" s="7">
        <v>44345</v>
      </c>
      <c r="Q1351" t="s">
        <v>226</v>
      </c>
      <c r="R1351" t="s">
        <v>222</v>
      </c>
    </row>
    <row r="1352" spans="1:18" x14ac:dyDescent="0.15">
      <c r="A1352" t="s">
        <v>308</v>
      </c>
      <c r="B1352" t="s">
        <v>349</v>
      </c>
      <c r="D1352">
        <v>73</v>
      </c>
      <c r="E1352" t="s">
        <v>74</v>
      </c>
      <c r="G1352">
        <v>92.9</v>
      </c>
      <c r="H1352">
        <v>92.82</v>
      </c>
      <c r="I1352" t="s">
        <v>92</v>
      </c>
      <c r="K1352">
        <f t="shared" si="42"/>
        <v>92.82</v>
      </c>
      <c r="L1352">
        <f t="shared" si="43"/>
        <v>92.9</v>
      </c>
      <c r="M1352" t="s">
        <v>313</v>
      </c>
      <c r="O1352" s="7">
        <v>44345</v>
      </c>
      <c r="Q1352" t="s">
        <v>226</v>
      </c>
      <c r="R1352" t="s">
        <v>222</v>
      </c>
    </row>
    <row r="1353" spans="1:18" x14ac:dyDescent="0.15">
      <c r="A1353" t="s">
        <v>308</v>
      </c>
      <c r="B1353" t="s">
        <v>349</v>
      </c>
      <c r="D1353">
        <v>73</v>
      </c>
      <c r="E1353" t="s">
        <v>74</v>
      </c>
      <c r="G1353">
        <v>92.4</v>
      </c>
      <c r="H1353">
        <v>92.55</v>
      </c>
      <c r="I1353" t="s">
        <v>91</v>
      </c>
      <c r="K1353">
        <f t="shared" si="42"/>
        <v>92.4</v>
      </c>
      <c r="L1353">
        <f t="shared" si="43"/>
        <v>92.55</v>
      </c>
      <c r="M1353" t="s">
        <v>313</v>
      </c>
      <c r="O1353" s="7">
        <v>44345</v>
      </c>
      <c r="Q1353" t="s">
        <v>226</v>
      </c>
      <c r="R1353" t="s">
        <v>222</v>
      </c>
    </row>
    <row r="1354" spans="1:18" x14ac:dyDescent="0.15">
      <c r="A1354" t="s">
        <v>308</v>
      </c>
      <c r="B1354" t="s">
        <v>349</v>
      </c>
      <c r="D1354">
        <v>73</v>
      </c>
      <c r="E1354" t="s">
        <v>74</v>
      </c>
      <c r="G1354">
        <v>92.4</v>
      </c>
      <c r="H1354">
        <v>92.55</v>
      </c>
      <c r="I1354" t="s">
        <v>92</v>
      </c>
      <c r="K1354">
        <f t="shared" si="42"/>
        <v>92.4</v>
      </c>
      <c r="L1354">
        <f t="shared" si="43"/>
        <v>92.55</v>
      </c>
      <c r="M1354" t="s">
        <v>313</v>
      </c>
      <c r="O1354" s="7">
        <v>44345</v>
      </c>
      <c r="Q1354" t="s">
        <v>226</v>
      </c>
      <c r="R1354" t="s">
        <v>222</v>
      </c>
    </row>
    <row r="1355" spans="1:18" x14ac:dyDescent="0.15">
      <c r="A1355" t="s">
        <v>308</v>
      </c>
      <c r="B1355" t="s">
        <v>349</v>
      </c>
      <c r="D1355">
        <v>73</v>
      </c>
      <c r="E1355" t="s">
        <v>74</v>
      </c>
      <c r="G1355">
        <v>92.4</v>
      </c>
      <c r="H1355">
        <v>92.55</v>
      </c>
      <c r="I1355" t="s">
        <v>90</v>
      </c>
      <c r="K1355">
        <f t="shared" si="42"/>
        <v>92.4</v>
      </c>
      <c r="L1355">
        <f t="shared" si="43"/>
        <v>92.55</v>
      </c>
      <c r="M1355" t="s">
        <v>313</v>
      </c>
      <c r="O1355" s="7">
        <v>44345</v>
      </c>
      <c r="Q1355" t="s">
        <v>226</v>
      </c>
      <c r="R1355" t="s">
        <v>222</v>
      </c>
    </row>
    <row r="1356" spans="1:18" x14ac:dyDescent="0.15">
      <c r="A1356" t="s">
        <v>308</v>
      </c>
      <c r="B1356" t="s">
        <v>349</v>
      </c>
      <c r="D1356">
        <v>73</v>
      </c>
      <c r="E1356" t="s">
        <v>74</v>
      </c>
      <c r="G1356">
        <v>91.95</v>
      </c>
      <c r="H1356">
        <v>91.85</v>
      </c>
      <c r="I1356" t="s">
        <v>91</v>
      </c>
      <c r="K1356">
        <f t="shared" si="42"/>
        <v>91.85</v>
      </c>
      <c r="L1356">
        <f t="shared" si="43"/>
        <v>91.95</v>
      </c>
      <c r="M1356" t="s">
        <v>313</v>
      </c>
      <c r="O1356" s="7">
        <v>44345</v>
      </c>
      <c r="Q1356" t="s">
        <v>226</v>
      </c>
      <c r="R1356" t="s">
        <v>222</v>
      </c>
    </row>
    <row r="1357" spans="1:18" x14ac:dyDescent="0.15">
      <c r="A1357" t="s">
        <v>308</v>
      </c>
      <c r="B1357" t="s">
        <v>349</v>
      </c>
      <c r="D1357">
        <v>73</v>
      </c>
      <c r="E1357" t="s">
        <v>74</v>
      </c>
      <c r="G1357">
        <v>90.3</v>
      </c>
      <c r="H1357">
        <v>90.25</v>
      </c>
      <c r="I1357" t="s">
        <v>91</v>
      </c>
      <c r="K1357">
        <f t="shared" si="42"/>
        <v>90.25</v>
      </c>
      <c r="L1357">
        <f t="shared" si="43"/>
        <v>90.3</v>
      </c>
      <c r="M1357" t="s">
        <v>313</v>
      </c>
      <c r="O1357" s="7">
        <v>44345</v>
      </c>
      <c r="Q1357" t="s">
        <v>226</v>
      </c>
      <c r="R1357" t="s">
        <v>222</v>
      </c>
    </row>
    <row r="1358" spans="1:18" x14ac:dyDescent="0.15">
      <c r="A1358" t="s">
        <v>308</v>
      </c>
      <c r="B1358" t="s">
        <v>349</v>
      </c>
      <c r="D1358">
        <v>73</v>
      </c>
      <c r="E1358" t="s">
        <v>74</v>
      </c>
      <c r="G1358">
        <v>90.3</v>
      </c>
      <c r="H1358">
        <v>90.25</v>
      </c>
      <c r="I1358" t="s">
        <v>92</v>
      </c>
      <c r="K1358">
        <f t="shared" si="42"/>
        <v>90.25</v>
      </c>
      <c r="L1358">
        <f t="shared" si="43"/>
        <v>90.3</v>
      </c>
      <c r="M1358" t="s">
        <v>313</v>
      </c>
      <c r="O1358" s="7">
        <v>44345</v>
      </c>
      <c r="Q1358" t="s">
        <v>226</v>
      </c>
      <c r="R1358" t="s">
        <v>222</v>
      </c>
    </row>
    <row r="1359" spans="1:18" x14ac:dyDescent="0.15">
      <c r="A1359" t="s">
        <v>308</v>
      </c>
      <c r="B1359" t="s">
        <v>349</v>
      </c>
      <c r="D1359">
        <v>73</v>
      </c>
      <c r="E1359" t="s">
        <v>74</v>
      </c>
      <c r="G1359">
        <v>90</v>
      </c>
      <c r="H1359">
        <v>89.85</v>
      </c>
      <c r="I1359" t="s">
        <v>95</v>
      </c>
      <c r="K1359">
        <f t="shared" si="42"/>
        <v>89.85</v>
      </c>
      <c r="L1359">
        <f t="shared" si="43"/>
        <v>90</v>
      </c>
      <c r="M1359" t="s">
        <v>313</v>
      </c>
      <c r="O1359" s="7">
        <v>44345</v>
      </c>
      <c r="Q1359" t="s">
        <v>226</v>
      </c>
      <c r="R1359" t="s">
        <v>222</v>
      </c>
    </row>
    <row r="1360" spans="1:18" x14ac:dyDescent="0.15">
      <c r="A1360" t="s">
        <v>308</v>
      </c>
      <c r="B1360" t="s">
        <v>349</v>
      </c>
      <c r="D1360">
        <v>73</v>
      </c>
      <c r="E1360" t="s">
        <v>74</v>
      </c>
      <c r="G1360">
        <v>88.39</v>
      </c>
      <c r="H1360">
        <v>88.397999999999996</v>
      </c>
      <c r="I1360" t="s">
        <v>92</v>
      </c>
      <c r="K1360">
        <f t="shared" si="42"/>
        <v>88.39</v>
      </c>
      <c r="L1360">
        <f t="shared" si="43"/>
        <v>88.397999999999996</v>
      </c>
      <c r="M1360" t="s">
        <v>313</v>
      </c>
      <c r="O1360" s="7">
        <v>44345</v>
      </c>
      <c r="Q1360" t="s">
        <v>226</v>
      </c>
      <c r="R1360" t="s">
        <v>222</v>
      </c>
    </row>
    <row r="1361" spans="1:18" x14ac:dyDescent="0.15">
      <c r="A1361" t="s">
        <v>308</v>
      </c>
      <c r="B1361" t="s">
        <v>349</v>
      </c>
      <c r="D1361">
        <v>73</v>
      </c>
      <c r="E1361" t="s">
        <v>74</v>
      </c>
      <c r="G1361">
        <v>82.6</v>
      </c>
      <c r="H1361">
        <v>82.3</v>
      </c>
      <c r="I1361" t="s">
        <v>291</v>
      </c>
      <c r="K1361">
        <f t="shared" si="42"/>
        <v>82.3</v>
      </c>
      <c r="L1361">
        <f t="shared" si="43"/>
        <v>82.6</v>
      </c>
      <c r="M1361" t="s">
        <v>310</v>
      </c>
      <c r="O1361" s="7">
        <v>44345</v>
      </c>
      <c r="Q1361" t="s">
        <v>338</v>
      </c>
      <c r="R1361" t="s">
        <v>222</v>
      </c>
    </row>
    <row r="1362" spans="1:18" x14ac:dyDescent="0.15">
      <c r="A1362" t="s">
        <v>308</v>
      </c>
      <c r="B1362" t="s">
        <v>349</v>
      </c>
      <c r="D1362">
        <v>73</v>
      </c>
      <c r="E1362" t="s">
        <v>74</v>
      </c>
      <c r="G1362">
        <v>82.6</v>
      </c>
      <c r="H1362">
        <v>82.3</v>
      </c>
      <c r="I1362" t="s">
        <v>92</v>
      </c>
      <c r="K1362">
        <f t="shared" si="42"/>
        <v>82.3</v>
      </c>
      <c r="L1362">
        <f t="shared" si="43"/>
        <v>82.6</v>
      </c>
      <c r="M1362" t="s">
        <v>310</v>
      </c>
      <c r="O1362" s="7">
        <v>44345</v>
      </c>
      <c r="Q1362" t="s">
        <v>338</v>
      </c>
      <c r="R1362" t="s">
        <v>222</v>
      </c>
    </row>
    <row r="1363" spans="1:18" x14ac:dyDescent="0.15">
      <c r="A1363" t="s">
        <v>308</v>
      </c>
      <c r="B1363" t="s">
        <v>349</v>
      </c>
      <c r="D1363">
        <v>73</v>
      </c>
      <c r="E1363" t="s">
        <v>74</v>
      </c>
      <c r="G1363">
        <v>82.7</v>
      </c>
      <c r="H1363">
        <v>82.6</v>
      </c>
      <c r="I1363" t="s">
        <v>91</v>
      </c>
      <c r="K1363">
        <f t="shared" si="42"/>
        <v>82.6</v>
      </c>
      <c r="L1363">
        <f t="shared" si="43"/>
        <v>82.7</v>
      </c>
      <c r="M1363" t="s">
        <v>310</v>
      </c>
      <c r="O1363" s="7">
        <v>44345</v>
      </c>
      <c r="Q1363" t="s">
        <v>338</v>
      </c>
      <c r="R1363" t="s">
        <v>222</v>
      </c>
    </row>
    <row r="1364" spans="1:18" x14ac:dyDescent="0.15">
      <c r="A1364" t="s">
        <v>308</v>
      </c>
      <c r="B1364" t="s">
        <v>349</v>
      </c>
      <c r="D1364">
        <v>73</v>
      </c>
      <c r="E1364" t="s">
        <v>74</v>
      </c>
      <c r="G1364">
        <v>82.6</v>
      </c>
      <c r="H1364">
        <v>82.3</v>
      </c>
      <c r="I1364" t="s">
        <v>91</v>
      </c>
      <c r="K1364">
        <f t="shared" si="42"/>
        <v>82.3</v>
      </c>
      <c r="L1364">
        <f t="shared" si="43"/>
        <v>82.6</v>
      </c>
      <c r="M1364" t="s">
        <v>310</v>
      </c>
      <c r="O1364" s="7">
        <v>44345</v>
      </c>
      <c r="Q1364" t="s">
        <v>338</v>
      </c>
      <c r="R1364" t="s">
        <v>222</v>
      </c>
    </row>
    <row r="1365" spans="1:18" x14ac:dyDescent="0.15">
      <c r="A1365" t="s">
        <v>308</v>
      </c>
      <c r="B1365" t="s">
        <v>349</v>
      </c>
      <c r="D1365">
        <v>73</v>
      </c>
      <c r="E1365" t="s">
        <v>74</v>
      </c>
      <c r="G1365">
        <v>82.3</v>
      </c>
      <c r="H1365">
        <v>82</v>
      </c>
      <c r="I1365" t="s">
        <v>91</v>
      </c>
      <c r="K1365">
        <f t="shared" si="42"/>
        <v>82</v>
      </c>
      <c r="L1365">
        <f t="shared" si="43"/>
        <v>82.3</v>
      </c>
      <c r="M1365" t="s">
        <v>310</v>
      </c>
      <c r="O1365" s="7">
        <v>44345</v>
      </c>
      <c r="Q1365" t="s">
        <v>338</v>
      </c>
      <c r="R1365" t="s">
        <v>222</v>
      </c>
    </row>
    <row r="1366" spans="1:18" x14ac:dyDescent="0.15">
      <c r="A1366" t="s">
        <v>308</v>
      </c>
      <c r="B1366" t="s">
        <v>349</v>
      </c>
      <c r="D1366">
        <v>73</v>
      </c>
      <c r="E1366" t="s">
        <v>74</v>
      </c>
      <c r="G1366">
        <v>81.599999999999994</v>
      </c>
      <c r="H1366">
        <v>81.599999999999994</v>
      </c>
      <c r="I1366" t="s">
        <v>92</v>
      </c>
      <c r="K1366">
        <f t="shared" si="42"/>
        <v>81.599999999999994</v>
      </c>
      <c r="L1366">
        <f t="shared" si="43"/>
        <v>81.599999999999994</v>
      </c>
      <c r="M1366" t="s">
        <v>313</v>
      </c>
      <c r="O1366" s="7">
        <v>44345</v>
      </c>
      <c r="Q1366" t="s">
        <v>226</v>
      </c>
      <c r="R1366" t="s">
        <v>222</v>
      </c>
    </row>
    <row r="1367" spans="1:18" x14ac:dyDescent="0.15">
      <c r="A1367" t="s">
        <v>308</v>
      </c>
      <c r="B1367" t="s">
        <v>349</v>
      </c>
      <c r="D1367">
        <v>73</v>
      </c>
      <c r="E1367" t="s">
        <v>75</v>
      </c>
      <c r="G1367">
        <v>81.8</v>
      </c>
      <c r="H1367">
        <v>81.900000000000006</v>
      </c>
      <c r="I1367" t="s">
        <v>94</v>
      </c>
      <c r="K1367">
        <f t="shared" si="42"/>
        <v>81.8</v>
      </c>
      <c r="L1367">
        <f t="shared" si="43"/>
        <v>81.900000000000006</v>
      </c>
      <c r="M1367" t="s">
        <v>313</v>
      </c>
      <c r="O1367" s="7">
        <v>44352</v>
      </c>
      <c r="Q1367" t="s">
        <v>226</v>
      </c>
      <c r="R1367" t="s">
        <v>222</v>
      </c>
    </row>
    <row r="1368" spans="1:18" x14ac:dyDescent="0.15">
      <c r="A1368" t="s">
        <v>308</v>
      </c>
      <c r="B1368" t="s">
        <v>349</v>
      </c>
      <c r="D1368">
        <v>73</v>
      </c>
      <c r="E1368" t="s">
        <v>75</v>
      </c>
      <c r="G1368">
        <v>82.05</v>
      </c>
      <c r="H1368">
        <v>82.1</v>
      </c>
      <c r="I1368" t="s">
        <v>94</v>
      </c>
      <c r="K1368">
        <f t="shared" si="42"/>
        <v>82.05</v>
      </c>
      <c r="L1368">
        <f t="shared" si="43"/>
        <v>82.1</v>
      </c>
      <c r="M1368" t="s">
        <v>313</v>
      </c>
      <c r="O1368" s="7">
        <v>44352</v>
      </c>
      <c r="Q1368" t="s">
        <v>226</v>
      </c>
      <c r="R1368" t="s">
        <v>222</v>
      </c>
    </row>
    <row r="1369" spans="1:18" x14ac:dyDescent="0.15">
      <c r="A1369" t="s">
        <v>308</v>
      </c>
      <c r="B1369" t="s">
        <v>349</v>
      </c>
      <c r="D1369">
        <v>73</v>
      </c>
      <c r="E1369" t="s">
        <v>75</v>
      </c>
      <c r="G1369">
        <v>82.9</v>
      </c>
      <c r="H1369">
        <v>83</v>
      </c>
      <c r="I1369" t="s">
        <v>94</v>
      </c>
      <c r="K1369">
        <f t="shared" si="42"/>
        <v>82.9</v>
      </c>
      <c r="L1369">
        <f t="shared" si="43"/>
        <v>83</v>
      </c>
      <c r="M1369" t="s">
        <v>313</v>
      </c>
      <c r="O1369" s="7">
        <v>44352</v>
      </c>
      <c r="Q1369" t="s">
        <v>226</v>
      </c>
      <c r="R1369" t="s">
        <v>222</v>
      </c>
    </row>
    <row r="1370" spans="1:18" x14ac:dyDescent="0.15">
      <c r="A1370" t="s">
        <v>308</v>
      </c>
      <c r="B1370" t="s">
        <v>349</v>
      </c>
      <c r="D1370">
        <v>73</v>
      </c>
      <c r="E1370" t="s">
        <v>75</v>
      </c>
      <c r="G1370">
        <v>83</v>
      </c>
      <c r="H1370">
        <v>83.2</v>
      </c>
      <c r="I1370" t="s">
        <v>94</v>
      </c>
      <c r="K1370">
        <f t="shared" si="42"/>
        <v>83</v>
      </c>
      <c r="L1370">
        <f t="shared" si="43"/>
        <v>83.2</v>
      </c>
      <c r="M1370" t="s">
        <v>313</v>
      </c>
      <c r="O1370" s="7">
        <v>44352</v>
      </c>
      <c r="Q1370" t="s">
        <v>226</v>
      </c>
      <c r="R1370" t="s">
        <v>222</v>
      </c>
    </row>
    <row r="1371" spans="1:18" x14ac:dyDescent="0.15">
      <c r="A1371" t="s">
        <v>308</v>
      </c>
      <c r="B1371" t="s">
        <v>349</v>
      </c>
      <c r="D1371">
        <v>73</v>
      </c>
      <c r="E1371" t="s">
        <v>75</v>
      </c>
      <c r="G1371">
        <v>83.45</v>
      </c>
      <c r="H1371">
        <v>83.55</v>
      </c>
      <c r="I1371" t="s">
        <v>94</v>
      </c>
      <c r="K1371">
        <f t="shared" si="42"/>
        <v>83.45</v>
      </c>
      <c r="L1371">
        <f t="shared" si="43"/>
        <v>83.55</v>
      </c>
      <c r="M1371" t="s">
        <v>313</v>
      </c>
      <c r="O1371" s="7">
        <v>44352</v>
      </c>
      <c r="Q1371" t="s">
        <v>226</v>
      </c>
      <c r="R1371" t="s">
        <v>222</v>
      </c>
    </row>
    <row r="1372" spans="1:18" x14ac:dyDescent="0.15">
      <c r="A1372" t="s">
        <v>308</v>
      </c>
      <c r="B1372" t="s">
        <v>349</v>
      </c>
      <c r="D1372">
        <v>73</v>
      </c>
      <c r="E1372" t="s">
        <v>75</v>
      </c>
      <c r="G1372">
        <v>85.05</v>
      </c>
      <c r="H1372">
        <v>85.1</v>
      </c>
      <c r="I1372" t="s">
        <v>94</v>
      </c>
      <c r="K1372">
        <f t="shared" si="42"/>
        <v>85.05</v>
      </c>
      <c r="L1372">
        <f t="shared" si="43"/>
        <v>85.1</v>
      </c>
      <c r="M1372" t="s">
        <v>313</v>
      </c>
      <c r="O1372" s="7">
        <v>44352</v>
      </c>
      <c r="Q1372" t="s">
        <v>226</v>
      </c>
      <c r="R1372" t="s">
        <v>222</v>
      </c>
    </row>
    <row r="1373" spans="1:18" x14ac:dyDescent="0.15">
      <c r="A1373" t="s">
        <v>308</v>
      </c>
      <c r="B1373" t="s">
        <v>349</v>
      </c>
      <c r="D1373">
        <v>73</v>
      </c>
      <c r="E1373" t="s">
        <v>75</v>
      </c>
      <c r="G1373">
        <v>86.2</v>
      </c>
      <c r="H1373">
        <v>86.2</v>
      </c>
      <c r="I1373" t="s">
        <v>94</v>
      </c>
      <c r="K1373">
        <f t="shared" si="42"/>
        <v>86.2</v>
      </c>
      <c r="L1373">
        <f t="shared" si="43"/>
        <v>86.2</v>
      </c>
      <c r="M1373" t="s">
        <v>313</v>
      </c>
      <c r="O1373" s="7">
        <v>44352</v>
      </c>
      <c r="Q1373" t="s">
        <v>226</v>
      </c>
      <c r="R1373" t="s">
        <v>222</v>
      </c>
    </row>
    <row r="1374" spans="1:18" x14ac:dyDescent="0.15">
      <c r="A1374" t="s">
        <v>308</v>
      </c>
      <c r="B1374" t="s">
        <v>349</v>
      </c>
      <c r="D1374">
        <v>73</v>
      </c>
      <c r="E1374" t="s">
        <v>75</v>
      </c>
      <c r="G1374">
        <v>86.2</v>
      </c>
      <c r="H1374">
        <v>86.2</v>
      </c>
      <c r="I1374" t="s">
        <v>97</v>
      </c>
      <c r="K1374">
        <f t="shared" si="42"/>
        <v>86.2</v>
      </c>
      <c r="L1374">
        <f t="shared" si="43"/>
        <v>86.2</v>
      </c>
      <c r="M1374" t="s">
        <v>313</v>
      </c>
      <c r="O1374" s="7">
        <v>44352</v>
      </c>
      <c r="Q1374" t="s">
        <v>226</v>
      </c>
      <c r="R1374" t="s">
        <v>222</v>
      </c>
    </row>
    <row r="1375" spans="1:18" x14ac:dyDescent="0.15">
      <c r="A1375" t="s">
        <v>308</v>
      </c>
      <c r="B1375" t="s">
        <v>349</v>
      </c>
      <c r="D1375">
        <v>73</v>
      </c>
      <c r="E1375" t="s">
        <v>75</v>
      </c>
      <c r="G1375">
        <v>87.7</v>
      </c>
      <c r="H1375">
        <v>87.8</v>
      </c>
      <c r="I1375" t="s">
        <v>94</v>
      </c>
      <c r="K1375">
        <f t="shared" si="42"/>
        <v>87.7</v>
      </c>
      <c r="L1375">
        <f t="shared" si="43"/>
        <v>87.8</v>
      </c>
      <c r="M1375" t="s">
        <v>313</v>
      </c>
      <c r="O1375" s="7">
        <v>44352</v>
      </c>
      <c r="Q1375" t="s">
        <v>226</v>
      </c>
      <c r="R1375" t="s">
        <v>222</v>
      </c>
    </row>
    <row r="1376" spans="1:18" x14ac:dyDescent="0.15">
      <c r="A1376" t="s">
        <v>308</v>
      </c>
      <c r="B1376" t="s">
        <v>349</v>
      </c>
      <c r="D1376">
        <v>73</v>
      </c>
      <c r="E1376" t="s">
        <v>75</v>
      </c>
      <c r="G1376">
        <v>88.4</v>
      </c>
      <c r="H1376">
        <v>88.5</v>
      </c>
      <c r="I1376" t="s">
        <v>94</v>
      </c>
      <c r="K1376">
        <f t="shared" si="42"/>
        <v>88.4</v>
      </c>
      <c r="L1376">
        <f t="shared" si="43"/>
        <v>88.5</v>
      </c>
      <c r="M1376" t="s">
        <v>313</v>
      </c>
      <c r="O1376" s="7">
        <v>44352</v>
      </c>
      <c r="Q1376" t="s">
        <v>226</v>
      </c>
      <c r="R1376" t="s">
        <v>222</v>
      </c>
    </row>
    <row r="1377" spans="1:18" x14ac:dyDescent="0.15">
      <c r="A1377" t="s">
        <v>308</v>
      </c>
      <c r="B1377" t="s">
        <v>349</v>
      </c>
      <c r="D1377">
        <v>73</v>
      </c>
      <c r="E1377" t="s">
        <v>75</v>
      </c>
      <c r="G1377">
        <v>90.55</v>
      </c>
      <c r="H1377">
        <v>90.6</v>
      </c>
      <c r="I1377" t="s">
        <v>94</v>
      </c>
      <c r="K1377">
        <f t="shared" si="42"/>
        <v>90.55</v>
      </c>
      <c r="L1377">
        <f t="shared" si="43"/>
        <v>90.6</v>
      </c>
      <c r="M1377" t="s">
        <v>313</v>
      </c>
      <c r="O1377" s="7">
        <v>44352</v>
      </c>
      <c r="Q1377" t="s">
        <v>226</v>
      </c>
      <c r="R1377" t="s">
        <v>222</v>
      </c>
    </row>
    <row r="1378" spans="1:18" x14ac:dyDescent="0.15">
      <c r="A1378" t="s">
        <v>308</v>
      </c>
      <c r="B1378" t="s">
        <v>349</v>
      </c>
      <c r="D1378">
        <v>73</v>
      </c>
      <c r="E1378" t="s">
        <v>75</v>
      </c>
      <c r="G1378">
        <v>92.6</v>
      </c>
      <c r="H1378">
        <v>92.7</v>
      </c>
      <c r="I1378" t="s">
        <v>96</v>
      </c>
      <c r="K1378">
        <f t="shared" si="42"/>
        <v>92.6</v>
      </c>
      <c r="L1378">
        <f t="shared" si="43"/>
        <v>92.7</v>
      </c>
      <c r="M1378" t="s">
        <v>313</v>
      </c>
      <c r="O1378" s="7">
        <v>44352</v>
      </c>
      <c r="Q1378" t="s">
        <v>226</v>
      </c>
      <c r="R1378" t="s">
        <v>222</v>
      </c>
    </row>
    <row r="1379" spans="1:18" x14ac:dyDescent="0.15">
      <c r="A1379" t="s">
        <v>308</v>
      </c>
      <c r="B1379" t="s">
        <v>349</v>
      </c>
      <c r="D1379">
        <v>73</v>
      </c>
      <c r="E1379" t="s">
        <v>75</v>
      </c>
      <c r="G1379">
        <v>92.6</v>
      </c>
      <c r="H1379">
        <v>92.7</v>
      </c>
      <c r="I1379" t="s">
        <v>94</v>
      </c>
      <c r="K1379">
        <f t="shared" si="42"/>
        <v>92.6</v>
      </c>
      <c r="L1379">
        <f t="shared" si="43"/>
        <v>92.7</v>
      </c>
      <c r="M1379" t="s">
        <v>313</v>
      </c>
      <c r="O1379" s="7">
        <v>44352</v>
      </c>
      <c r="Q1379" t="s">
        <v>226</v>
      </c>
      <c r="R1379" t="s">
        <v>222</v>
      </c>
    </row>
    <row r="1380" spans="1:18" x14ac:dyDescent="0.15">
      <c r="A1380" t="s">
        <v>308</v>
      </c>
      <c r="B1380" t="s">
        <v>349</v>
      </c>
      <c r="D1380">
        <v>73</v>
      </c>
      <c r="E1380" t="s">
        <v>75</v>
      </c>
      <c r="G1380">
        <v>92.6</v>
      </c>
      <c r="H1380">
        <v>92.7</v>
      </c>
      <c r="I1380" t="s">
        <v>97</v>
      </c>
      <c r="K1380">
        <f t="shared" si="42"/>
        <v>92.6</v>
      </c>
      <c r="L1380">
        <f t="shared" si="43"/>
        <v>92.7</v>
      </c>
      <c r="M1380" t="s">
        <v>313</v>
      </c>
      <c r="O1380" s="7">
        <v>44352</v>
      </c>
      <c r="Q1380" t="s">
        <v>226</v>
      </c>
      <c r="R1380" t="s">
        <v>222</v>
      </c>
    </row>
    <row r="1381" spans="1:18" x14ac:dyDescent="0.15">
      <c r="A1381" t="s">
        <v>308</v>
      </c>
      <c r="B1381" t="s">
        <v>349</v>
      </c>
      <c r="D1381">
        <v>73</v>
      </c>
      <c r="E1381" t="s">
        <v>75</v>
      </c>
      <c r="G1381">
        <v>68.599999999999994</v>
      </c>
      <c r="H1381">
        <v>68.650000000000006</v>
      </c>
      <c r="I1381" t="s">
        <v>94</v>
      </c>
      <c r="K1381">
        <f t="shared" si="42"/>
        <v>68.599999999999994</v>
      </c>
      <c r="L1381">
        <f t="shared" si="43"/>
        <v>68.650000000000006</v>
      </c>
      <c r="M1381" t="s">
        <v>313</v>
      </c>
      <c r="O1381" s="7">
        <v>44359</v>
      </c>
      <c r="Q1381" t="s">
        <v>226</v>
      </c>
      <c r="R1381" t="s">
        <v>222</v>
      </c>
    </row>
    <row r="1382" spans="1:18" x14ac:dyDescent="0.15">
      <c r="A1382" t="s">
        <v>308</v>
      </c>
      <c r="B1382" t="s">
        <v>349</v>
      </c>
      <c r="D1382">
        <v>73</v>
      </c>
      <c r="E1382" t="s">
        <v>75</v>
      </c>
      <c r="G1382">
        <v>69</v>
      </c>
      <c r="H1382">
        <v>69.2</v>
      </c>
      <c r="I1382" t="s">
        <v>94</v>
      </c>
      <c r="K1382">
        <f t="shared" si="42"/>
        <v>69</v>
      </c>
      <c r="L1382">
        <f t="shared" si="43"/>
        <v>69.2</v>
      </c>
      <c r="M1382" t="s">
        <v>313</v>
      </c>
      <c r="O1382" s="7">
        <v>44359</v>
      </c>
      <c r="Q1382" t="s">
        <v>226</v>
      </c>
      <c r="R1382" t="s">
        <v>222</v>
      </c>
    </row>
    <row r="1383" spans="1:18" x14ac:dyDescent="0.15">
      <c r="A1383" t="s">
        <v>308</v>
      </c>
      <c r="B1383" t="s">
        <v>349</v>
      </c>
      <c r="D1383">
        <v>73</v>
      </c>
      <c r="E1383" t="s">
        <v>75</v>
      </c>
      <c r="G1383">
        <v>69.400000000000006</v>
      </c>
      <c r="H1383">
        <v>69.5</v>
      </c>
      <c r="I1383" t="s">
        <v>94</v>
      </c>
      <c r="K1383">
        <f t="shared" si="42"/>
        <v>69.400000000000006</v>
      </c>
      <c r="L1383">
        <f t="shared" si="43"/>
        <v>69.5</v>
      </c>
      <c r="M1383" t="s">
        <v>313</v>
      </c>
      <c r="O1383" s="7">
        <v>44359</v>
      </c>
      <c r="Q1383" t="s">
        <v>226</v>
      </c>
      <c r="R1383" t="s">
        <v>222</v>
      </c>
    </row>
    <row r="1384" spans="1:18" x14ac:dyDescent="0.15">
      <c r="A1384" t="s">
        <v>308</v>
      </c>
      <c r="B1384" t="s">
        <v>349</v>
      </c>
      <c r="D1384">
        <v>73</v>
      </c>
      <c r="E1384" t="s">
        <v>75</v>
      </c>
      <c r="G1384">
        <v>69.8</v>
      </c>
      <c r="H1384">
        <v>69.900000000000006</v>
      </c>
      <c r="I1384" t="s">
        <v>94</v>
      </c>
      <c r="K1384">
        <f t="shared" si="42"/>
        <v>69.8</v>
      </c>
      <c r="L1384">
        <f t="shared" si="43"/>
        <v>69.900000000000006</v>
      </c>
      <c r="M1384" t="s">
        <v>313</v>
      </c>
      <c r="O1384" s="7">
        <v>44359</v>
      </c>
      <c r="Q1384" t="s">
        <v>226</v>
      </c>
      <c r="R1384" t="s">
        <v>222</v>
      </c>
    </row>
    <row r="1385" spans="1:18" x14ac:dyDescent="0.15">
      <c r="A1385" t="s">
        <v>308</v>
      </c>
      <c r="B1385" t="s">
        <v>349</v>
      </c>
      <c r="D1385">
        <v>73</v>
      </c>
      <c r="E1385" t="s">
        <v>75</v>
      </c>
      <c r="G1385">
        <v>69.95</v>
      </c>
      <c r="H1385">
        <v>70</v>
      </c>
      <c r="I1385" t="s">
        <v>94</v>
      </c>
      <c r="K1385">
        <f t="shared" si="42"/>
        <v>69.95</v>
      </c>
      <c r="L1385">
        <f t="shared" si="43"/>
        <v>70</v>
      </c>
      <c r="M1385" t="s">
        <v>313</v>
      </c>
      <c r="O1385" s="7">
        <v>44359</v>
      </c>
      <c r="Q1385" t="s">
        <v>226</v>
      </c>
      <c r="R1385" t="s">
        <v>222</v>
      </c>
    </row>
    <row r="1386" spans="1:18" x14ac:dyDescent="0.15">
      <c r="A1386" t="s">
        <v>308</v>
      </c>
      <c r="B1386" t="s">
        <v>349</v>
      </c>
      <c r="D1386">
        <v>73</v>
      </c>
      <c r="E1386" t="s">
        <v>75</v>
      </c>
      <c r="G1386">
        <v>70.05</v>
      </c>
      <c r="H1386">
        <v>70.099999999999994</v>
      </c>
      <c r="I1386" t="s">
        <v>94</v>
      </c>
      <c r="K1386">
        <f t="shared" si="42"/>
        <v>70.05</v>
      </c>
      <c r="L1386">
        <f t="shared" si="43"/>
        <v>70.099999999999994</v>
      </c>
      <c r="M1386" t="s">
        <v>313</v>
      </c>
      <c r="O1386" s="7">
        <v>44359</v>
      </c>
      <c r="Q1386" t="s">
        <v>226</v>
      </c>
      <c r="R1386" t="s">
        <v>222</v>
      </c>
    </row>
    <row r="1387" spans="1:18" x14ac:dyDescent="0.15">
      <c r="A1387" t="s">
        <v>308</v>
      </c>
      <c r="B1387" t="s">
        <v>349</v>
      </c>
      <c r="D1387">
        <v>73</v>
      </c>
      <c r="E1387" t="s">
        <v>75</v>
      </c>
      <c r="G1387">
        <v>70.150000000000006</v>
      </c>
      <c r="H1387">
        <v>70.224999999999994</v>
      </c>
      <c r="I1387" t="s">
        <v>94</v>
      </c>
      <c r="K1387">
        <f t="shared" si="42"/>
        <v>70.150000000000006</v>
      </c>
      <c r="L1387">
        <f t="shared" si="43"/>
        <v>70.224999999999994</v>
      </c>
      <c r="M1387" t="s">
        <v>313</v>
      </c>
      <c r="O1387" s="7">
        <v>44359</v>
      </c>
      <c r="Q1387" t="s">
        <v>226</v>
      </c>
      <c r="R1387" t="s">
        <v>222</v>
      </c>
    </row>
    <row r="1388" spans="1:18" x14ac:dyDescent="0.15">
      <c r="A1388" t="s">
        <v>308</v>
      </c>
      <c r="B1388" t="s">
        <v>349</v>
      </c>
      <c r="D1388">
        <v>73</v>
      </c>
      <c r="E1388" t="s">
        <v>75</v>
      </c>
      <c r="G1388">
        <v>70.400000000000006</v>
      </c>
      <c r="H1388">
        <v>70.599999999999994</v>
      </c>
      <c r="I1388" t="s">
        <v>94</v>
      </c>
      <c r="K1388">
        <f t="shared" si="42"/>
        <v>70.400000000000006</v>
      </c>
      <c r="L1388">
        <f t="shared" si="43"/>
        <v>70.599999999999994</v>
      </c>
      <c r="M1388" t="s">
        <v>313</v>
      </c>
      <c r="O1388" s="7">
        <v>44359</v>
      </c>
      <c r="Q1388" t="s">
        <v>226</v>
      </c>
      <c r="R1388" t="s">
        <v>222</v>
      </c>
    </row>
    <row r="1389" spans="1:18" x14ac:dyDescent="0.15">
      <c r="A1389" t="s">
        <v>308</v>
      </c>
      <c r="B1389" t="s">
        <v>349</v>
      </c>
      <c r="D1389">
        <v>73</v>
      </c>
      <c r="E1389" t="s">
        <v>75</v>
      </c>
      <c r="G1389">
        <v>70.599999999999994</v>
      </c>
      <c r="H1389">
        <v>70.650000000000006</v>
      </c>
      <c r="I1389" t="s">
        <v>94</v>
      </c>
      <c r="K1389">
        <f t="shared" si="42"/>
        <v>70.599999999999994</v>
      </c>
      <c r="L1389">
        <f t="shared" si="43"/>
        <v>70.650000000000006</v>
      </c>
      <c r="M1389" t="s">
        <v>313</v>
      </c>
      <c r="O1389" s="7">
        <v>44359</v>
      </c>
      <c r="Q1389" t="s">
        <v>226</v>
      </c>
      <c r="R1389" t="s">
        <v>222</v>
      </c>
    </row>
    <row r="1390" spans="1:18" x14ac:dyDescent="0.15">
      <c r="A1390" t="s">
        <v>308</v>
      </c>
      <c r="B1390" t="s">
        <v>349</v>
      </c>
      <c r="D1390">
        <v>73</v>
      </c>
      <c r="E1390" t="s">
        <v>75</v>
      </c>
      <c r="G1390">
        <v>70.650000000000006</v>
      </c>
      <c r="H1390">
        <v>71.5</v>
      </c>
      <c r="I1390" t="s">
        <v>94</v>
      </c>
      <c r="K1390">
        <f t="shared" si="42"/>
        <v>70.650000000000006</v>
      </c>
      <c r="L1390">
        <f t="shared" si="43"/>
        <v>71.5</v>
      </c>
      <c r="M1390" t="s">
        <v>313</v>
      </c>
      <c r="O1390" s="7">
        <v>44359</v>
      </c>
      <c r="Q1390" t="s">
        <v>226</v>
      </c>
      <c r="R1390" t="s">
        <v>222</v>
      </c>
    </row>
    <row r="1391" spans="1:18" x14ac:dyDescent="0.15">
      <c r="A1391" t="s">
        <v>308</v>
      </c>
      <c r="B1391" t="s">
        <v>349</v>
      </c>
      <c r="D1391">
        <v>73</v>
      </c>
      <c r="E1391" t="s">
        <v>75</v>
      </c>
      <c r="G1391">
        <v>72.3</v>
      </c>
      <c r="H1391">
        <v>72.599999999999994</v>
      </c>
      <c r="I1391" t="s">
        <v>94</v>
      </c>
      <c r="K1391">
        <f t="shared" si="42"/>
        <v>72.3</v>
      </c>
      <c r="L1391">
        <f t="shared" si="43"/>
        <v>72.599999999999994</v>
      </c>
      <c r="M1391" t="s">
        <v>313</v>
      </c>
      <c r="O1391" s="7">
        <v>44359</v>
      </c>
      <c r="Q1391" t="s">
        <v>226</v>
      </c>
      <c r="R1391" t="s">
        <v>222</v>
      </c>
    </row>
    <row r="1392" spans="1:18" x14ac:dyDescent="0.15">
      <c r="A1392" t="s">
        <v>308</v>
      </c>
      <c r="B1392" t="s">
        <v>349</v>
      </c>
      <c r="D1392">
        <v>73</v>
      </c>
      <c r="E1392" t="s">
        <v>75</v>
      </c>
      <c r="G1392">
        <v>72.8</v>
      </c>
      <c r="H1392">
        <v>73.099999999999994</v>
      </c>
      <c r="I1392" t="s">
        <v>94</v>
      </c>
      <c r="K1392">
        <f t="shared" si="42"/>
        <v>72.8</v>
      </c>
      <c r="L1392">
        <f t="shared" si="43"/>
        <v>73.099999999999994</v>
      </c>
      <c r="M1392" t="s">
        <v>313</v>
      </c>
      <c r="O1392" s="7">
        <v>44359</v>
      </c>
      <c r="Q1392" t="s">
        <v>226</v>
      </c>
      <c r="R1392" t="s">
        <v>222</v>
      </c>
    </row>
    <row r="1393" spans="1:18" x14ac:dyDescent="0.15">
      <c r="A1393" t="s">
        <v>308</v>
      </c>
      <c r="B1393" t="s">
        <v>349</v>
      </c>
      <c r="D1393">
        <v>73</v>
      </c>
      <c r="E1393" t="s">
        <v>75</v>
      </c>
      <c r="G1393">
        <v>73.2</v>
      </c>
      <c r="H1393">
        <v>73.25</v>
      </c>
      <c r="I1393" t="s">
        <v>94</v>
      </c>
      <c r="K1393">
        <f t="shared" si="42"/>
        <v>73.2</v>
      </c>
      <c r="L1393">
        <f t="shared" si="43"/>
        <v>73.25</v>
      </c>
      <c r="M1393" t="s">
        <v>313</v>
      </c>
      <c r="O1393" s="7">
        <v>44359</v>
      </c>
      <c r="Q1393" t="s">
        <v>226</v>
      </c>
      <c r="R1393" t="s">
        <v>222</v>
      </c>
    </row>
    <row r="1394" spans="1:18" x14ac:dyDescent="0.15">
      <c r="A1394" t="s">
        <v>308</v>
      </c>
      <c r="B1394" t="s">
        <v>349</v>
      </c>
      <c r="D1394">
        <v>73</v>
      </c>
      <c r="E1394" t="s">
        <v>75</v>
      </c>
      <c r="G1394">
        <v>73.5</v>
      </c>
      <c r="H1394">
        <v>73.7</v>
      </c>
      <c r="I1394" t="s">
        <v>94</v>
      </c>
      <c r="K1394">
        <f t="shared" si="42"/>
        <v>73.5</v>
      </c>
      <c r="L1394">
        <f t="shared" si="43"/>
        <v>73.7</v>
      </c>
      <c r="M1394" t="s">
        <v>313</v>
      </c>
      <c r="O1394" s="7">
        <v>44359</v>
      </c>
      <c r="Q1394" t="s">
        <v>226</v>
      </c>
      <c r="R1394" t="s">
        <v>222</v>
      </c>
    </row>
    <row r="1395" spans="1:18" x14ac:dyDescent="0.15">
      <c r="A1395" t="s">
        <v>308</v>
      </c>
      <c r="B1395" t="s">
        <v>349</v>
      </c>
      <c r="D1395">
        <v>73</v>
      </c>
      <c r="E1395" t="s">
        <v>75</v>
      </c>
      <c r="G1395">
        <v>73.75</v>
      </c>
      <c r="H1395">
        <v>73.8</v>
      </c>
      <c r="I1395" t="s">
        <v>94</v>
      </c>
      <c r="K1395">
        <f t="shared" si="42"/>
        <v>73.75</v>
      </c>
      <c r="L1395">
        <f t="shared" si="43"/>
        <v>73.8</v>
      </c>
      <c r="M1395" t="s">
        <v>313</v>
      </c>
      <c r="O1395" s="7">
        <v>44359</v>
      </c>
      <c r="Q1395" t="s">
        <v>226</v>
      </c>
      <c r="R1395" t="s">
        <v>222</v>
      </c>
    </row>
    <row r="1396" spans="1:18" x14ac:dyDescent="0.15">
      <c r="A1396" t="s">
        <v>308</v>
      </c>
      <c r="B1396" t="s">
        <v>349</v>
      </c>
      <c r="D1396">
        <v>73</v>
      </c>
      <c r="E1396" t="s">
        <v>75</v>
      </c>
      <c r="G1396">
        <v>74.2</v>
      </c>
      <c r="H1396">
        <v>74.25</v>
      </c>
      <c r="I1396" t="s">
        <v>94</v>
      </c>
      <c r="K1396">
        <f t="shared" si="42"/>
        <v>74.2</v>
      </c>
      <c r="L1396">
        <f t="shared" si="43"/>
        <v>74.25</v>
      </c>
      <c r="M1396" t="s">
        <v>313</v>
      </c>
      <c r="O1396" s="7">
        <v>44359</v>
      </c>
      <c r="Q1396" t="s">
        <v>226</v>
      </c>
      <c r="R1396" t="s">
        <v>222</v>
      </c>
    </row>
    <row r="1397" spans="1:18" x14ac:dyDescent="0.15">
      <c r="A1397" t="s">
        <v>308</v>
      </c>
      <c r="B1397" t="s">
        <v>349</v>
      </c>
      <c r="D1397">
        <v>73</v>
      </c>
      <c r="E1397" t="s">
        <v>75</v>
      </c>
      <c r="G1397">
        <v>74.344999999999999</v>
      </c>
      <c r="H1397">
        <v>74.37</v>
      </c>
      <c r="I1397" t="s">
        <v>94</v>
      </c>
      <c r="K1397">
        <f t="shared" si="42"/>
        <v>74.344999999999999</v>
      </c>
      <c r="L1397">
        <f t="shared" si="43"/>
        <v>74.37</v>
      </c>
      <c r="M1397" t="s">
        <v>313</v>
      </c>
      <c r="O1397" s="7">
        <v>44359</v>
      </c>
      <c r="Q1397" t="s">
        <v>226</v>
      </c>
      <c r="R1397" t="s">
        <v>222</v>
      </c>
    </row>
    <row r="1398" spans="1:18" x14ac:dyDescent="0.15">
      <c r="A1398" t="s">
        <v>308</v>
      </c>
      <c r="B1398" t="s">
        <v>349</v>
      </c>
      <c r="D1398">
        <v>73</v>
      </c>
      <c r="E1398" t="s">
        <v>75</v>
      </c>
      <c r="G1398">
        <v>74.400000000000006</v>
      </c>
      <c r="H1398">
        <v>74.45</v>
      </c>
      <c r="I1398" t="s">
        <v>94</v>
      </c>
      <c r="K1398">
        <f t="shared" si="42"/>
        <v>74.400000000000006</v>
      </c>
      <c r="L1398">
        <f t="shared" si="43"/>
        <v>74.45</v>
      </c>
      <c r="M1398" t="s">
        <v>313</v>
      </c>
      <c r="O1398" s="7">
        <v>44359</v>
      </c>
      <c r="Q1398" t="s">
        <v>226</v>
      </c>
      <c r="R1398" t="s">
        <v>222</v>
      </c>
    </row>
    <row r="1399" spans="1:18" x14ac:dyDescent="0.15">
      <c r="A1399" t="s">
        <v>308</v>
      </c>
      <c r="B1399" t="s">
        <v>349</v>
      </c>
      <c r="D1399">
        <v>73</v>
      </c>
      <c r="E1399" t="s">
        <v>75</v>
      </c>
      <c r="G1399">
        <v>74.7</v>
      </c>
      <c r="H1399">
        <v>74.900000000000006</v>
      </c>
      <c r="I1399" t="s">
        <v>94</v>
      </c>
      <c r="K1399">
        <f t="shared" si="42"/>
        <v>74.7</v>
      </c>
      <c r="L1399">
        <f t="shared" si="43"/>
        <v>74.900000000000006</v>
      </c>
      <c r="M1399" t="s">
        <v>313</v>
      </c>
      <c r="O1399" s="7">
        <v>44359</v>
      </c>
      <c r="Q1399" t="s">
        <v>226</v>
      </c>
      <c r="R1399" t="s">
        <v>222</v>
      </c>
    </row>
    <row r="1400" spans="1:18" x14ac:dyDescent="0.15">
      <c r="A1400" t="s">
        <v>308</v>
      </c>
      <c r="B1400" t="s">
        <v>349</v>
      </c>
      <c r="D1400">
        <v>73</v>
      </c>
      <c r="E1400" t="s">
        <v>75</v>
      </c>
      <c r="G1400">
        <v>75.33</v>
      </c>
      <c r="H1400">
        <v>75.61</v>
      </c>
      <c r="I1400" t="s">
        <v>94</v>
      </c>
      <c r="K1400">
        <f t="shared" si="42"/>
        <v>75.33</v>
      </c>
      <c r="L1400">
        <f t="shared" si="43"/>
        <v>75.61</v>
      </c>
      <c r="M1400" t="s">
        <v>313</v>
      </c>
      <c r="O1400" s="7">
        <v>44359</v>
      </c>
      <c r="Q1400" t="s">
        <v>226</v>
      </c>
      <c r="R1400" t="s">
        <v>222</v>
      </c>
    </row>
    <row r="1401" spans="1:18" x14ac:dyDescent="0.15">
      <c r="A1401" t="s">
        <v>308</v>
      </c>
      <c r="B1401" t="s">
        <v>349</v>
      </c>
      <c r="D1401">
        <v>73</v>
      </c>
      <c r="E1401" t="s">
        <v>75</v>
      </c>
      <c r="G1401">
        <v>75.7</v>
      </c>
      <c r="H1401">
        <v>75.75</v>
      </c>
      <c r="I1401" t="s">
        <v>96</v>
      </c>
      <c r="K1401">
        <f t="shared" si="42"/>
        <v>75.7</v>
      </c>
      <c r="L1401">
        <f t="shared" si="43"/>
        <v>75.75</v>
      </c>
      <c r="M1401" t="s">
        <v>313</v>
      </c>
      <c r="O1401" s="7">
        <v>44359</v>
      </c>
      <c r="Q1401" t="s">
        <v>226</v>
      </c>
      <c r="R1401" t="s">
        <v>222</v>
      </c>
    </row>
    <row r="1402" spans="1:18" x14ac:dyDescent="0.15">
      <c r="A1402" t="s">
        <v>308</v>
      </c>
      <c r="B1402" t="s">
        <v>349</v>
      </c>
      <c r="D1402">
        <v>73</v>
      </c>
      <c r="E1402" t="s">
        <v>75</v>
      </c>
      <c r="G1402">
        <v>75.7</v>
      </c>
      <c r="H1402">
        <v>75.75</v>
      </c>
      <c r="I1402" t="s">
        <v>94</v>
      </c>
      <c r="K1402">
        <f t="shared" si="42"/>
        <v>75.7</v>
      </c>
      <c r="L1402">
        <f t="shared" si="43"/>
        <v>75.75</v>
      </c>
      <c r="M1402" t="s">
        <v>313</v>
      </c>
      <c r="O1402" s="7">
        <v>44359</v>
      </c>
      <c r="Q1402" t="s">
        <v>226</v>
      </c>
      <c r="R1402" t="s">
        <v>222</v>
      </c>
    </row>
    <row r="1403" spans="1:18" x14ac:dyDescent="0.15">
      <c r="A1403" t="s">
        <v>308</v>
      </c>
      <c r="B1403" t="s">
        <v>349</v>
      </c>
      <c r="D1403">
        <v>73</v>
      </c>
      <c r="E1403" t="s">
        <v>75</v>
      </c>
      <c r="G1403">
        <v>75.7</v>
      </c>
      <c r="H1403">
        <v>75.75</v>
      </c>
      <c r="I1403" t="s">
        <v>97</v>
      </c>
      <c r="K1403">
        <f t="shared" si="42"/>
        <v>75.7</v>
      </c>
      <c r="L1403">
        <f t="shared" si="43"/>
        <v>75.75</v>
      </c>
      <c r="M1403" t="s">
        <v>313</v>
      </c>
      <c r="O1403" s="7">
        <v>44359</v>
      </c>
      <c r="Q1403" t="s">
        <v>226</v>
      </c>
      <c r="R1403" t="s">
        <v>222</v>
      </c>
    </row>
    <row r="1404" spans="1:18" x14ac:dyDescent="0.15">
      <c r="A1404" t="s">
        <v>308</v>
      </c>
      <c r="B1404" t="s">
        <v>349</v>
      </c>
      <c r="D1404">
        <v>73</v>
      </c>
      <c r="E1404" t="s">
        <v>75</v>
      </c>
      <c r="G1404">
        <v>75.7</v>
      </c>
      <c r="H1404">
        <v>75.75</v>
      </c>
      <c r="I1404" t="s">
        <v>94</v>
      </c>
      <c r="K1404">
        <f t="shared" si="42"/>
        <v>75.7</v>
      </c>
      <c r="L1404">
        <f t="shared" si="43"/>
        <v>75.75</v>
      </c>
      <c r="M1404" t="s">
        <v>313</v>
      </c>
      <c r="O1404" s="7">
        <v>44359</v>
      </c>
      <c r="Q1404" t="s">
        <v>226</v>
      </c>
      <c r="R1404" t="s">
        <v>222</v>
      </c>
    </row>
    <row r="1405" spans="1:18" x14ac:dyDescent="0.15">
      <c r="A1405" t="s">
        <v>308</v>
      </c>
      <c r="B1405" t="s">
        <v>349</v>
      </c>
      <c r="D1405">
        <v>73</v>
      </c>
      <c r="E1405" t="s">
        <v>75</v>
      </c>
      <c r="G1405">
        <v>75.75</v>
      </c>
      <c r="H1405">
        <v>76</v>
      </c>
      <c r="I1405" t="s">
        <v>94</v>
      </c>
      <c r="K1405">
        <f t="shared" si="42"/>
        <v>75.75</v>
      </c>
      <c r="L1405">
        <f t="shared" si="43"/>
        <v>76</v>
      </c>
      <c r="M1405" t="s">
        <v>313</v>
      </c>
      <c r="O1405" s="7">
        <v>44359</v>
      </c>
      <c r="Q1405" t="s">
        <v>226</v>
      </c>
      <c r="R1405" t="s">
        <v>222</v>
      </c>
    </row>
    <row r="1406" spans="1:18" x14ac:dyDescent="0.15">
      <c r="A1406" t="s">
        <v>308</v>
      </c>
      <c r="B1406" t="s">
        <v>349</v>
      </c>
      <c r="D1406">
        <v>73</v>
      </c>
      <c r="E1406" t="s">
        <v>75</v>
      </c>
      <c r="G1406">
        <v>76.400000000000006</v>
      </c>
      <c r="H1406">
        <v>76.5</v>
      </c>
      <c r="I1406" t="s">
        <v>94</v>
      </c>
      <c r="K1406">
        <f t="shared" si="42"/>
        <v>76.400000000000006</v>
      </c>
      <c r="L1406">
        <f t="shared" si="43"/>
        <v>76.5</v>
      </c>
      <c r="M1406" t="s">
        <v>313</v>
      </c>
      <c r="O1406" s="7">
        <v>44359</v>
      </c>
      <c r="Q1406" t="s">
        <v>226</v>
      </c>
      <c r="R1406" t="s">
        <v>222</v>
      </c>
    </row>
    <row r="1407" spans="1:18" x14ac:dyDescent="0.15">
      <c r="A1407" t="s">
        <v>308</v>
      </c>
      <c r="B1407" t="s">
        <v>349</v>
      </c>
      <c r="D1407">
        <v>73</v>
      </c>
      <c r="E1407" t="s">
        <v>75</v>
      </c>
      <c r="G1407">
        <v>80.8</v>
      </c>
      <c r="H1407">
        <v>80.849999999999994</v>
      </c>
      <c r="I1407" t="s">
        <v>94</v>
      </c>
      <c r="K1407">
        <f t="shared" si="42"/>
        <v>80.8</v>
      </c>
      <c r="L1407">
        <f t="shared" si="43"/>
        <v>80.849999999999994</v>
      </c>
      <c r="M1407" t="s">
        <v>313</v>
      </c>
      <c r="O1407" s="7">
        <v>44359</v>
      </c>
      <c r="Q1407" t="s">
        <v>226</v>
      </c>
      <c r="R1407" t="s">
        <v>222</v>
      </c>
    </row>
    <row r="1408" spans="1:18" x14ac:dyDescent="0.15">
      <c r="A1408" t="s">
        <v>308</v>
      </c>
      <c r="B1408" t="s">
        <v>349</v>
      </c>
      <c r="D1408">
        <v>73</v>
      </c>
      <c r="E1408" t="s">
        <v>75</v>
      </c>
      <c r="G1408">
        <v>81.05</v>
      </c>
      <c r="H1408">
        <v>81.099999999999994</v>
      </c>
      <c r="I1408" t="s">
        <v>98</v>
      </c>
      <c r="K1408">
        <f t="shared" si="42"/>
        <v>81.05</v>
      </c>
      <c r="L1408">
        <f t="shared" si="43"/>
        <v>81.099999999999994</v>
      </c>
      <c r="M1408" t="s">
        <v>313</v>
      </c>
      <c r="O1408" s="7">
        <v>44359</v>
      </c>
      <c r="Q1408" t="s">
        <v>226</v>
      </c>
      <c r="R1408" t="s">
        <v>222</v>
      </c>
    </row>
    <row r="1409" spans="1:18" x14ac:dyDescent="0.15">
      <c r="A1409" t="s">
        <v>308</v>
      </c>
      <c r="B1409" t="s">
        <v>349</v>
      </c>
      <c r="D1409">
        <v>73</v>
      </c>
      <c r="E1409" t="s">
        <v>75</v>
      </c>
      <c r="G1409">
        <v>69.046999999999997</v>
      </c>
      <c r="H1409">
        <v>69.051999999999992</v>
      </c>
      <c r="I1409" t="s">
        <v>94</v>
      </c>
      <c r="K1409">
        <f t="shared" ref="K1409:K1472" si="44">MIN(G1409:H1409)</f>
        <v>69.046999999999997</v>
      </c>
      <c r="L1409">
        <f t="shared" ref="L1409:L1472" si="45">MAX(G1409:H1409)</f>
        <v>69.051999999999992</v>
      </c>
      <c r="M1409" t="s">
        <v>319</v>
      </c>
      <c r="O1409" s="7">
        <v>44359</v>
      </c>
      <c r="Q1409">
        <v>527400</v>
      </c>
      <c r="R1409" t="s">
        <v>222</v>
      </c>
    </row>
    <row r="1410" spans="1:18" x14ac:dyDescent="0.15">
      <c r="A1410" t="s">
        <v>308</v>
      </c>
      <c r="B1410" t="s">
        <v>349</v>
      </c>
      <c r="D1410">
        <v>73</v>
      </c>
      <c r="E1410" t="s">
        <v>75</v>
      </c>
      <c r="G1410">
        <v>69.156000000000006</v>
      </c>
      <c r="H1410">
        <v>69.161000000000001</v>
      </c>
      <c r="I1410" t="s">
        <v>94</v>
      </c>
      <c r="K1410">
        <f t="shared" si="44"/>
        <v>69.156000000000006</v>
      </c>
      <c r="L1410">
        <f t="shared" si="45"/>
        <v>69.161000000000001</v>
      </c>
      <c r="M1410" t="s">
        <v>319</v>
      </c>
      <c r="O1410" s="7">
        <v>44359</v>
      </c>
      <c r="Q1410">
        <v>527401</v>
      </c>
      <c r="R1410" t="s">
        <v>222</v>
      </c>
    </row>
    <row r="1411" spans="1:18" x14ac:dyDescent="0.15">
      <c r="A1411" t="s">
        <v>308</v>
      </c>
      <c r="B1411" t="s">
        <v>349</v>
      </c>
      <c r="D1411">
        <v>73</v>
      </c>
      <c r="E1411" t="s">
        <v>75</v>
      </c>
      <c r="G1411">
        <v>69.459999999999994</v>
      </c>
      <c r="H1411">
        <v>69.464999999999989</v>
      </c>
      <c r="I1411" t="s">
        <v>94</v>
      </c>
      <c r="K1411">
        <f t="shared" si="44"/>
        <v>69.459999999999994</v>
      </c>
      <c r="L1411">
        <f t="shared" si="45"/>
        <v>69.464999999999989</v>
      </c>
      <c r="M1411" t="s">
        <v>319</v>
      </c>
      <c r="O1411" s="7">
        <v>44359</v>
      </c>
      <c r="Q1411">
        <v>527402</v>
      </c>
      <c r="R1411" t="s">
        <v>222</v>
      </c>
    </row>
    <row r="1412" spans="1:18" x14ac:dyDescent="0.15">
      <c r="A1412" t="s">
        <v>308</v>
      </c>
      <c r="B1412" t="s">
        <v>349</v>
      </c>
      <c r="D1412">
        <v>73</v>
      </c>
      <c r="E1412" t="s">
        <v>75</v>
      </c>
      <c r="G1412">
        <v>69.849999999999994</v>
      </c>
      <c r="H1412">
        <v>69.85499999999999</v>
      </c>
      <c r="I1412" t="s">
        <v>94</v>
      </c>
      <c r="K1412">
        <f t="shared" si="44"/>
        <v>69.849999999999994</v>
      </c>
      <c r="L1412">
        <f t="shared" si="45"/>
        <v>69.85499999999999</v>
      </c>
      <c r="M1412" t="s">
        <v>319</v>
      </c>
      <c r="O1412" s="7">
        <v>44359</v>
      </c>
      <c r="Q1412">
        <v>527403</v>
      </c>
      <c r="R1412" t="s">
        <v>222</v>
      </c>
    </row>
    <row r="1413" spans="1:18" x14ac:dyDescent="0.15">
      <c r="A1413" t="s">
        <v>308</v>
      </c>
      <c r="B1413" t="s">
        <v>349</v>
      </c>
      <c r="D1413">
        <v>73</v>
      </c>
      <c r="E1413" t="s">
        <v>75</v>
      </c>
      <c r="G1413">
        <v>64.97</v>
      </c>
      <c r="H1413">
        <v>64.974999999999994</v>
      </c>
      <c r="I1413" t="s">
        <v>94</v>
      </c>
      <c r="K1413">
        <f t="shared" si="44"/>
        <v>64.97</v>
      </c>
      <c r="L1413">
        <f t="shared" si="45"/>
        <v>64.974999999999994</v>
      </c>
      <c r="M1413" t="s">
        <v>319</v>
      </c>
      <c r="O1413" s="7">
        <v>44359</v>
      </c>
      <c r="Q1413">
        <v>527404</v>
      </c>
      <c r="R1413" t="s">
        <v>222</v>
      </c>
    </row>
    <row r="1414" spans="1:18" x14ac:dyDescent="0.15">
      <c r="A1414" t="s">
        <v>308</v>
      </c>
      <c r="B1414" t="s">
        <v>349</v>
      </c>
      <c r="D1414">
        <v>73</v>
      </c>
      <c r="E1414" t="s">
        <v>75</v>
      </c>
      <c r="G1414">
        <v>70.081999999999994</v>
      </c>
      <c r="H1414">
        <v>70.086999999999989</v>
      </c>
      <c r="I1414" t="s">
        <v>94</v>
      </c>
      <c r="K1414">
        <f t="shared" si="44"/>
        <v>70.081999999999994</v>
      </c>
      <c r="L1414">
        <f t="shared" si="45"/>
        <v>70.086999999999989</v>
      </c>
      <c r="M1414" t="s">
        <v>319</v>
      </c>
      <c r="O1414" s="7">
        <v>44359</v>
      </c>
      <c r="Q1414">
        <v>527405</v>
      </c>
      <c r="R1414" t="s">
        <v>222</v>
      </c>
    </row>
    <row r="1415" spans="1:18" x14ac:dyDescent="0.15">
      <c r="A1415" t="s">
        <v>308</v>
      </c>
      <c r="B1415" t="s">
        <v>349</v>
      </c>
      <c r="D1415">
        <v>73</v>
      </c>
      <c r="E1415" t="s">
        <v>75</v>
      </c>
      <c r="G1415">
        <v>70.209999999999994</v>
      </c>
      <c r="H1415">
        <v>70.214999999999989</v>
      </c>
      <c r="I1415" t="s">
        <v>94</v>
      </c>
      <c r="K1415">
        <f t="shared" si="44"/>
        <v>70.209999999999994</v>
      </c>
      <c r="L1415">
        <f t="shared" si="45"/>
        <v>70.214999999999989</v>
      </c>
      <c r="M1415" t="s">
        <v>319</v>
      </c>
      <c r="O1415" s="7">
        <v>44359</v>
      </c>
      <c r="Q1415">
        <v>527406</v>
      </c>
      <c r="R1415" t="s">
        <v>222</v>
      </c>
    </row>
    <row r="1416" spans="1:18" x14ac:dyDescent="0.15">
      <c r="A1416" t="s">
        <v>308</v>
      </c>
      <c r="B1416" t="s">
        <v>349</v>
      </c>
      <c r="D1416">
        <v>73</v>
      </c>
      <c r="E1416" t="s">
        <v>75</v>
      </c>
      <c r="G1416">
        <v>70.421000000000006</v>
      </c>
      <c r="H1416">
        <v>70.426000000000002</v>
      </c>
      <c r="I1416" t="s">
        <v>94</v>
      </c>
      <c r="K1416">
        <f t="shared" si="44"/>
        <v>70.421000000000006</v>
      </c>
      <c r="L1416">
        <f t="shared" si="45"/>
        <v>70.426000000000002</v>
      </c>
      <c r="M1416" t="s">
        <v>319</v>
      </c>
      <c r="O1416" s="7">
        <v>44359</v>
      </c>
      <c r="Q1416">
        <v>527407</v>
      </c>
      <c r="R1416" t="s">
        <v>222</v>
      </c>
    </row>
    <row r="1417" spans="1:18" x14ac:dyDescent="0.15">
      <c r="A1417" t="s">
        <v>308</v>
      </c>
      <c r="B1417" t="s">
        <v>349</v>
      </c>
      <c r="D1417">
        <v>73</v>
      </c>
      <c r="E1417" t="s">
        <v>75</v>
      </c>
      <c r="G1417">
        <v>70.457999999999998</v>
      </c>
      <c r="H1417">
        <v>70.462999999999994</v>
      </c>
      <c r="I1417" t="s">
        <v>94</v>
      </c>
      <c r="K1417">
        <f t="shared" si="44"/>
        <v>70.457999999999998</v>
      </c>
      <c r="L1417">
        <f t="shared" si="45"/>
        <v>70.462999999999994</v>
      </c>
      <c r="M1417" t="s">
        <v>319</v>
      </c>
      <c r="O1417" s="7">
        <v>44359</v>
      </c>
      <c r="Q1417">
        <v>527408</v>
      </c>
      <c r="R1417" t="s">
        <v>222</v>
      </c>
    </row>
    <row r="1418" spans="1:18" x14ac:dyDescent="0.15">
      <c r="A1418" t="s">
        <v>308</v>
      </c>
      <c r="B1418" t="s">
        <v>349</v>
      </c>
      <c r="D1418">
        <v>73</v>
      </c>
      <c r="E1418" t="s">
        <v>75</v>
      </c>
      <c r="G1418">
        <v>70.58</v>
      </c>
      <c r="H1418">
        <v>70.584999999999994</v>
      </c>
      <c r="I1418" t="s">
        <v>94</v>
      </c>
      <c r="K1418">
        <f t="shared" si="44"/>
        <v>70.58</v>
      </c>
      <c r="L1418">
        <f t="shared" si="45"/>
        <v>70.584999999999994</v>
      </c>
      <c r="M1418" t="s">
        <v>319</v>
      </c>
      <c r="O1418" s="7">
        <v>44359</v>
      </c>
      <c r="Q1418">
        <v>527409</v>
      </c>
      <c r="R1418" t="s">
        <v>222</v>
      </c>
    </row>
    <row r="1419" spans="1:18" x14ac:dyDescent="0.15">
      <c r="A1419" t="s">
        <v>308</v>
      </c>
      <c r="B1419" t="s">
        <v>349</v>
      </c>
      <c r="D1419">
        <v>73</v>
      </c>
      <c r="E1419" t="s">
        <v>75</v>
      </c>
      <c r="G1419">
        <v>70.603999999999999</v>
      </c>
      <c r="H1419">
        <v>70.608999999999995</v>
      </c>
      <c r="I1419" t="s">
        <v>94</v>
      </c>
      <c r="K1419">
        <f t="shared" si="44"/>
        <v>70.603999999999999</v>
      </c>
      <c r="L1419">
        <f t="shared" si="45"/>
        <v>70.608999999999995</v>
      </c>
      <c r="M1419" t="s">
        <v>319</v>
      </c>
      <c r="O1419" s="7">
        <v>44359</v>
      </c>
      <c r="Q1419">
        <v>527410</v>
      </c>
      <c r="R1419" t="s">
        <v>222</v>
      </c>
    </row>
    <row r="1420" spans="1:18" x14ac:dyDescent="0.15">
      <c r="A1420" t="s">
        <v>308</v>
      </c>
      <c r="B1420" t="s">
        <v>349</v>
      </c>
      <c r="D1420">
        <v>73</v>
      </c>
      <c r="E1420" t="s">
        <v>75</v>
      </c>
      <c r="G1420">
        <v>70.626999999999995</v>
      </c>
      <c r="H1420">
        <v>70.631999999999991</v>
      </c>
      <c r="I1420" t="s">
        <v>94</v>
      </c>
      <c r="K1420">
        <f t="shared" si="44"/>
        <v>70.626999999999995</v>
      </c>
      <c r="L1420">
        <f t="shared" si="45"/>
        <v>70.631999999999991</v>
      </c>
      <c r="M1420" t="s">
        <v>319</v>
      </c>
      <c r="O1420" s="7">
        <v>44359</v>
      </c>
      <c r="Q1420">
        <v>527411</v>
      </c>
      <c r="R1420" t="s">
        <v>222</v>
      </c>
    </row>
    <row r="1421" spans="1:18" x14ac:dyDescent="0.15">
      <c r="A1421" t="s">
        <v>308</v>
      </c>
      <c r="B1421" t="s">
        <v>349</v>
      </c>
      <c r="D1421">
        <v>73</v>
      </c>
      <c r="E1421" t="s">
        <v>75</v>
      </c>
      <c r="G1421">
        <v>70.671000000000006</v>
      </c>
      <c r="H1421">
        <v>70.676000000000002</v>
      </c>
      <c r="I1421" t="s">
        <v>94</v>
      </c>
      <c r="K1421">
        <f t="shared" si="44"/>
        <v>70.671000000000006</v>
      </c>
      <c r="L1421">
        <f t="shared" si="45"/>
        <v>70.676000000000002</v>
      </c>
      <c r="M1421" t="s">
        <v>319</v>
      </c>
      <c r="O1421" s="7">
        <v>44359</v>
      </c>
      <c r="Q1421">
        <v>527412</v>
      </c>
      <c r="R1421" t="s">
        <v>222</v>
      </c>
    </row>
    <row r="1422" spans="1:18" x14ac:dyDescent="0.15">
      <c r="A1422" t="s">
        <v>308</v>
      </c>
      <c r="B1422" t="s">
        <v>349</v>
      </c>
      <c r="D1422">
        <v>73</v>
      </c>
      <c r="E1422" t="s">
        <v>75</v>
      </c>
      <c r="G1422">
        <v>70.875</v>
      </c>
      <c r="H1422">
        <v>70.88</v>
      </c>
      <c r="I1422" t="s">
        <v>94</v>
      </c>
      <c r="K1422">
        <f t="shared" si="44"/>
        <v>70.875</v>
      </c>
      <c r="L1422">
        <f t="shared" si="45"/>
        <v>70.88</v>
      </c>
      <c r="M1422" t="s">
        <v>319</v>
      </c>
      <c r="O1422" s="7">
        <v>44359</v>
      </c>
      <c r="Q1422">
        <v>527413</v>
      </c>
      <c r="R1422" t="s">
        <v>222</v>
      </c>
    </row>
    <row r="1423" spans="1:18" x14ac:dyDescent="0.15">
      <c r="A1423" t="s">
        <v>308</v>
      </c>
      <c r="B1423" t="s">
        <v>349</v>
      </c>
      <c r="D1423">
        <v>73</v>
      </c>
      <c r="E1423" t="s">
        <v>75</v>
      </c>
      <c r="G1423">
        <v>71.122</v>
      </c>
      <c r="H1423">
        <v>71.126999999999995</v>
      </c>
      <c r="I1423" t="s">
        <v>94</v>
      </c>
      <c r="K1423">
        <f t="shared" si="44"/>
        <v>71.122</v>
      </c>
      <c r="L1423">
        <f t="shared" si="45"/>
        <v>71.126999999999995</v>
      </c>
      <c r="M1423" t="s">
        <v>319</v>
      </c>
      <c r="O1423" s="7">
        <v>44359</v>
      </c>
      <c r="Q1423">
        <v>527414</v>
      </c>
      <c r="R1423" t="s">
        <v>222</v>
      </c>
    </row>
    <row r="1424" spans="1:18" x14ac:dyDescent="0.15">
      <c r="A1424" t="s">
        <v>308</v>
      </c>
      <c r="B1424" t="s">
        <v>349</v>
      </c>
      <c r="D1424">
        <v>73</v>
      </c>
      <c r="E1424" t="s">
        <v>75</v>
      </c>
      <c r="G1424">
        <v>71.242000000000004</v>
      </c>
      <c r="H1424">
        <v>71.247</v>
      </c>
      <c r="I1424" t="s">
        <v>94</v>
      </c>
      <c r="K1424">
        <f t="shared" si="44"/>
        <v>71.242000000000004</v>
      </c>
      <c r="L1424">
        <f t="shared" si="45"/>
        <v>71.247</v>
      </c>
      <c r="M1424" t="s">
        <v>319</v>
      </c>
      <c r="O1424" s="7">
        <v>44359</v>
      </c>
      <c r="Q1424">
        <v>527415</v>
      </c>
      <c r="R1424" t="s">
        <v>222</v>
      </c>
    </row>
    <row r="1425" spans="1:18" x14ac:dyDescent="0.15">
      <c r="A1425" t="s">
        <v>308</v>
      </c>
      <c r="B1425" t="s">
        <v>349</v>
      </c>
      <c r="D1425">
        <v>73</v>
      </c>
      <c r="E1425" t="s">
        <v>75</v>
      </c>
      <c r="G1425">
        <v>71.325000000000003</v>
      </c>
      <c r="H1425">
        <v>71.33</v>
      </c>
      <c r="I1425" t="s">
        <v>94</v>
      </c>
      <c r="K1425">
        <f t="shared" si="44"/>
        <v>71.325000000000003</v>
      </c>
      <c r="L1425">
        <f t="shared" si="45"/>
        <v>71.33</v>
      </c>
      <c r="M1425" t="s">
        <v>319</v>
      </c>
      <c r="O1425" s="7">
        <v>44359</v>
      </c>
      <c r="Q1425">
        <v>527416</v>
      </c>
      <c r="R1425" t="s">
        <v>222</v>
      </c>
    </row>
    <row r="1426" spans="1:18" x14ac:dyDescent="0.15">
      <c r="A1426" t="s">
        <v>308</v>
      </c>
      <c r="B1426" t="s">
        <v>349</v>
      </c>
      <c r="D1426">
        <v>73</v>
      </c>
      <c r="E1426" t="s">
        <v>75</v>
      </c>
      <c r="G1426">
        <v>71.465000000000003</v>
      </c>
      <c r="H1426">
        <v>71.47</v>
      </c>
      <c r="I1426" t="s">
        <v>94</v>
      </c>
      <c r="K1426">
        <f t="shared" si="44"/>
        <v>71.465000000000003</v>
      </c>
      <c r="L1426">
        <f t="shared" si="45"/>
        <v>71.47</v>
      </c>
      <c r="M1426" t="s">
        <v>319</v>
      </c>
      <c r="O1426" s="7">
        <v>44359</v>
      </c>
      <c r="Q1426">
        <v>527417</v>
      </c>
      <c r="R1426" t="s">
        <v>222</v>
      </c>
    </row>
    <row r="1427" spans="1:18" x14ac:dyDescent="0.15">
      <c r="A1427" t="s">
        <v>308</v>
      </c>
      <c r="B1427" t="s">
        <v>349</v>
      </c>
      <c r="D1427">
        <v>73</v>
      </c>
      <c r="E1427" t="s">
        <v>75</v>
      </c>
      <c r="G1427">
        <v>72.302000000000007</v>
      </c>
      <c r="H1427">
        <v>72.307000000000002</v>
      </c>
      <c r="I1427" t="s">
        <v>94</v>
      </c>
      <c r="K1427">
        <f t="shared" si="44"/>
        <v>72.302000000000007</v>
      </c>
      <c r="L1427">
        <f t="shared" si="45"/>
        <v>72.307000000000002</v>
      </c>
      <c r="M1427" t="s">
        <v>319</v>
      </c>
      <c r="O1427" s="7">
        <v>44359</v>
      </c>
      <c r="Q1427">
        <v>527418</v>
      </c>
      <c r="R1427" t="s">
        <v>222</v>
      </c>
    </row>
    <row r="1428" spans="1:18" x14ac:dyDescent="0.15">
      <c r="A1428" t="s">
        <v>308</v>
      </c>
      <c r="B1428" t="s">
        <v>349</v>
      </c>
      <c r="D1428">
        <v>73</v>
      </c>
      <c r="E1428" t="s">
        <v>75</v>
      </c>
      <c r="G1428">
        <v>72.497</v>
      </c>
      <c r="H1428">
        <v>72.501999999999995</v>
      </c>
      <c r="I1428" t="s">
        <v>94</v>
      </c>
      <c r="K1428">
        <f t="shared" si="44"/>
        <v>72.497</v>
      </c>
      <c r="L1428">
        <f t="shared" si="45"/>
        <v>72.501999999999995</v>
      </c>
      <c r="M1428" t="s">
        <v>319</v>
      </c>
      <c r="O1428" s="7">
        <v>44359</v>
      </c>
      <c r="Q1428">
        <v>527419</v>
      </c>
      <c r="R1428" t="s">
        <v>222</v>
      </c>
    </row>
    <row r="1429" spans="1:18" x14ac:dyDescent="0.15">
      <c r="A1429" t="s">
        <v>308</v>
      </c>
      <c r="B1429" t="s">
        <v>349</v>
      </c>
      <c r="D1429">
        <v>73</v>
      </c>
      <c r="E1429" t="s">
        <v>75</v>
      </c>
      <c r="G1429">
        <v>72.591999999999999</v>
      </c>
      <c r="H1429">
        <v>72.596999999999994</v>
      </c>
      <c r="I1429" t="s">
        <v>94</v>
      </c>
      <c r="K1429">
        <f t="shared" si="44"/>
        <v>72.591999999999999</v>
      </c>
      <c r="L1429">
        <f t="shared" si="45"/>
        <v>72.596999999999994</v>
      </c>
      <c r="M1429" t="s">
        <v>319</v>
      </c>
      <c r="O1429" s="7">
        <v>44359</v>
      </c>
      <c r="Q1429">
        <v>527420</v>
      </c>
      <c r="R1429" t="s">
        <v>222</v>
      </c>
    </row>
    <row r="1430" spans="1:18" x14ac:dyDescent="0.15">
      <c r="A1430" t="s">
        <v>308</v>
      </c>
      <c r="B1430" t="s">
        <v>349</v>
      </c>
      <c r="D1430">
        <v>73</v>
      </c>
      <c r="E1430" t="s">
        <v>75</v>
      </c>
      <c r="G1430">
        <v>72.802000000000007</v>
      </c>
      <c r="H1430">
        <v>72.807000000000002</v>
      </c>
      <c r="I1430" t="s">
        <v>94</v>
      </c>
      <c r="K1430">
        <f t="shared" si="44"/>
        <v>72.802000000000007</v>
      </c>
      <c r="L1430">
        <f t="shared" si="45"/>
        <v>72.807000000000002</v>
      </c>
      <c r="M1430" t="s">
        <v>319</v>
      </c>
      <c r="O1430" s="7">
        <v>44359</v>
      </c>
      <c r="Q1430">
        <v>527421</v>
      </c>
      <c r="R1430" t="s">
        <v>222</v>
      </c>
    </row>
    <row r="1431" spans="1:18" x14ac:dyDescent="0.15">
      <c r="A1431" t="s">
        <v>308</v>
      </c>
      <c r="B1431" t="s">
        <v>349</v>
      </c>
      <c r="D1431">
        <v>73</v>
      </c>
      <c r="E1431" t="s">
        <v>75</v>
      </c>
      <c r="G1431">
        <v>72.942999999999998</v>
      </c>
      <c r="H1431">
        <v>72.947999999999993</v>
      </c>
      <c r="I1431" t="s">
        <v>94</v>
      </c>
      <c r="K1431">
        <f t="shared" si="44"/>
        <v>72.942999999999998</v>
      </c>
      <c r="L1431">
        <f t="shared" si="45"/>
        <v>72.947999999999993</v>
      </c>
      <c r="M1431" t="s">
        <v>319</v>
      </c>
      <c r="O1431" s="7">
        <v>44359</v>
      </c>
      <c r="Q1431">
        <v>527422</v>
      </c>
      <c r="R1431" t="s">
        <v>222</v>
      </c>
    </row>
    <row r="1432" spans="1:18" x14ac:dyDescent="0.15">
      <c r="A1432" t="s">
        <v>308</v>
      </c>
      <c r="B1432" t="s">
        <v>349</v>
      </c>
      <c r="D1432">
        <v>73</v>
      </c>
      <c r="E1432" t="s">
        <v>75</v>
      </c>
      <c r="G1432">
        <v>73.055000000000007</v>
      </c>
      <c r="H1432">
        <v>73.06</v>
      </c>
      <c r="I1432" t="s">
        <v>94</v>
      </c>
      <c r="K1432">
        <f t="shared" si="44"/>
        <v>73.055000000000007</v>
      </c>
      <c r="L1432">
        <f t="shared" si="45"/>
        <v>73.06</v>
      </c>
      <c r="M1432" t="s">
        <v>319</v>
      </c>
      <c r="O1432" s="7">
        <v>44359</v>
      </c>
      <c r="Q1432">
        <v>527423</v>
      </c>
      <c r="R1432" t="s">
        <v>222</v>
      </c>
    </row>
    <row r="1433" spans="1:18" x14ac:dyDescent="0.15">
      <c r="A1433" t="s">
        <v>308</v>
      </c>
      <c r="B1433" t="s">
        <v>349</v>
      </c>
      <c r="D1433">
        <v>73</v>
      </c>
      <c r="E1433" t="s">
        <v>75</v>
      </c>
      <c r="G1433">
        <v>73.75</v>
      </c>
      <c r="H1433">
        <v>73.754999999999995</v>
      </c>
      <c r="I1433" t="s">
        <v>94</v>
      </c>
      <c r="K1433">
        <f t="shared" si="44"/>
        <v>73.75</v>
      </c>
      <c r="L1433">
        <f t="shared" si="45"/>
        <v>73.754999999999995</v>
      </c>
      <c r="M1433" t="s">
        <v>319</v>
      </c>
      <c r="O1433" s="7">
        <v>44359</v>
      </c>
      <c r="Q1433">
        <v>527424</v>
      </c>
      <c r="R1433" t="s">
        <v>222</v>
      </c>
    </row>
    <row r="1434" spans="1:18" x14ac:dyDescent="0.15">
      <c r="A1434" t="s">
        <v>308</v>
      </c>
      <c r="B1434" t="s">
        <v>349</v>
      </c>
      <c r="D1434">
        <v>73</v>
      </c>
      <c r="E1434" t="s">
        <v>75</v>
      </c>
      <c r="G1434">
        <v>74.84</v>
      </c>
      <c r="H1434">
        <v>74.844999999999999</v>
      </c>
      <c r="I1434" t="s">
        <v>94</v>
      </c>
      <c r="K1434">
        <f t="shared" si="44"/>
        <v>74.84</v>
      </c>
      <c r="L1434">
        <f t="shared" si="45"/>
        <v>74.844999999999999</v>
      </c>
      <c r="M1434" t="s">
        <v>319</v>
      </c>
      <c r="O1434" s="7">
        <v>44359</v>
      </c>
      <c r="Q1434">
        <v>527425</v>
      </c>
      <c r="R1434" t="s">
        <v>222</v>
      </c>
    </row>
    <row r="1435" spans="1:18" x14ac:dyDescent="0.15">
      <c r="A1435" t="s">
        <v>308</v>
      </c>
      <c r="B1435" t="s">
        <v>349</v>
      </c>
      <c r="D1435">
        <v>73</v>
      </c>
      <c r="E1435" t="s">
        <v>75</v>
      </c>
      <c r="G1435">
        <v>75.346999999999994</v>
      </c>
      <c r="H1435">
        <v>75.35199999999999</v>
      </c>
      <c r="I1435" t="s">
        <v>94</v>
      </c>
      <c r="K1435">
        <f t="shared" si="44"/>
        <v>75.346999999999994</v>
      </c>
      <c r="L1435">
        <f t="shared" si="45"/>
        <v>75.35199999999999</v>
      </c>
      <c r="M1435" t="s">
        <v>319</v>
      </c>
      <c r="O1435" s="7">
        <v>44359</v>
      </c>
      <c r="Q1435">
        <v>527426</v>
      </c>
      <c r="R1435" t="s">
        <v>222</v>
      </c>
    </row>
    <row r="1436" spans="1:18" x14ac:dyDescent="0.15">
      <c r="A1436" t="s">
        <v>308</v>
      </c>
      <c r="B1436" t="s">
        <v>349</v>
      </c>
      <c r="D1436">
        <v>73</v>
      </c>
      <c r="E1436" t="s">
        <v>75</v>
      </c>
      <c r="G1436">
        <v>75.396000000000001</v>
      </c>
      <c r="H1436">
        <v>75.400999999999996</v>
      </c>
      <c r="I1436" t="s">
        <v>94</v>
      </c>
      <c r="K1436">
        <f t="shared" si="44"/>
        <v>75.396000000000001</v>
      </c>
      <c r="L1436">
        <f t="shared" si="45"/>
        <v>75.400999999999996</v>
      </c>
      <c r="M1436" t="s">
        <v>319</v>
      </c>
      <c r="O1436" s="7">
        <v>44359</v>
      </c>
      <c r="Q1436">
        <v>527427</v>
      </c>
      <c r="R1436" t="s">
        <v>222</v>
      </c>
    </row>
    <row r="1437" spans="1:18" x14ac:dyDescent="0.15">
      <c r="A1437" t="s">
        <v>308</v>
      </c>
      <c r="B1437" t="s">
        <v>349</v>
      </c>
      <c r="D1437">
        <v>73</v>
      </c>
      <c r="E1437" t="s">
        <v>75</v>
      </c>
      <c r="G1437">
        <v>75.445999999999998</v>
      </c>
      <c r="H1437">
        <v>75.450999999999993</v>
      </c>
      <c r="I1437" t="s">
        <v>94</v>
      </c>
      <c r="K1437">
        <f t="shared" si="44"/>
        <v>75.445999999999998</v>
      </c>
      <c r="L1437">
        <f t="shared" si="45"/>
        <v>75.450999999999993</v>
      </c>
      <c r="M1437" t="s">
        <v>319</v>
      </c>
      <c r="O1437" s="7">
        <v>44359</v>
      </c>
      <c r="Q1437">
        <v>527428</v>
      </c>
      <c r="R1437" t="s">
        <v>222</v>
      </c>
    </row>
    <row r="1438" spans="1:18" x14ac:dyDescent="0.15">
      <c r="A1438" t="s">
        <v>308</v>
      </c>
      <c r="B1438" t="s">
        <v>349</v>
      </c>
      <c r="D1438">
        <v>73</v>
      </c>
      <c r="E1438" t="s">
        <v>75</v>
      </c>
      <c r="G1438">
        <v>75.540000000000006</v>
      </c>
      <c r="H1438">
        <v>75.545000000000002</v>
      </c>
      <c r="I1438" t="s">
        <v>94</v>
      </c>
      <c r="K1438">
        <f t="shared" si="44"/>
        <v>75.540000000000006</v>
      </c>
      <c r="L1438">
        <f t="shared" si="45"/>
        <v>75.545000000000002</v>
      </c>
      <c r="M1438" t="s">
        <v>319</v>
      </c>
      <c r="O1438" s="7">
        <v>44359</v>
      </c>
      <c r="Q1438">
        <v>527429</v>
      </c>
      <c r="R1438" t="s">
        <v>222</v>
      </c>
    </row>
    <row r="1439" spans="1:18" x14ac:dyDescent="0.15">
      <c r="A1439" t="s">
        <v>308</v>
      </c>
      <c r="B1439" t="s">
        <v>349</v>
      </c>
      <c r="D1439">
        <v>73</v>
      </c>
      <c r="E1439" t="s">
        <v>75</v>
      </c>
      <c r="G1439">
        <v>75.841999999999999</v>
      </c>
      <c r="H1439">
        <v>75.846999999999994</v>
      </c>
      <c r="I1439" t="s">
        <v>94</v>
      </c>
      <c r="K1439">
        <f t="shared" si="44"/>
        <v>75.841999999999999</v>
      </c>
      <c r="L1439">
        <f t="shared" si="45"/>
        <v>75.846999999999994</v>
      </c>
      <c r="M1439" t="s">
        <v>319</v>
      </c>
      <c r="O1439" s="7">
        <v>44359</v>
      </c>
      <c r="Q1439">
        <v>527430</v>
      </c>
      <c r="R1439" t="s">
        <v>222</v>
      </c>
    </row>
    <row r="1440" spans="1:18" x14ac:dyDescent="0.15">
      <c r="A1440" t="s">
        <v>308</v>
      </c>
      <c r="B1440" t="s">
        <v>349</v>
      </c>
      <c r="D1440">
        <v>73</v>
      </c>
      <c r="E1440" t="s">
        <v>75</v>
      </c>
      <c r="G1440">
        <v>75.861999999999995</v>
      </c>
      <c r="H1440">
        <v>75.86699999999999</v>
      </c>
      <c r="I1440" t="s">
        <v>94</v>
      </c>
      <c r="K1440">
        <f t="shared" si="44"/>
        <v>75.861999999999995</v>
      </c>
      <c r="L1440">
        <f t="shared" si="45"/>
        <v>75.86699999999999</v>
      </c>
      <c r="M1440" t="s">
        <v>319</v>
      </c>
      <c r="O1440" s="7">
        <v>44359</v>
      </c>
      <c r="Q1440">
        <v>527431</v>
      </c>
      <c r="R1440" t="s">
        <v>222</v>
      </c>
    </row>
    <row r="1441" spans="1:18" x14ac:dyDescent="0.15">
      <c r="A1441" t="s">
        <v>308</v>
      </c>
      <c r="B1441" t="s">
        <v>349</v>
      </c>
      <c r="D1441">
        <v>73</v>
      </c>
      <c r="E1441" t="s">
        <v>75</v>
      </c>
      <c r="G1441">
        <v>75.986000000000004</v>
      </c>
      <c r="H1441">
        <v>75.991</v>
      </c>
      <c r="I1441" t="s">
        <v>94</v>
      </c>
      <c r="K1441">
        <f t="shared" si="44"/>
        <v>75.986000000000004</v>
      </c>
      <c r="L1441">
        <f t="shared" si="45"/>
        <v>75.991</v>
      </c>
      <c r="M1441" t="s">
        <v>319</v>
      </c>
      <c r="O1441" s="7">
        <v>44359</v>
      </c>
      <c r="Q1441">
        <v>527432</v>
      </c>
      <c r="R1441" t="s">
        <v>222</v>
      </c>
    </row>
    <row r="1442" spans="1:18" x14ac:dyDescent="0.15">
      <c r="A1442" t="s">
        <v>308</v>
      </c>
      <c r="B1442" t="s">
        <v>349</v>
      </c>
      <c r="D1442">
        <v>65</v>
      </c>
      <c r="E1442" t="s">
        <v>74</v>
      </c>
      <c r="G1442">
        <v>9.9</v>
      </c>
      <c r="H1442">
        <v>9.6999999999999993</v>
      </c>
      <c r="I1442" t="s">
        <v>91</v>
      </c>
      <c r="K1442">
        <f t="shared" si="44"/>
        <v>9.6999999999999993</v>
      </c>
      <c r="L1442">
        <f t="shared" si="45"/>
        <v>9.9</v>
      </c>
      <c r="M1442" t="s">
        <v>320</v>
      </c>
      <c r="O1442" s="7">
        <v>44364</v>
      </c>
      <c r="Q1442" t="s">
        <v>340</v>
      </c>
      <c r="R1442" t="s">
        <v>222</v>
      </c>
    </row>
    <row r="1443" spans="1:18" x14ac:dyDescent="0.15">
      <c r="A1443" t="s">
        <v>308</v>
      </c>
      <c r="B1443" t="s">
        <v>349</v>
      </c>
      <c r="D1443">
        <v>65</v>
      </c>
      <c r="E1443" t="s">
        <v>74</v>
      </c>
      <c r="G1443">
        <v>9.9</v>
      </c>
      <c r="H1443">
        <v>9.6999999999999993</v>
      </c>
      <c r="I1443" t="s">
        <v>92</v>
      </c>
      <c r="K1443">
        <f t="shared" si="44"/>
        <v>9.6999999999999993</v>
      </c>
      <c r="L1443">
        <f t="shared" si="45"/>
        <v>9.9</v>
      </c>
      <c r="M1443" t="s">
        <v>320</v>
      </c>
      <c r="O1443" s="7">
        <v>44364</v>
      </c>
      <c r="Q1443" t="s">
        <v>340</v>
      </c>
      <c r="R1443" t="s">
        <v>222</v>
      </c>
    </row>
    <row r="1444" spans="1:18" x14ac:dyDescent="0.15">
      <c r="A1444" t="s">
        <v>308</v>
      </c>
      <c r="B1444" t="s">
        <v>349</v>
      </c>
      <c r="D1444">
        <v>65</v>
      </c>
      <c r="E1444" t="s">
        <v>74</v>
      </c>
      <c r="G1444">
        <v>10.050000000000001</v>
      </c>
      <c r="H1444">
        <v>9.9</v>
      </c>
      <c r="I1444" t="s">
        <v>91</v>
      </c>
      <c r="K1444">
        <f t="shared" si="44"/>
        <v>9.9</v>
      </c>
      <c r="L1444">
        <f t="shared" si="45"/>
        <v>10.050000000000001</v>
      </c>
      <c r="M1444" t="s">
        <v>320</v>
      </c>
      <c r="O1444" s="7">
        <v>44364</v>
      </c>
      <c r="Q1444" t="s">
        <v>340</v>
      </c>
      <c r="R1444" t="s">
        <v>222</v>
      </c>
    </row>
    <row r="1445" spans="1:18" x14ac:dyDescent="0.15">
      <c r="A1445" t="s">
        <v>308</v>
      </c>
      <c r="B1445" t="s">
        <v>349</v>
      </c>
      <c r="D1445">
        <v>65</v>
      </c>
      <c r="E1445" t="s">
        <v>74</v>
      </c>
      <c r="G1445">
        <v>10.050000000000001</v>
      </c>
      <c r="H1445">
        <v>9.9</v>
      </c>
      <c r="I1445" t="s">
        <v>92</v>
      </c>
      <c r="K1445">
        <f t="shared" si="44"/>
        <v>9.9</v>
      </c>
      <c r="L1445">
        <f t="shared" si="45"/>
        <v>10.050000000000001</v>
      </c>
      <c r="M1445" t="s">
        <v>320</v>
      </c>
      <c r="O1445" s="7">
        <v>44364</v>
      </c>
      <c r="Q1445" t="s">
        <v>340</v>
      </c>
      <c r="R1445" t="s">
        <v>222</v>
      </c>
    </row>
    <row r="1446" spans="1:18" x14ac:dyDescent="0.15">
      <c r="A1446" t="s">
        <v>308</v>
      </c>
      <c r="B1446" t="s">
        <v>349</v>
      </c>
      <c r="D1446">
        <v>65</v>
      </c>
      <c r="E1446" t="s">
        <v>74</v>
      </c>
      <c r="G1446">
        <v>10.050000000000001</v>
      </c>
      <c r="H1446">
        <v>9.9</v>
      </c>
      <c r="I1446" t="s">
        <v>93</v>
      </c>
      <c r="K1446">
        <f t="shared" si="44"/>
        <v>9.9</v>
      </c>
      <c r="L1446">
        <f t="shared" si="45"/>
        <v>10.050000000000001</v>
      </c>
      <c r="M1446" t="s">
        <v>320</v>
      </c>
      <c r="O1446" s="7">
        <v>44364</v>
      </c>
      <c r="Q1446" t="s">
        <v>340</v>
      </c>
      <c r="R1446" t="s">
        <v>222</v>
      </c>
    </row>
    <row r="1447" spans="1:18" x14ac:dyDescent="0.15">
      <c r="A1447" t="s">
        <v>308</v>
      </c>
      <c r="B1447" t="s">
        <v>349</v>
      </c>
      <c r="D1447">
        <v>65</v>
      </c>
      <c r="E1447" t="s">
        <v>74</v>
      </c>
      <c r="G1447">
        <v>10.199999999999999</v>
      </c>
      <c r="H1447">
        <v>10.050000000000001</v>
      </c>
      <c r="I1447" t="s">
        <v>91</v>
      </c>
      <c r="K1447">
        <f t="shared" si="44"/>
        <v>10.050000000000001</v>
      </c>
      <c r="L1447">
        <f t="shared" si="45"/>
        <v>10.199999999999999</v>
      </c>
      <c r="M1447" t="s">
        <v>320</v>
      </c>
      <c r="O1447" s="7">
        <v>44364</v>
      </c>
      <c r="Q1447" t="s">
        <v>340</v>
      </c>
      <c r="R1447" t="s">
        <v>222</v>
      </c>
    </row>
    <row r="1448" spans="1:18" x14ac:dyDescent="0.15">
      <c r="A1448" t="s">
        <v>308</v>
      </c>
      <c r="B1448" t="s">
        <v>349</v>
      </c>
      <c r="D1448">
        <v>65</v>
      </c>
      <c r="E1448" t="s">
        <v>74</v>
      </c>
      <c r="G1448">
        <v>10.199999999999999</v>
      </c>
      <c r="H1448">
        <v>10.050000000000001</v>
      </c>
      <c r="I1448" t="s">
        <v>92</v>
      </c>
      <c r="K1448">
        <f t="shared" si="44"/>
        <v>10.050000000000001</v>
      </c>
      <c r="L1448">
        <f t="shared" si="45"/>
        <v>10.199999999999999</v>
      </c>
      <c r="M1448" t="s">
        <v>320</v>
      </c>
      <c r="O1448" s="7">
        <v>44364</v>
      </c>
      <c r="Q1448" t="s">
        <v>340</v>
      </c>
      <c r="R1448" t="s">
        <v>222</v>
      </c>
    </row>
    <row r="1449" spans="1:18" x14ac:dyDescent="0.15">
      <c r="A1449" t="s">
        <v>308</v>
      </c>
      <c r="B1449" t="s">
        <v>349</v>
      </c>
      <c r="D1449">
        <v>65</v>
      </c>
      <c r="E1449" t="s">
        <v>74</v>
      </c>
      <c r="G1449">
        <v>4.5999999999999996</v>
      </c>
      <c r="H1449">
        <v>4.5</v>
      </c>
      <c r="I1449" t="s">
        <v>92</v>
      </c>
      <c r="K1449">
        <f t="shared" si="44"/>
        <v>4.5</v>
      </c>
      <c r="L1449">
        <f t="shared" si="45"/>
        <v>4.5999999999999996</v>
      </c>
      <c r="M1449" t="s">
        <v>28</v>
      </c>
      <c r="O1449" s="7">
        <v>44364</v>
      </c>
      <c r="Q1449" t="s">
        <v>339</v>
      </c>
      <c r="R1449" t="s">
        <v>222</v>
      </c>
    </row>
    <row r="1450" spans="1:18" x14ac:dyDescent="0.15">
      <c r="A1450" t="s">
        <v>308</v>
      </c>
      <c r="B1450" t="s">
        <v>349</v>
      </c>
      <c r="D1450">
        <v>65</v>
      </c>
      <c r="E1450" t="s">
        <v>74</v>
      </c>
      <c r="G1450">
        <v>4.7300000000000004</v>
      </c>
      <c r="H1450">
        <v>4.5999999999999996</v>
      </c>
      <c r="I1450" t="s">
        <v>91</v>
      </c>
      <c r="K1450">
        <f t="shared" si="44"/>
        <v>4.5999999999999996</v>
      </c>
      <c r="L1450">
        <f t="shared" si="45"/>
        <v>4.7300000000000004</v>
      </c>
      <c r="M1450" t="s">
        <v>320</v>
      </c>
      <c r="O1450" s="7">
        <v>44364</v>
      </c>
      <c r="Q1450" t="s">
        <v>340</v>
      </c>
      <c r="R1450" t="s">
        <v>222</v>
      </c>
    </row>
    <row r="1451" spans="1:18" x14ac:dyDescent="0.15">
      <c r="A1451" t="s">
        <v>308</v>
      </c>
      <c r="B1451" t="s">
        <v>349</v>
      </c>
      <c r="D1451">
        <v>65</v>
      </c>
      <c r="E1451" t="s">
        <v>74</v>
      </c>
      <c r="G1451">
        <v>4.7300000000000004</v>
      </c>
      <c r="H1451">
        <v>4.5999999999999996</v>
      </c>
      <c r="I1451" t="s">
        <v>92</v>
      </c>
      <c r="K1451">
        <f t="shared" si="44"/>
        <v>4.5999999999999996</v>
      </c>
      <c r="L1451">
        <f t="shared" si="45"/>
        <v>4.7300000000000004</v>
      </c>
      <c r="M1451" t="s">
        <v>320</v>
      </c>
      <c r="O1451" s="7">
        <v>44364</v>
      </c>
      <c r="Q1451" t="s">
        <v>340</v>
      </c>
      <c r="R1451" t="s">
        <v>222</v>
      </c>
    </row>
    <row r="1452" spans="1:18" x14ac:dyDescent="0.15">
      <c r="A1452" t="s">
        <v>308</v>
      </c>
      <c r="B1452" t="s">
        <v>349</v>
      </c>
      <c r="D1452">
        <v>2</v>
      </c>
      <c r="E1452" t="s">
        <v>74</v>
      </c>
      <c r="G1452">
        <v>160.69999999999999</v>
      </c>
      <c r="H1452">
        <v>160.5</v>
      </c>
      <c r="I1452" t="s">
        <v>92</v>
      </c>
      <c r="K1452">
        <f t="shared" si="44"/>
        <v>160.5</v>
      </c>
      <c r="L1452">
        <f t="shared" si="45"/>
        <v>160.69999999999999</v>
      </c>
      <c r="M1452" t="s">
        <v>310</v>
      </c>
      <c r="N1452" t="s">
        <v>159</v>
      </c>
      <c r="O1452" s="7">
        <v>44368</v>
      </c>
      <c r="Q1452" t="s">
        <v>335</v>
      </c>
      <c r="R1452" t="s">
        <v>222</v>
      </c>
    </row>
    <row r="1453" spans="1:18" x14ac:dyDescent="0.15">
      <c r="A1453" t="s">
        <v>308</v>
      </c>
      <c r="B1453" t="s">
        <v>349</v>
      </c>
      <c r="D1453">
        <v>2</v>
      </c>
      <c r="E1453" t="s">
        <v>74</v>
      </c>
      <c r="G1453">
        <v>163.1</v>
      </c>
      <c r="H1453">
        <v>162.9</v>
      </c>
      <c r="I1453" t="s">
        <v>92</v>
      </c>
      <c r="K1453">
        <f t="shared" si="44"/>
        <v>162.9</v>
      </c>
      <c r="L1453">
        <f t="shared" si="45"/>
        <v>163.1</v>
      </c>
      <c r="M1453" t="s">
        <v>310</v>
      </c>
      <c r="N1453" t="s">
        <v>159</v>
      </c>
      <c r="O1453" s="7">
        <v>44368</v>
      </c>
      <c r="Q1453" t="s">
        <v>335</v>
      </c>
      <c r="R1453" t="s">
        <v>222</v>
      </c>
    </row>
    <row r="1454" spans="1:18" x14ac:dyDescent="0.15">
      <c r="A1454" t="s">
        <v>308</v>
      </c>
      <c r="B1454" t="s">
        <v>349</v>
      </c>
      <c r="D1454">
        <v>2</v>
      </c>
      <c r="E1454" t="s">
        <v>74</v>
      </c>
      <c r="G1454">
        <v>165.5</v>
      </c>
      <c r="H1454">
        <v>165.3</v>
      </c>
      <c r="I1454" t="s">
        <v>92</v>
      </c>
      <c r="K1454">
        <f t="shared" si="44"/>
        <v>165.3</v>
      </c>
      <c r="L1454">
        <f t="shared" si="45"/>
        <v>165.5</v>
      </c>
      <c r="M1454" t="s">
        <v>310</v>
      </c>
      <c r="N1454" t="s">
        <v>159</v>
      </c>
      <c r="O1454" s="7">
        <v>44369</v>
      </c>
      <c r="Q1454" t="s">
        <v>335</v>
      </c>
      <c r="R1454" t="s">
        <v>222</v>
      </c>
    </row>
    <row r="1455" spans="1:18" x14ac:dyDescent="0.15">
      <c r="A1455" t="s">
        <v>308</v>
      </c>
      <c r="B1455" t="s">
        <v>349</v>
      </c>
      <c r="D1455">
        <v>2</v>
      </c>
      <c r="E1455" t="s">
        <v>75</v>
      </c>
      <c r="G1455">
        <v>132.22499999999999</v>
      </c>
      <c r="H1455">
        <v>132.27500000000001</v>
      </c>
      <c r="I1455" t="s">
        <v>22</v>
      </c>
      <c r="K1455">
        <f t="shared" si="44"/>
        <v>132.22499999999999</v>
      </c>
      <c r="L1455">
        <f t="shared" si="45"/>
        <v>132.27500000000001</v>
      </c>
      <c r="M1455" t="s">
        <v>310</v>
      </c>
      <c r="N1455" t="s">
        <v>159</v>
      </c>
      <c r="O1455" s="7">
        <v>44370</v>
      </c>
      <c r="Q1455" t="s">
        <v>335</v>
      </c>
      <c r="R1455" t="s">
        <v>222</v>
      </c>
    </row>
    <row r="1456" spans="1:18" x14ac:dyDescent="0.15">
      <c r="A1456" t="s">
        <v>308</v>
      </c>
      <c r="B1456" t="s">
        <v>349</v>
      </c>
      <c r="D1456">
        <v>50</v>
      </c>
      <c r="E1456" t="s">
        <v>75</v>
      </c>
      <c r="G1456">
        <v>116.4</v>
      </c>
      <c r="H1456">
        <v>116.5</v>
      </c>
      <c r="J1456" t="s">
        <v>23</v>
      </c>
      <c r="K1456">
        <f t="shared" si="44"/>
        <v>116.4</v>
      </c>
      <c r="L1456">
        <f t="shared" si="45"/>
        <v>116.5</v>
      </c>
      <c r="M1456" t="s">
        <v>310</v>
      </c>
      <c r="N1456" t="s">
        <v>159</v>
      </c>
      <c r="O1456" s="7">
        <v>44370</v>
      </c>
      <c r="Q1456" t="s">
        <v>335</v>
      </c>
      <c r="R1456" t="s">
        <v>222</v>
      </c>
    </row>
    <row r="1457" spans="1:18" x14ac:dyDescent="0.15">
      <c r="A1457" t="s">
        <v>308</v>
      </c>
      <c r="B1457" t="s">
        <v>349</v>
      </c>
      <c r="D1457">
        <v>2</v>
      </c>
      <c r="E1457" t="s">
        <v>74</v>
      </c>
      <c r="G1457">
        <v>160</v>
      </c>
      <c r="H1457">
        <v>159.5</v>
      </c>
      <c r="I1457" t="s">
        <v>209</v>
      </c>
      <c r="K1457">
        <f t="shared" si="44"/>
        <v>159.5</v>
      </c>
      <c r="L1457">
        <f t="shared" si="45"/>
        <v>160</v>
      </c>
      <c r="M1457" t="s">
        <v>310</v>
      </c>
      <c r="N1457" t="s">
        <v>159</v>
      </c>
      <c r="O1457" s="7">
        <v>44371</v>
      </c>
      <c r="Q1457" t="s">
        <v>335</v>
      </c>
      <c r="R1457" t="s">
        <v>222</v>
      </c>
    </row>
    <row r="1458" spans="1:18" x14ac:dyDescent="0.15">
      <c r="A1458" t="s">
        <v>308</v>
      </c>
      <c r="B1458" t="s">
        <v>349</v>
      </c>
      <c r="D1458">
        <v>2</v>
      </c>
      <c r="E1458" t="s">
        <v>74</v>
      </c>
      <c r="G1458">
        <v>160</v>
      </c>
      <c r="H1458">
        <v>159.6</v>
      </c>
      <c r="I1458" t="s">
        <v>182</v>
      </c>
      <c r="K1458">
        <f t="shared" si="44"/>
        <v>159.6</v>
      </c>
      <c r="L1458">
        <f t="shared" si="45"/>
        <v>160</v>
      </c>
      <c r="M1458" t="s">
        <v>310</v>
      </c>
      <c r="N1458" t="s">
        <v>159</v>
      </c>
      <c r="O1458" s="7">
        <v>44371</v>
      </c>
      <c r="Q1458" t="s">
        <v>335</v>
      </c>
      <c r="R1458" t="s">
        <v>222</v>
      </c>
    </row>
    <row r="1459" spans="1:18" x14ac:dyDescent="0.15">
      <c r="A1459" t="s">
        <v>308</v>
      </c>
      <c r="B1459" t="s">
        <v>349</v>
      </c>
      <c r="D1459">
        <v>2</v>
      </c>
      <c r="E1459" t="s">
        <v>76</v>
      </c>
      <c r="F1459" t="s">
        <v>269</v>
      </c>
      <c r="G1459">
        <v>143.24</v>
      </c>
      <c r="H1459">
        <v>143.34</v>
      </c>
      <c r="I1459" t="s">
        <v>94</v>
      </c>
      <c r="K1459">
        <f t="shared" si="44"/>
        <v>143.24</v>
      </c>
      <c r="L1459">
        <f t="shared" si="45"/>
        <v>143.34</v>
      </c>
      <c r="M1459" t="s">
        <v>310</v>
      </c>
      <c r="N1459" t="s">
        <v>159</v>
      </c>
      <c r="O1459" s="7">
        <v>44375</v>
      </c>
      <c r="Q1459" t="s">
        <v>335</v>
      </c>
      <c r="R1459" t="s">
        <v>222</v>
      </c>
    </row>
    <row r="1460" spans="1:18" x14ac:dyDescent="0.15">
      <c r="A1460" t="s">
        <v>308</v>
      </c>
      <c r="B1460" t="s">
        <v>349</v>
      </c>
      <c r="D1460">
        <v>2</v>
      </c>
      <c r="E1460" t="s">
        <v>75</v>
      </c>
      <c r="G1460">
        <v>141.68</v>
      </c>
      <c r="H1460">
        <v>141.72999999999999</v>
      </c>
      <c r="I1460" t="s">
        <v>186</v>
      </c>
      <c r="K1460">
        <f t="shared" si="44"/>
        <v>141.68</v>
      </c>
      <c r="L1460">
        <f t="shared" si="45"/>
        <v>141.72999999999999</v>
      </c>
      <c r="M1460" t="s">
        <v>310</v>
      </c>
      <c r="N1460" t="s">
        <v>159</v>
      </c>
      <c r="O1460" s="7">
        <v>44375</v>
      </c>
      <c r="Q1460" t="s">
        <v>335</v>
      </c>
      <c r="R1460" t="s">
        <v>222</v>
      </c>
    </row>
    <row r="1461" spans="1:18" x14ac:dyDescent="0.15">
      <c r="A1461" t="s">
        <v>308</v>
      </c>
      <c r="B1461" t="s">
        <v>349</v>
      </c>
      <c r="D1461">
        <v>58</v>
      </c>
      <c r="E1461" t="s">
        <v>76</v>
      </c>
      <c r="F1461" t="s">
        <v>87</v>
      </c>
      <c r="G1461">
        <v>13.2</v>
      </c>
      <c r="H1461">
        <v>13.1</v>
      </c>
      <c r="I1461" t="s">
        <v>91</v>
      </c>
      <c r="K1461">
        <f t="shared" si="44"/>
        <v>13.1</v>
      </c>
      <c r="L1461">
        <f t="shared" si="45"/>
        <v>13.2</v>
      </c>
      <c r="M1461" t="s">
        <v>310</v>
      </c>
      <c r="N1461" t="s">
        <v>159</v>
      </c>
      <c r="O1461" s="7">
        <v>44376</v>
      </c>
      <c r="Q1461" t="s">
        <v>335</v>
      </c>
      <c r="R1461" t="s">
        <v>222</v>
      </c>
    </row>
    <row r="1462" spans="1:18" x14ac:dyDescent="0.15">
      <c r="A1462" t="s">
        <v>308</v>
      </c>
      <c r="B1462" t="s">
        <v>349</v>
      </c>
      <c r="D1462">
        <v>58</v>
      </c>
      <c r="E1462" t="s">
        <v>74</v>
      </c>
      <c r="G1462">
        <v>13.65</v>
      </c>
      <c r="H1462">
        <v>13.4</v>
      </c>
      <c r="I1462" t="s">
        <v>291</v>
      </c>
      <c r="K1462">
        <f t="shared" si="44"/>
        <v>13.4</v>
      </c>
      <c r="L1462">
        <f t="shared" si="45"/>
        <v>13.65</v>
      </c>
      <c r="M1462" t="s">
        <v>310</v>
      </c>
      <c r="N1462" t="s">
        <v>159</v>
      </c>
      <c r="O1462" s="7">
        <v>44376</v>
      </c>
      <c r="Q1462" t="s">
        <v>335</v>
      </c>
      <c r="R1462" t="s">
        <v>222</v>
      </c>
    </row>
    <row r="1463" spans="1:18" x14ac:dyDescent="0.15">
      <c r="A1463" t="s">
        <v>308</v>
      </c>
      <c r="B1463" t="s">
        <v>349</v>
      </c>
      <c r="D1463">
        <v>58</v>
      </c>
      <c r="E1463" t="s">
        <v>74</v>
      </c>
      <c r="G1463">
        <v>13.2</v>
      </c>
      <c r="H1463">
        <v>13</v>
      </c>
      <c r="I1463" t="s">
        <v>91</v>
      </c>
      <c r="K1463">
        <f t="shared" si="44"/>
        <v>13</v>
      </c>
      <c r="L1463">
        <f t="shared" si="45"/>
        <v>13.2</v>
      </c>
      <c r="M1463" t="s">
        <v>310</v>
      </c>
      <c r="N1463" t="s">
        <v>159</v>
      </c>
      <c r="O1463" s="7">
        <v>44377</v>
      </c>
      <c r="Q1463" t="s">
        <v>335</v>
      </c>
      <c r="R1463" t="s">
        <v>222</v>
      </c>
    </row>
    <row r="1464" spans="1:18" x14ac:dyDescent="0.15">
      <c r="A1464" t="s">
        <v>308</v>
      </c>
      <c r="B1464" t="s">
        <v>349</v>
      </c>
      <c r="D1464">
        <v>58</v>
      </c>
      <c r="E1464" t="s">
        <v>74</v>
      </c>
      <c r="G1464">
        <v>13</v>
      </c>
      <c r="H1464">
        <v>12.9</v>
      </c>
      <c r="I1464" t="s">
        <v>91</v>
      </c>
      <c r="K1464">
        <f t="shared" si="44"/>
        <v>12.9</v>
      </c>
      <c r="L1464">
        <f t="shared" si="45"/>
        <v>13</v>
      </c>
      <c r="M1464" t="s">
        <v>310</v>
      </c>
      <c r="N1464" t="s">
        <v>159</v>
      </c>
      <c r="O1464" s="7">
        <v>44377</v>
      </c>
      <c r="Q1464" t="s">
        <v>335</v>
      </c>
      <c r="R1464" t="s">
        <v>222</v>
      </c>
    </row>
    <row r="1465" spans="1:18" x14ac:dyDescent="0.15">
      <c r="A1465" t="s">
        <v>308</v>
      </c>
      <c r="B1465" t="s">
        <v>349</v>
      </c>
      <c r="D1465">
        <v>58</v>
      </c>
      <c r="E1465" t="s">
        <v>74</v>
      </c>
      <c r="G1465">
        <v>12.9</v>
      </c>
      <c r="H1465">
        <v>12.7</v>
      </c>
      <c r="I1465" t="s">
        <v>91</v>
      </c>
      <c r="K1465">
        <f t="shared" si="44"/>
        <v>12.7</v>
      </c>
      <c r="L1465">
        <f t="shared" si="45"/>
        <v>12.9</v>
      </c>
      <c r="M1465" t="s">
        <v>310</v>
      </c>
      <c r="N1465" t="s">
        <v>159</v>
      </c>
      <c r="O1465" s="7">
        <v>44378</v>
      </c>
      <c r="Q1465" t="s">
        <v>335</v>
      </c>
      <c r="R1465" t="s">
        <v>222</v>
      </c>
    </row>
    <row r="1466" spans="1:18" x14ac:dyDescent="0.15">
      <c r="A1466" t="s">
        <v>308</v>
      </c>
      <c r="B1466" t="s">
        <v>349</v>
      </c>
      <c r="D1466">
        <v>58</v>
      </c>
      <c r="E1466" t="s">
        <v>74</v>
      </c>
      <c r="G1466">
        <v>12.7</v>
      </c>
      <c r="H1466">
        <v>12.5</v>
      </c>
      <c r="I1466" t="s">
        <v>91</v>
      </c>
      <c r="K1466">
        <f t="shared" si="44"/>
        <v>12.5</v>
      </c>
      <c r="L1466">
        <f t="shared" si="45"/>
        <v>12.7</v>
      </c>
      <c r="M1466" t="s">
        <v>310</v>
      </c>
      <c r="N1466" t="s">
        <v>159</v>
      </c>
      <c r="O1466" s="7">
        <v>44378</v>
      </c>
      <c r="Q1466" t="s">
        <v>335</v>
      </c>
      <c r="R1466" t="s">
        <v>222</v>
      </c>
    </row>
    <row r="1467" spans="1:18" x14ac:dyDescent="0.15">
      <c r="A1467" t="s">
        <v>308</v>
      </c>
      <c r="B1467" t="s">
        <v>349</v>
      </c>
      <c r="D1467">
        <v>2</v>
      </c>
      <c r="E1467" t="s">
        <v>74</v>
      </c>
      <c r="G1467">
        <v>186.25</v>
      </c>
      <c r="H1467">
        <v>186.15</v>
      </c>
      <c r="I1467" t="s">
        <v>91</v>
      </c>
      <c r="K1467">
        <f t="shared" si="44"/>
        <v>186.15</v>
      </c>
      <c r="L1467">
        <f t="shared" si="45"/>
        <v>186.25</v>
      </c>
      <c r="M1467" t="s">
        <v>313</v>
      </c>
      <c r="O1467" s="7">
        <v>44397</v>
      </c>
      <c r="Q1467" t="s">
        <v>226</v>
      </c>
      <c r="R1467" t="s">
        <v>222</v>
      </c>
    </row>
    <row r="1468" spans="1:18" x14ac:dyDescent="0.15">
      <c r="A1468" t="s">
        <v>308</v>
      </c>
      <c r="B1468" t="s">
        <v>349</v>
      </c>
      <c r="D1468">
        <v>2</v>
      </c>
      <c r="E1468" t="s">
        <v>74</v>
      </c>
      <c r="G1468">
        <v>186.25</v>
      </c>
      <c r="H1468">
        <v>186.15</v>
      </c>
      <c r="I1468" t="s">
        <v>92</v>
      </c>
      <c r="K1468">
        <f t="shared" si="44"/>
        <v>186.15</v>
      </c>
      <c r="L1468">
        <f t="shared" si="45"/>
        <v>186.25</v>
      </c>
      <c r="M1468" t="s">
        <v>313</v>
      </c>
      <c r="O1468" s="7">
        <v>44397</v>
      </c>
      <c r="Q1468" t="s">
        <v>226</v>
      </c>
      <c r="R1468" t="s">
        <v>222</v>
      </c>
    </row>
    <row r="1469" spans="1:18" x14ac:dyDescent="0.15">
      <c r="A1469" t="s">
        <v>308</v>
      </c>
      <c r="B1469" t="s">
        <v>349</v>
      </c>
      <c r="D1469">
        <v>2</v>
      </c>
      <c r="E1469" t="s">
        <v>74</v>
      </c>
      <c r="G1469">
        <v>186.25</v>
      </c>
      <c r="H1469">
        <v>186.15</v>
      </c>
      <c r="I1469" t="s">
        <v>90</v>
      </c>
      <c r="K1469">
        <f t="shared" si="44"/>
        <v>186.15</v>
      </c>
      <c r="L1469">
        <f t="shared" si="45"/>
        <v>186.25</v>
      </c>
      <c r="M1469" t="s">
        <v>313</v>
      </c>
      <c r="O1469" s="7">
        <v>44397</v>
      </c>
      <c r="Q1469" t="s">
        <v>226</v>
      </c>
      <c r="R1469" t="s">
        <v>222</v>
      </c>
    </row>
    <row r="1470" spans="1:18" x14ac:dyDescent="0.15">
      <c r="A1470" t="s">
        <v>308</v>
      </c>
      <c r="B1470" t="s">
        <v>349</v>
      </c>
      <c r="D1470">
        <v>2</v>
      </c>
      <c r="E1470" t="s">
        <v>74</v>
      </c>
      <c r="G1470">
        <v>186.25</v>
      </c>
      <c r="H1470">
        <v>186.15</v>
      </c>
      <c r="I1470" t="s">
        <v>92</v>
      </c>
      <c r="K1470">
        <f t="shared" si="44"/>
        <v>186.15</v>
      </c>
      <c r="L1470">
        <f t="shared" si="45"/>
        <v>186.25</v>
      </c>
      <c r="M1470" t="s">
        <v>321</v>
      </c>
      <c r="O1470" s="7">
        <v>44397</v>
      </c>
      <c r="Q1470" t="s">
        <v>336</v>
      </c>
      <c r="R1470" t="s">
        <v>222</v>
      </c>
    </row>
    <row r="1471" spans="1:18" x14ac:dyDescent="0.15">
      <c r="A1471" t="s">
        <v>308</v>
      </c>
      <c r="B1471" t="s">
        <v>349</v>
      </c>
      <c r="D1471">
        <v>2</v>
      </c>
      <c r="E1471" t="s">
        <v>74</v>
      </c>
      <c r="G1471">
        <v>183.27500000000001</v>
      </c>
      <c r="H1471">
        <v>183.255</v>
      </c>
      <c r="I1471" t="s">
        <v>91</v>
      </c>
      <c r="K1471">
        <f t="shared" si="44"/>
        <v>183.255</v>
      </c>
      <c r="L1471">
        <f t="shared" si="45"/>
        <v>183.27500000000001</v>
      </c>
      <c r="M1471" t="s">
        <v>313</v>
      </c>
      <c r="O1471" s="7">
        <v>44397</v>
      </c>
      <c r="Q1471" t="s">
        <v>226</v>
      </c>
      <c r="R1471" t="s">
        <v>222</v>
      </c>
    </row>
    <row r="1472" spans="1:18" x14ac:dyDescent="0.15">
      <c r="A1472" t="s">
        <v>308</v>
      </c>
      <c r="B1472" t="s">
        <v>349</v>
      </c>
      <c r="D1472">
        <v>2</v>
      </c>
      <c r="E1472" t="s">
        <v>74</v>
      </c>
      <c r="G1472">
        <v>183.27500000000001</v>
      </c>
      <c r="H1472">
        <v>183.255</v>
      </c>
      <c r="I1472" t="s">
        <v>92</v>
      </c>
      <c r="K1472">
        <f t="shared" si="44"/>
        <v>183.255</v>
      </c>
      <c r="L1472">
        <f t="shared" si="45"/>
        <v>183.27500000000001</v>
      </c>
      <c r="M1472" t="s">
        <v>313</v>
      </c>
      <c r="O1472" s="7">
        <v>44397</v>
      </c>
      <c r="Q1472" t="s">
        <v>226</v>
      </c>
      <c r="R1472" t="s">
        <v>222</v>
      </c>
    </row>
    <row r="1473" spans="1:18" x14ac:dyDescent="0.15">
      <c r="A1473" t="s">
        <v>308</v>
      </c>
      <c r="B1473" t="s">
        <v>349</v>
      </c>
      <c r="D1473">
        <v>50</v>
      </c>
      <c r="E1473" t="s">
        <v>74</v>
      </c>
      <c r="G1473">
        <v>136.52500000000001</v>
      </c>
      <c r="H1473">
        <v>136.1</v>
      </c>
      <c r="I1473" t="s">
        <v>92</v>
      </c>
      <c r="K1473">
        <f t="shared" ref="K1473:K1536" si="46">MIN(G1473:H1473)</f>
        <v>136.1</v>
      </c>
      <c r="L1473">
        <f t="shared" ref="L1473:L1536" si="47">MAX(G1473:H1473)</f>
        <v>136.52500000000001</v>
      </c>
      <c r="M1473" t="s">
        <v>310</v>
      </c>
      <c r="O1473" s="7">
        <v>44398</v>
      </c>
      <c r="Q1473" t="s">
        <v>335</v>
      </c>
      <c r="R1473" t="s">
        <v>222</v>
      </c>
    </row>
    <row r="1474" spans="1:18" x14ac:dyDescent="0.15">
      <c r="A1474" t="s">
        <v>308</v>
      </c>
      <c r="B1474" t="s">
        <v>349</v>
      </c>
      <c r="D1474">
        <v>50</v>
      </c>
      <c r="E1474" t="s">
        <v>74</v>
      </c>
      <c r="G1474">
        <v>136.1</v>
      </c>
      <c r="H1474">
        <v>135.9</v>
      </c>
      <c r="I1474" t="s">
        <v>92</v>
      </c>
      <c r="K1474">
        <f t="shared" si="46"/>
        <v>135.9</v>
      </c>
      <c r="L1474">
        <f t="shared" si="47"/>
        <v>136.1</v>
      </c>
      <c r="M1474" t="s">
        <v>313</v>
      </c>
      <c r="O1474" s="7">
        <v>44398</v>
      </c>
      <c r="Q1474" t="s">
        <v>226</v>
      </c>
      <c r="R1474" t="s">
        <v>222</v>
      </c>
    </row>
    <row r="1475" spans="1:18" x14ac:dyDescent="0.15">
      <c r="A1475" t="s">
        <v>308</v>
      </c>
      <c r="B1475" t="s">
        <v>349</v>
      </c>
      <c r="D1475">
        <v>50</v>
      </c>
      <c r="E1475" t="s">
        <v>74</v>
      </c>
      <c r="G1475">
        <v>108.6</v>
      </c>
      <c r="H1475">
        <v>108.5</v>
      </c>
      <c r="I1475" t="s">
        <v>91</v>
      </c>
      <c r="K1475">
        <f t="shared" si="46"/>
        <v>108.5</v>
      </c>
      <c r="L1475">
        <f t="shared" si="47"/>
        <v>108.6</v>
      </c>
      <c r="M1475" t="s">
        <v>322</v>
      </c>
      <c r="N1475" t="s">
        <v>332</v>
      </c>
      <c r="O1475" s="7">
        <v>44399</v>
      </c>
      <c r="Q1475" t="s">
        <v>341</v>
      </c>
      <c r="R1475" t="s">
        <v>222</v>
      </c>
    </row>
    <row r="1476" spans="1:18" x14ac:dyDescent="0.15">
      <c r="A1476" t="s">
        <v>308</v>
      </c>
      <c r="B1476" t="s">
        <v>349</v>
      </c>
      <c r="D1476">
        <v>50</v>
      </c>
      <c r="E1476" t="s">
        <v>74</v>
      </c>
      <c r="G1476">
        <v>108.6</v>
      </c>
      <c r="H1476">
        <v>108.5</v>
      </c>
      <c r="I1476" t="s">
        <v>91</v>
      </c>
      <c r="K1476">
        <f t="shared" si="46"/>
        <v>108.5</v>
      </c>
      <c r="L1476">
        <f t="shared" si="47"/>
        <v>108.6</v>
      </c>
      <c r="M1476" t="s">
        <v>322</v>
      </c>
      <c r="N1476" t="s">
        <v>332</v>
      </c>
      <c r="O1476" s="7">
        <v>44399</v>
      </c>
      <c r="Q1476" t="s">
        <v>341</v>
      </c>
      <c r="R1476" t="s">
        <v>222</v>
      </c>
    </row>
    <row r="1477" spans="1:18" x14ac:dyDescent="0.15">
      <c r="A1477" t="s">
        <v>308</v>
      </c>
      <c r="B1477" t="s">
        <v>349</v>
      </c>
      <c r="D1477">
        <v>50</v>
      </c>
      <c r="E1477" t="s">
        <v>74</v>
      </c>
      <c r="G1477">
        <v>108.6</v>
      </c>
      <c r="H1477">
        <v>108.5</v>
      </c>
      <c r="I1477" t="s">
        <v>91</v>
      </c>
      <c r="K1477">
        <f t="shared" si="46"/>
        <v>108.5</v>
      </c>
      <c r="L1477">
        <f t="shared" si="47"/>
        <v>108.6</v>
      </c>
      <c r="M1477" t="s">
        <v>322</v>
      </c>
      <c r="N1477" t="s">
        <v>332</v>
      </c>
      <c r="O1477" s="7">
        <v>44399</v>
      </c>
      <c r="Q1477" t="s">
        <v>341</v>
      </c>
      <c r="R1477" t="s">
        <v>222</v>
      </c>
    </row>
    <row r="1478" spans="1:18" x14ac:dyDescent="0.15">
      <c r="A1478" t="s">
        <v>308</v>
      </c>
      <c r="B1478" t="s">
        <v>349</v>
      </c>
      <c r="D1478">
        <v>73</v>
      </c>
      <c r="E1478" t="s">
        <v>74</v>
      </c>
      <c r="G1478">
        <v>81.67</v>
      </c>
      <c r="H1478">
        <v>81.55</v>
      </c>
      <c r="I1478" t="s">
        <v>92</v>
      </c>
      <c r="K1478">
        <f t="shared" si="46"/>
        <v>81.55</v>
      </c>
      <c r="L1478">
        <f t="shared" si="47"/>
        <v>81.67</v>
      </c>
      <c r="M1478" t="s">
        <v>313</v>
      </c>
      <c r="O1478" s="7">
        <v>44401</v>
      </c>
      <c r="Q1478" t="s">
        <v>226</v>
      </c>
      <c r="R1478" t="s">
        <v>222</v>
      </c>
    </row>
    <row r="1479" spans="1:18" x14ac:dyDescent="0.15">
      <c r="A1479" t="s">
        <v>308</v>
      </c>
      <c r="B1479" t="s">
        <v>349</v>
      </c>
      <c r="D1479">
        <v>73</v>
      </c>
      <c r="E1479" t="s">
        <v>74</v>
      </c>
      <c r="G1479">
        <v>81.040000000000006</v>
      </c>
      <c r="H1479">
        <v>80.94</v>
      </c>
      <c r="I1479" t="s">
        <v>92</v>
      </c>
      <c r="K1479">
        <f t="shared" si="46"/>
        <v>80.94</v>
      </c>
      <c r="L1479">
        <f t="shared" si="47"/>
        <v>81.040000000000006</v>
      </c>
      <c r="M1479" t="s">
        <v>313</v>
      </c>
      <c r="O1479" s="7">
        <v>44401</v>
      </c>
      <c r="Q1479" t="s">
        <v>226</v>
      </c>
      <c r="R1479" t="s">
        <v>222</v>
      </c>
    </row>
    <row r="1480" spans="1:18" x14ac:dyDescent="0.15">
      <c r="A1480" t="s">
        <v>308</v>
      </c>
      <c r="B1480" t="s">
        <v>349</v>
      </c>
      <c r="D1480">
        <v>73</v>
      </c>
      <c r="E1480" t="s">
        <v>74</v>
      </c>
      <c r="G1480">
        <v>80.825000000000003</v>
      </c>
      <c r="H1480">
        <v>80.775000000000006</v>
      </c>
      <c r="I1480" t="s">
        <v>91</v>
      </c>
      <c r="K1480">
        <f t="shared" si="46"/>
        <v>80.775000000000006</v>
      </c>
      <c r="L1480">
        <f t="shared" si="47"/>
        <v>80.825000000000003</v>
      </c>
      <c r="M1480" t="s">
        <v>313</v>
      </c>
      <c r="O1480" s="7">
        <v>44401</v>
      </c>
      <c r="Q1480" t="s">
        <v>226</v>
      </c>
      <c r="R1480" t="s">
        <v>222</v>
      </c>
    </row>
    <row r="1481" spans="1:18" x14ac:dyDescent="0.15">
      <c r="A1481" t="s">
        <v>308</v>
      </c>
      <c r="B1481" t="s">
        <v>349</v>
      </c>
      <c r="D1481">
        <v>73</v>
      </c>
      <c r="E1481" t="s">
        <v>74</v>
      </c>
      <c r="G1481">
        <v>80.674999999999997</v>
      </c>
      <c r="H1481">
        <v>80.400000000000006</v>
      </c>
      <c r="I1481" t="s">
        <v>91</v>
      </c>
      <c r="K1481">
        <f t="shared" si="46"/>
        <v>80.400000000000006</v>
      </c>
      <c r="L1481">
        <f t="shared" si="47"/>
        <v>80.674999999999997</v>
      </c>
      <c r="M1481" t="s">
        <v>310</v>
      </c>
      <c r="N1481" t="s">
        <v>159</v>
      </c>
      <c r="O1481" s="7">
        <v>44401</v>
      </c>
      <c r="Q1481" t="s">
        <v>335</v>
      </c>
      <c r="R1481" t="s">
        <v>222</v>
      </c>
    </row>
    <row r="1482" spans="1:18" x14ac:dyDescent="0.15">
      <c r="A1482" t="s">
        <v>308</v>
      </c>
      <c r="B1482" t="s">
        <v>349</v>
      </c>
      <c r="D1482">
        <v>73</v>
      </c>
      <c r="E1482" t="s">
        <v>74</v>
      </c>
      <c r="G1482">
        <v>79.075000000000003</v>
      </c>
      <c r="H1482">
        <v>79.034999999999997</v>
      </c>
      <c r="I1482" t="s">
        <v>93</v>
      </c>
      <c r="K1482">
        <f t="shared" si="46"/>
        <v>79.034999999999997</v>
      </c>
      <c r="L1482">
        <f t="shared" si="47"/>
        <v>79.075000000000003</v>
      </c>
      <c r="M1482" t="s">
        <v>310</v>
      </c>
      <c r="N1482" t="s">
        <v>159</v>
      </c>
      <c r="O1482" s="7">
        <v>44401</v>
      </c>
      <c r="Q1482" t="s">
        <v>335</v>
      </c>
      <c r="R1482" t="s">
        <v>222</v>
      </c>
    </row>
    <row r="1483" spans="1:18" x14ac:dyDescent="0.15">
      <c r="A1483" t="s">
        <v>308</v>
      </c>
      <c r="B1483" t="s">
        <v>349</v>
      </c>
      <c r="D1483">
        <v>73</v>
      </c>
      <c r="E1483" t="s">
        <v>74</v>
      </c>
      <c r="G1483">
        <v>79.075000000000003</v>
      </c>
      <c r="H1483">
        <v>79.034999999999997</v>
      </c>
      <c r="I1483" t="s">
        <v>90</v>
      </c>
      <c r="K1483">
        <f t="shared" si="46"/>
        <v>79.034999999999997</v>
      </c>
      <c r="L1483">
        <f t="shared" si="47"/>
        <v>79.075000000000003</v>
      </c>
      <c r="M1483" t="s">
        <v>310</v>
      </c>
      <c r="N1483" t="s">
        <v>159</v>
      </c>
      <c r="O1483" s="7">
        <v>44401</v>
      </c>
      <c r="Q1483" t="s">
        <v>335</v>
      </c>
      <c r="R1483" t="s">
        <v>222</v>
      </c>
    </row>
    <row r="1484" spans="1:18" x14ac:dyDescent="0.15">
      <c r="A1484" t="s">
        <v>308</v>
      </c>
      <c r="B1484" t="s">
        <v>349</v>
      </c>
      <c r="D1484">
        <v>73</v>
      </c>
      <c r="E1484" t="s">
        <v>74</v>
      </c>
      <c r="G1484">
        <v>78.5</v>
      </c>
      <c r="H1484">
        <v>78.393000000000001</v>
      </c>
      <c r="I1484" t="s">
        <v>92</v>
      </c>
      <c r="K1484">
        <f t="shared" si="46"/>
        <v>78.393000000000001</v>
      </c>
      <c r="L1484">
        <f t="shared" si="47"/>
        <v>78.5</v>
      </c>
      <c r="M1484" t="s">
        <v>313</v>
      </c>
      <c r="O1484" s="7">
        <v>44401</v>
      </c>
      <c r="Q1484" t="s">
        <v>226</v>
      </c>
      <c r="R1484" t="s">
        <v>222</v>
      </c>
    </row>
    <row r="1485" spans="1:18" x14ac:dyDescent="0.15">
      <c r="A1485" t="s">
        <v>308</v>
      </c>
      <c r="B1485" t="s">
        <v>349</v>
      </c>
      <c r="D1485">
        <v>73</v>
      </c>
      <c r="E1485" t="s">
        <v>74</v>
      </c>
      <c r="G1485">
        <v>78.150999999999996</v>
      </c>
      <c r="H1485">
        <v>78.13</v>
      </c>
      <c r="I1485" t="s">
        <v>92</v>
      </c>
      <c r="K1485">
        <f t="shared" si="46"/>
        <v>78.13</v>
      </c>
      <c r="L1485">
        <f t="shared" si="47"/>
        <v>78.150999999999996</v>
      </c>
      <c r="M1485" t="s">
        <v>313</v>
      </c>
      <c r="O1485" s="7">
        <v>44401</v>
      </c>
      <c r="Q1485" t="s">
        <v>226</v>
      </c>
      <c r="R1485" t="s">
        <v>222</v>
      </c>
    </row>
    <row r="1486" spans="1:18" x14ac:dyDescent="0.15">
      <c r="A1486" t="s">
        <v>308</v>
      </c>
      <c r="B1486" t="s">
        <v>349</v>
      </c>
      <c r="D1486">
        <v>73</v>
      </c>
      <c r="E1486" t="s">
        <v>74</v>
      </c>
      <c r="G1486">
        <v>78.049000000000007</v>
      </c>
      <c r="H1486">
        <v>78.024000000000001</v>
      </c>
      <c r="I1486" t="s">
        <v>92</v>
      </c>
      <c r="K1486">
        <f t="shared" si="46"/>
        <v>78.024000000000001</v>
      </c>
      <c r="L1486">
        <f t="shared" si="47"/>
        <v>78.049000000000007</v>
      </c>
      <c r="M1486" t="s">
        <v>313</v>
      </c>
      <c r="O1486" s="7">
        <v>44401</v>
      </c>
      <c r="Q1486" t="s">
        <v>226</v>
      </c>
      <c r="R1486" t="s">
        <v>222</v>
      </c>
    </row>
    <row r="1487" spans="1:18" x14ac:dyDescent="0.15">
      <c r="A1487" t="s">
        <v>308</v>
      </c>
      <c r="B1487" t="s">
        <v>349</v>
      </c>
      <c r="D1487">
        <v>73</v>
      </c>
      <c r="E1487" t="s">
        <v>74</v>
      </c>
      <c r="G1487">
        <v>77.2</v>
      </c>
      <c r="H1487">
        <v>76.599999999999994</v>
      </c>
      <c r="I1487" t="s">
        <v>92</v>
      </c>
      <c r="K1487">
        <f t="shared" si="46"/>
        <v>76.599999999999994</v>
      </c>
      <c r="L1487">
        <f t="shared" si="47"/>
        <v>77.2</v>
      </c>
      <c r="M1487" t="s">
        <v>313</v>
      </c>
      <c r="O1487" s="7">
        <v>44401</v>
      </c>
      <c r="Q1487" t="s">
        <v>226</v>
      </c>
      <c r="R1487" t="s">
        <v>222</v>
      </c>
    </row>
    <row r="1488" spans="1:18" x14ac:dyDescent="0.15">
      <c r="A1488" t="s">
        <v>308</v>
      </c>
      <c r="B1488" t="s">
        <v>349</v>
      </c>
      <c r="D1488">
        <v>73</v>
      </c>
      <c r="E1488" t="s">
        <v>74</v>
      </c>
      <c r="G1488">
        <v>76.488</v>
      </c>
      <c r="H1488">
        <v>76.406999999999996</v>
      </c>
      <c r="I1488" t="s">
        <v>92</v>
      </c>
      <c r="K1488">
        <f t="shared" si="46"/>
        <v>76.406999999999996</v>
      </c>
      <c r="L1488">
        <f t="shared" si="47"/>
        <v>76.488</v>
      </c>
      <c r="M1488" t="s">
        <v>313</v>
      </c>
      <c r="O1488" s="7">
        <v>44401</v>
      </c>
      <c r="Q1488" t="s">
        <v>226</v>
      </c>
      <c r="R1488" t="s">
        <v>222</v>
      </c>
    </row>
    <row r="1489" spans="1:18" x14ac:dyDescent="0.15">
      <c r="A1489" t="s">
        <v>308</v>
      </c>
      <c r="B1489" t="s">
        <v>349</v>
      </c>
      <c r="D1489">
        <v>73</v>
      </c>
      <c r="E1489" t="s">
        <v>74</v>
      </c>
      <c r="G1489">
        <v>76.275999999999996</v>
      </c>
      <c r="H1489">
        <v>76.236000000000004</v>
      </c>
      <c r="I1489" t="s">
        <v>92</v>
      </c>
      <c r="K1489">
        <f t="shared" si="46"/>
        <v>76.236000000000004</v>
      </c>
      <c r="L1489">
        <f t="shared" si="47"/>
        <v>76.275999999999996</v>
      </c>
      <c r="M1489" t="s">
        <v>313</v>
      </c>
      <c r="O1489" s="7">
        <v>44401</v>
      </c>
      <c r="Q1489" t="s">
        <v>226</v>
      </c>
      <c r="R1489" t="s">
        <v>222</v>
      </c>
    </row>
    <row r="1490" spans="1:18" x14ac:dyDescent="0.15">
      <c r="A1490" t="s">
        <v>308</v>
      </c>
      <c r="B1490" t="s">
        <v>349</v>
      </c>
      <c r="D1490">
        <v>73</v>
      </c>
      <c r="E1490" t="s">
        <v>74</v>
      </c>
      <c r="G1490">
        <v>76.222999999999999</v>
      </c>
      <c r="H1490">
        <v>75.900000000000006</v>
      </c>
      <c r="I1490" t="s">
        <v>92</v>
      </c>
      <c r="K1490">
        <f t="shared" si="46"/>
        <v>75.900000000000006</v>
      </c>
      <c r="L1490">
        <f t="shared" si="47"/>
        <v>76.222999999999999</v>
      </c>
      <c r="M1490" t="s">
        <v>313</v>
      </c>
      <c r="O1490" s="7">
        <v>44401</v>
      </c>
      <c r="Q1490" t="s">
        <v>226</v>
      </c>
      <c r="R1490" t="s">
        <v>222</v>
      </c>
    </row>
    <row r="1491" spans="1:18" x14ac:dyDescent="0.15">
      <c r="A1491" t="s">
        <v>308</v>
      </c>
      <c r="B1491" t="s">
        <v>349</v>
      </c>
      <c r="D1491">
        <v>73</v>
      </c>
      <c r="E1491" t="s">
        <v>74</v>
      </c>
      <c r="G1491">
        <v>75.75</v>
      </c>
      <c r="H1491">
        <v>75.7</v>
      </c>
      <c r="J1491" t="s">
        <v>23</v>
      </c>
      <c r="K1491">
        <f t="shared" si="46"/>
        <v>75.7</v>
      </c>
      <c r="L1491">
        <f t="shared" si="47"/>
        <v>75.75</v>
      </c>
      <c r="M1491" t="s">
        <v>313</v>
      </c>
      <c r="O1491" s="7">
        <v>44401</v>
      </c>
      <c r="Q1491" t="s">
        <v>226</v>
      </c>
      <c r="R1491" t="s">
        <v>222</v>
      </c>
    </row>
    <row r="1492" spans="1:18" x14ac:dyDescent="0.15">
      <c r="A1492" t="s">
        <v>308</v>
      </c>
      <c r="B1492" t="s">
        <v>349</v>
      </c>
      <c r="D1492">
        <v>73</v>
      </c>
      <c r="E1492" t="s">
        <v>74</v>
      </c>
      <c r="G1492">
        <v>75.495000000000005</v>
      </c>
      <c r="H1492">
        <v>75.47</v>
      </c>
      <c r="I1492" t="s">
        <v>92</v>
      </c>
      <c r="K1492">
        <f t="shared" si="46"/>
        <v>75.47</v>
      </c>
      <c r="L1492">
        <f t="shared" si="47"/>
        <v>75.495000000000005</v>
      </c>
      <c r="M1492" t="s">
        <v>313</v>
      </c>
      <c r="O1492" s="7">
        <v>44401</v>
      </c>
      <c r="Q1492" t="s">
        <v>226</v>
      </c>
      <c r="R1492" t="s">
        <v>222</v>
      </c>
    </row>
    <row r="1493" spans="1:18" x14ac:dyDescent="0.15">
      <c r="A1493" t="s">
        <v>308</v>
      </c>
      <c r="B1493" t="s">
        <v>349</v>
      </c>
      <c r="D1493">
        <v>73</v>
      </c>
      <c r="E1493" t="s">
        <v>74</v>
      </c>
      <c r="G1493">
        <v>75.320999999999998</v>
      </c>
      <c r="H1493">
        <v>75.234999999999999</v>
      </c>
      <c r="I1493" t="s">
        <v>92</v>
      </c>
      <c r="K1493">
        <f t="shared" si="46"/>
        <v>75.234999999999999</v>
      </c>
      <c r="L1493">
        <f t="shared" si="47"/>
        <v>75.320999999999998</v>
      </c>
      <c r="M1493" t="s">
        <v>313</v>
      </c>
      <c r="O1493" s="7">
        <v>44401</v>
      </c>
      <c r="Q1493" t="s">
        <v>226</v>
      </c>
      <c r="R1493" t="s">
        <v>222</v>
      </c>
    </row>
    <row r="1494" spans="1:18" x14ac:dyDescent="0.15">
      <c r="A1494" t="s">
        <v>308</v>
      </c>
      <c r="B1494" t="s">
        <v>349</v>
      </c>
      <c r="D1494">
        <v>73</v>
      </c>
      <c r="E1494" t="s">
        <v>74</v>
      </c>
      <c r="G1494">
        <v>75.120999999999995</v>
      </c>
      <c r="H1494">
        <v>75.097999999999999</v>
      </c>
      <c r="I1494" t="s">
        <v>92</v>
      </c>
      <c r="K1494">
        <f t="shared" si="46"/>
        <v>75.097999999999999</v>
      </c>
      <c r="L1494">
        <f t="shared" si="47"/>
        <v>75.120999999999995</v>
      </c>
      <c r="M1494" t="s">
        <v>313</v>
      </c>
      <c r="O1494" s="7">
        <v>44401</v>
      </c>
      <c r="Q1494" t="s">
        <v>226</v>
      </c>
      <c r="R1494" t="s">
        <v>222</v>
      </c>
    </row>
    <row r="1495" spans="1:18" x14ac:dyDescent="0.15">
      <c r="A1495" t="s">
        <v>308</v>
      </c>
      <c r="B1495" t="s">
        <v>349</v>
      </c>
      <c r="D1495">
        <v>73</v>
      </c>
      <c r="E1495" t="s">
        <v>74</v>
      </c>
      <c r="G1495">
        <v>74.957999999999998</v>
      </c>
      <c r="H1495">
        <v>74.77</v>
      </c>
      <c r="I1495" t="s">
        <v>92</v>
      </c>
      <c r="K1495">
        <f t="shared" si="46"/>
        <v>74.77</v>
      </c>
      <c r="L1495">
        <f t="shared" si="47"/>
        <v>74.957999999999998</v>
      </c>
      <c r="M1495" t="s">
        <v>313</v>
      </c>
      <c r="O1495" s="7">
        <v>44401</v>
      </c>
      <c r="Q1495" t="s">
        <v>226</v>
      </c>
      <c r="R1495" t="s">
        <v>222</v>
      </c>
    </row>
    <row r="1496" spans="1:18" x14ac:dyDescent="0.15">
      <c r="A1496" t="s">
        <v>308</v>
      </c>
      <c r="B1496" t="s">
        <v>349</v>
      </c>
      <c r="D1496">
        <v>73</v>
      </c>
      <c r="E1496" t="s">
        <v>74</v>
      </c>
      <c r="G1496">
        <v>74.602999999999994</v>
      </c>
      <c r="H1496">
        <v>74.495000000000005</v>
      </c>
      <c r="I1496" t="s">
        <v>92</v>
      </c>
      <c r="K1496">
        <f t="shared" si="46"/>
        <v>74.495000000000005</v>
      </c>
      <c r="L1496">
        <f t="shared" si="47"/>
        <v>74.602999999999994</v>
      </c>
      <c r="M1496" t="s">
        <v>313</v>
      </c>
      <c r="O1496" s="7">
        <v>44401</v>
      </c>
      <c r="Q1496" t="s">
        <v>226</v>
      </c>
      <c r="R1496" t="s">
        <v>222</v>
      </c>
    </row>
    <row r="1497" spans="1:18" x14ac:dyDescent="0.15">
      <c r="A1497" t="s">
        <v>308</v>
      </c>
      <c r="B1497" t="s">
        <v>349</v>
      </c>
      <c r="D1497">
        <v>73</v>
      </c>
      <c r="E1497" t="s">
        <v>74</v>
      </c>
      <c r="G1497">
        <v>74.400000000000006</v>
      </c>
      <c r="H1497">
        <v>74.3</v>
      </c>
      <c r="I1497" t="s">
        <v>92</v>
      </c>
      <c r="K1497">
        <f t="shared" si="46"/>
        <v>74.3</v>
      </c>
      <c r="L1497">
        <f t="shared" si="47"/>
        <v>74.400000000000006</v>
      </c>
      <c r="M1497" t="s">
        <v>313</v>
      </c>
      <c r="O1497" s="7">
        <v>44401</v>
      </c>
      <c r="Q1497" t="s">
        <v>226</v>
      </c>
      <c r="R1497" t="s">
        <v>222</v>
      </c>
    </row>
    <row r="1498" spans="1:18" x14ac:dyDescent="0.15">
      <c r="A1498" t="s">
        <v>308</v>
      </c>
      <c r="B1498" t="s">
        <v>349</v>
      </c>
      <c r="D1498">
        <v>73</v>
      </c>
      <c r="E1498" t="s">
        <v>74</v>
      </c>
      <c r="G1498">
        <v>74.3</v>
      </c>
      <c r="H1498">
        <v>74.2</v>
      </c>
      <c r="I1498" t="s">
        <v>92</v>
      </c>
      <c r="K1498">
        <f t="shared" si="46"/>
        <v>74.2</v>
      </c>
      <c r="L1498">
        <f t="shared" si="47"/>
        <v>74.3</v>
      </c>
      <c r="M1498" t="s">
        <v>313</v>
      </c>
      <c r="O1498" s="7">
        <v>44401</v>
      </c>
      <c r="Q1498" t="s">
        <v>226</v>
      </c>
      <c r="R1498" t="s">
        <v>222</v>
      </c>
    </row>
    <row r="1499" spans="1:18" x14ac:dyDescent="0.15">
      <c r="A1499" t="s">
        <v>308</v>
      </c>
      <c r="B1499" t="s">
        <v>349</v>
      </c>
      <c r="D1499">
        <v>73</v>
      </c>
      <c r="E1499" t="s">
        <v>74</v>
      </c>
      <c r="G1499">
        <v>74.2</v>
      </c>
      <c r="H1499">
        <v>74.099999999999994</v>
      </c>
      <c r="I1499" t="s">
        <v>92</v>
      </c>
      <c r="K1499">
        <f t="shared" si="46"/>
        <v>74.099999999999994</v>
      </c>
      <c r="L1499">
        <f t="shared" si="47"/>
        <v>74.2</v>
      </c>
      <c r="M1499" t="s">
        <v>313</v>
      </c>
      <c r="O1499" s="7">
        <v>44401</v>
      </c>
      <c r="Q1499" t="s">
        <v>226</v>
      </c>
      <c r="R1499" t="s">
        <v>222</v>
      </c>
    </row>
    <row r="1500" spans="1:18" x14ac:dyDescent="0.15">
      <c r="A1500" t="s">
        <v>308</v>
      </c>
      <c r="B1500" t="s">
        <v>349</v>
      </c>
      <c r="D1500">
        <v>73</v>
      </c>
      <c r="E1500" t="s">
        <v>74</v>
      </c>
      <c r="G1500">
        <v>73.412000000000006</v>
      </c>
      <c r="H1500">
        <v>73.391999999999996</v>
      </c>
      <c r="I1500" t="s">
        <v>92</v>
      </c>
      <c r="K1500">
        <f t="shared" si="46"/>
        <v>73.391999999999996</v>
      </c>
      <c r="L1500">
        <f t="shared" si="47"/>
        <v>73.412000000000006</v>
      </c>
      <c r="M1500" t="s">
        <v>313</v>
      </c>
      <c r="O1500" s="7">
        <v>44401</v>
      </c>
      <c r="Q1500" t="s">
        <v>226</v>
      </c>
      <c r="R1500" t="s">
        <v>222</v>
      </c>
    </row>
    <row r="1501" spans="1:18" x14ac:dyDescent="0.15">
      <c r="A1501" t="s">
        <v>308</v>
      </c>
      <c r="B1501" t="s">
        <v>349</v>
      </c>
      <c r="D1501">
        <v>73</v>
      </c>
      <c r="E1501" t="s">
        <v>74</v>
      </c>
      <c r="G1501">
        <v>73.299000000000007</v>
      </c>
      <c r="H1501">
        <v>73.27</v>
      </c>
      <c r="I1501" t="s">
        <v>92</v>
      </c>
      <c r="K1501">
        <f t="shared" si="46"/>
        <v>73.27</v>
      </c>
      <c r="L1501">
        <f t="shared" si="47"/>
        <v>73.299000000000007</v>
      </c>
      <c r="M1501" t="s">
        <v>313</v>
      </c>
      <c r="O1501" s="7">
        <v>44401</v>
      </c>
      <c r="Q1501" t="s">
        <v>226</v>
      </c>
      <c r="R1501" t="s">
        <v>222</v>
      </c>
    </row>
    <row r="1502" spans="1:18" x14ac:dyDescent="0.15">
      <c r="A1502" t="s">
        <v>308</v>
      </c>
      <c r="B1502" t="s">
        <v>349</v>
      </c>
      <c r="D1502">
        <v>73</v>
      </c>
      <c r="E1502" t="s">
        <v>74</v>
      </c>
      <c r="G1502">
        <v>73.152000000000001</v>
      </c>
      <c r="H1502">
        <v>73</v>
      </c>
      <c r="I1502" t="s">
        <v>92</v>
      </c>
      <c r="K1502">
        <f t="shared" si="46"/>
        <v>73</v>
      </c>
      <c r="L1502">
        <f t="shared" si="47"/>
        <v>73.152000000000001</v>
      </c>
      <c r="M1502" t="s">
        <v>313</v>
      </c>
      <c r="O1502" s="7">
        <v>44401</v>
      </c>
      <c r="Q1502" t="s">
        <v>226</v>
      </c>
      <c r="R1502" t="s">
        <v>222</v>
      </c>
    </row>
    <row r="1503" spans="1:18" x14ac:dyDescent="0.15">
      <c r="A1503" t="s">
        <v>308</v>
      </c>
      <c r="B1503" t="s">
        <v>349</v>
      </c>
      <c r="D1503">
        <v>73</v>
      </c>
      <c r="E1503" t="s">
        <v>74</v>
      </c>
      <c r="G1503">
        <v>72.897999999999996</v>
      </c>
      <c r="H1503">
        <v>72.099999999999994</v>
      </c>
      <c r="I1503" t="s">
        <v>92</v>
      </c>
      <c r="K1503">
        <f t="shared" si="46"/>
        <v>72.099999999999994</v>
      </c>
      <c r="L1503">
        <f t="shared" si="47"/>
        <v>72.897999999999996</v>
      </c>
      <c r="M1503" t="s">
        <v>313</v>
      </c>
      <c r="O1503" s="7">
        <v>44401</v>
      </c>
      <c r="Q1503" t="s">
        <v>226</v>
      </c>
      <c r="R1503" t="s">
        <v>222</v>
      </c>
    </row>
    <row r="1504" spans="1:18" x14ac:dyDescent="0.15">
      <c r="A1504" t="s">
        <v>308</v>
      </c>
      <c r="B1504" t="s">
        <v>349</v>
      </c>
      <c r="D1504">
        <v>73</v>
      </c>
      <c r="E1504" t="s">
        <v>74</v>
      </c>
      <c r="G1504">
        <v>71.905000000000001</v>
      </c>
      <c r="H1504">
        <v>71.548000000000002</v>
      </c>
      <c r="I1504" t="s">
        <v>92</v>
      </c>
      <c r="K1504">
        <f t="shared" si="46"/>
        <v>71.548000000000002</v>
      </c>
      <c r="L1504">
        <f t="shared" si="47"/>
        <v>71.905000000000001</v>
      </c>
      <c r="M1504" t="s">
        <v>313</v>
      </c>
      <c r="O1504" s="7">
        <v>44401</v>
      </c>
      <c r="Q1504" t="s">
        <v>226</v>
      </c>
      <c r="R1504" t="s">
        <v>222</v>
      </c>
    </row>
    <row r="1505" spans="1:18" x14ac:dyDescent="0.15">
      <c r="A1505" t="s">
        <v>308</v>
      </c>
      <c r="B1505" t="s">
        <v>349</v>
      </c>
      <c r="D1505">
        <v>73</v>
      </c>
      <c r="E1505" t="s">
        <v>74</v>
      </c>
      <c r="G1505">
        <v>71.457999999999998</v>
      </c>
      <c r="H1505">
        <v>71.400000000000006</v>
      </c>
      <c r="I1505" t="s">
        <v>91</v>
      </c>
      <c r="K1505">
        <f t="shared" si="46"/>
        <v>71.400000000000006</v>
      </c>
      <c r="L1505">
        <f t="shared" si="47"/>
        <v>71.457999999999998</v>
      </c>
      <c r="M1505" t="s">
        <v>313</v>
      </c>
      <c r="O1505" s="7">
        <v>44401</v>
      </c>
      <c r="Q1505" t="s">
        <v>226</v>
      </c>
      <c r="R1505" t="s">
        <v>222</v>
      </c>
    </row>
    <row r="1506" spans="1:18" x14ac:dyDescent="0.15">
      <c r="A1506" t="s">
        <v>308</v>
      </c>
      <c r="B1506" t="s">
        <v>349</v>
      </c>
      <c r="D1506">
        <v>73</v>
      </c>
      <c r="E1506" t="s">
        <v>74</v>
      </c>
      <c r="G1506">
        <v>71.457999999999998</v>
      </c>
      <c r="H1506">
        <v>71.400000000000006</v>
      </c>
      <c r="I1506" t="s">
        <v>92</v>
      </c>
      <c r="K1506">
        <f t="shared" si="46"/>
        <v>71.400000000000006</v>
      </c>
      <c r="L1506">
        <f t="shared" si="47"/>
        <v>71.457999999999998</v>
      </c>
      <c r="M1506" t="s">
        <v>313</v>
      </c>
      <c r="O1506" s="7">
        <v>44401</v>
      </c>
      <c r="Q1506" t="s">
        <v>226</v>
      </c>
      <c r="R1506" t="s">
        <v>222</v>
      </c>
    </row>
    <row r="1507" spans="1:18" x14ac:dyDescent="0.15">
      <c r="A1507" t="s">
        <v>308</v>
      </c>
      <c r="B1507" t="s">
        <v>349</v>
      </c>
      <c r="D1507">
        <v>73</v>
      </c>
      <c r="E1507" t="s">
        <v>74</v>
      </c>
      <c r="G1507">
        <v>71.344999999999999</v>
      </c>
      <c r="H1507">
        <v>71.323999999999998</v>
      </c>
      <c r="I1507" t="s">
        <v>92</v>
      </c>
      <c r="K1507">
        <f t="shared" si="46"/>
        <v>71.323999999999998</v>
      </c>
      <c r="L1507">
        <f t="shared" si="47"/>
        <v>71.344999999999999</v>
      </c>
      <c r="M1507" t="s">
        <v>313</v>
      </c>
      <c r="O1507" s="7">
        <v>44401</v>
      </c>
      <c r="Q1507" t="s">
        <v>226</v>
      </c>
      <c r="R1507" t="s">
        <v>222</v>
      </c>
    </row>
    <row r="1508" spans="1:18" x14ac:dyDescent="0.15">
      <c r="A1508" t="s">
        <v>308</v>
      </c>
      <c r="B1508" t="s">
        <v>349</v>
      </c>
      <c r="D1508">
        <v>73</v>
      </c>
      <c r="E1508" t="s">
        <v>74</v>
      </c>
      <c r="G1508">
        <v>71.239999999999995</v>
      </c>
      <c r="H1508">
        <v>71</v>
      </c>
      <c r="I1508" t="s">
        <v>92</v>
      </c>
      <c r="K1508">
        <f t="shared" si="46"/>
        <v>71</v>
      </c>
      <c r="L1508">
        <f t="shared" si="47"/>
        <v>71.239999999999995</v>
      </c>
      <c r="M1508" t="s">
        <v>313</v>
      </c>
      <c r="O1508" s="7">
        <v>44401</v>
      </c>
      <c r="Q1508" t="s">
        <v>226</v>
      </c>
      <c r="R1508" t="s">
        <v>222</v>
      </c>
    </row>
    <row r="1509" spans="1:18" x14ac:dyDescent="0.15">
      <c r="A1509" t="s">
        <v>308</v>
      </c>
      <c r="B1509" t="s">
        <v>349</v>
      </c>
      <c r="D1509">
        <v>73</v>
      </c>
      <c r="E1509" t="s">
        <v>74</v>
      </c>
      <c r="G1509">
        <v>69.984999999999999</v>
      </c>
      <c r="H1509">
        <v>69.933000000000007</v>
      </c>
      <c r="I1509" t="s">
        <v>92</v>
      </c>
      <c r="K1509">
        <f t="shared" si="46"/>
        <v>69.933000000000007</v>
      </c>
      <c r="L1509">
        <f t="shared" si="47"/>
        <v>69.984999999999999</v>
      </c>
      <c r="M1509" t="s">
        <v>313</v>
      </c>
      <c r="O1509" s="7">
        <v>44401</v>
      </c>
      <c r="Q1509" t="s">
        <v>226</v>
      </c>
      <c r="R1509" t="s">
        <v>222</v>
      </c>
    </row>
    <row r="1510" spans="1:18" x14ac:dyDescent="0.15">
      <c r="A1510" t="s">
        <v>308</v>
      </c>
      <c r="B1510" t="s">
        <v>349</v>
      </c>
      <c r="D1510">
        <v>73</v>
      </c>
      <c r="E1510" t="s">
        <v>74</v>
      </c>
      <c r="G1510">
        <v>68.933000000000007</v>
      </c>
      <c r="H1510">
        <v>68.91</v>
      </c>
      <c r="I1510" t="s">
        <v>92</v>
      </c>
      <c r="K1510">
        <f t="shared" si="46"/>
        <v>68.91</v>
      </c>
      <c r="L1510">
        <f t="shared" si="47"/>
        <v>68.933000000000007</v>
      </c>
      <c r="M1510" t="s">
        <v>313</v>
      </c>
      <c r="O1510" s="7">
        <v>44401</v>
      </c>
      <c r="Q1510" t="s">
        <v>226</v>
      </c>
      <c r="R1510" t="s">
        <v>222</v>
      </c>
    </row>
    <row r="1511" spans="1:18" x14ac:dyDescent="0.15">
      <c r="A1511" t="s">
        <v>308</v>
      </c>
      <c r="B1511" t="s">
        <v>349</v>
      </c>
      <c r="D1511">
        <v>59</v>
      </c>
      <c r="E1511" t="s">
        <v>74</v>
      </c>
      <c r="G1511">
        <v>149.30000000000001</v>
      </c>
      <c r="H1511">
        <v>149</v>
      </c>
      <c r="I1511" t="s">
        <v>92</v>
      </c>
      <c r="K1511">
        <f t="shared" si="46"/>
        <v>149</v>
      </c>
      <c r="L1511">
        <f t="shared" si="47"/>
        <v>149.30000000000001</v>
      </c>
      <c r="M1511" t="s">
        <v>313</v>
      </c>
      <c r="O1511" s="7">
        <v>44403</v>
      </c>
      <c r="Q1511" t="s">
        <v>226</v>
      </c>
      <c r="R1511" t="s">
        <v>222</v>
      </c>
    </row>
    <row r="1512" spans="1:18" x14ac:dyDescent="0.15">
      <c r="A1512" t="s">
        <v>308</v>
      </c>
      <c r="B1512" t="s">
        <v>349</v>
      </c>
      <c r="D1512">
        <v>59</v>
      </c>
      <c r="E1512" t="s">
        <v>74</v>
      </c>
      <c r="G1512">
        <v>123.8</v>
      </c>
      <c r="H1512">
        <v>124.2</v>
      </c>
      <c r="I1512" t="s">
        <v>91</v>
      </c>
      <c r="K1512">
        <f t="shared" si="46"/>
        <v>123.8</v>
      </c>
      <c r="L1512">
        <f t="shared" si="47"/>
        <v>124.2</v>
      </c>
      <c r="M1512" t="s">
        <v>313</v>
      </c>
      <c r="O1512" s="7">
        <v>44404</v>
      </c>
      <c r="Q1512" t="s">
        <v>226</v>
      </c>
      <c r="R1512" t="s">
        <v>222</v>
      </c>
    </row>
    <row r="1513" spans="1:18" x14ac:dyDescent="0.15">
      <c r="A1513" t="s">
        <v>308</v>
      </c>
      <c r="B1513" t="s">
        <v>349</v>
      </c>
      <c r="D1513">
        <v>59</v>
      </c>
      <c r="E1513" t="s">
        <v>74</v>
      </c>
      <c r="G1513">
        <v>131.47999999999999</v>
      </c>
      <c r="H1513">
        <v>131.80000000000001</v>
      </c>
      <c r="I1513" t="s">
        <v>92</v>
      </c>
      <c r="K1513">
        <f t="shared" si="46"/>
        <v>131.47999999999999</v>
      </c>
      <c r="L1513">
        <f t="shared" si="47"/>
        <v>131.80000000000001</v>
      </c>
      <c r="M1513" t="s">
        <v>313</v>
      </c>
      <c r="O1513" s="7">
        <v>44405</v>
      </c>
      <c r="Q1513" t="s">
        <v>226</v>
      </c>
      <c r="R1513" t="s">
        <v>222</v>
      </c>
    </row>
    <row r="1514" spans="1:18" x14ac:dyDescent="0.15">
      <c r="A1514" t="s">
        <v>308</v>
      </c>
      <c r="B1514" t="s">
        <v>349</v>
      </c>
      <c r="D1514">
        <v>2</v>
      </c>
      <c r="E1514" t="s">
        <v>74</v>
      </c>
      <c r="G1514">
        <v>126.375</v>
      </c>
      <c r="H1514">
        <v>126.25</v>
      </c>
      <c r="I1514" t="s">
        <v>182</v>
      </c>
      <c r="K1514">
        <f t="shared" si="46"/>
        <v>126.25</v>
      </c>
      <c r="L1514">
        <f t="shared" si="47"/>
        <v>126.375</v>
      </c>
      <c r="M1514" t="s">
        <v>286</v>
      </c>
      <c r="N1514" t="s">
        <v>159</v>
      </c>
      <c r="O1514" s="7">
        <v>44445</v>
      </c>
      <c r="Q1514" t="s">
        <v>335</v>
      </c>
      <c r="R1514" t="s">
        <v>222</v>
      </c>
    </row>
    <row r="1515" spans="1:18" x14ac:dyDescent="0.15">
      <c r="A1515" t="s">
        <v>308</v>
      </c>
      <c r="B1515" t="s">
        <v>349</v>
      </c>
      <c r="D1515">
        <v>2</v>
      </c>
      <c r="E1515" t="s">
        <v>74</v>
      </c>
      <c r="G1515">
        <v>138.29</v>
      </c>
      <c r="H1515">
        <v>138.24</v>
      </c>
      <c r="I1515" t="s">
        <v>182</v>
      </c>
      <c r="K1515">
        <f t="shared" si="46"/>
        <v>138.24</v>
      </c>
      <c r="L1515">
        <f t="shared" si="47"/>
        <v>138.29</v>
      </c>
      <c r="M1515" t="s">
        <v>286</v>
      </c>
      <c r="N1515" t="s">
        <v>159</v>
      </c>
      <c r="O1515" s="7">
        <v>44445</v>
      </c>
      <c r="Q1515" t="s">
        <v>335</v>
      </c>
      <c r="R1515" t="s">
        <v>222</v>
      </c>
    </row>
    <row r="1516" spans="1:18" x14ac:dyDescent="0.15">
      <c r="A1516" t="s">
        <v>308</v>
      </c>
      <c r="B1516" t="s">
        <v>349</v>
      </c>
      <c r="D1516">
        <v>2</v>
      </c>
      <c r="E1516" t="s">
        <v>75</v>
      </c>
      <c r="G1516">
        <v>119</v>
      </c>
      <c r="H1516">
        <v>119.05</v>
      </c>
      <c r="I1516" t="s">
        <v>22</v>
      </c>
      <c r="K1516">
        <f t="shared" si="46"/>
        <v>119</v>
      </c>
      <c r="L1516">
        <f t="shared" si="47"/>
        <v>119.05</v>
      </c>
      <c r="M1516" t="s">
        <v>286</v>
      </c>
      <c r="N1516" t="s">
        <v>159</v>
      </c>
      <c r="O1516" s="7">
        <v>44446</v>
      </c>
      <c r="Q1516" t="s">
        <v>335</v>
      </c>
      <c r="R1516" t="s">
        <v>222</v>
      </c>
    </row>
    <row r="1517" spans="1:18" x14ac:dyDescent="0.15">
      <c r="A1517" t="s">
        <v>308</v>
      </c>
      <c r="B1517" t="s">
        <v>349</v>
      </c>
      <c r="D1517">
        <v>2</v>
      </c>
      <c r="E1517" t="s">
        <v>75</v>
      </c>
      <c r="G1517">
        <v>119.4</v>
      </c>
      <c r="H1517">
        <v>119.45</v>
      </c>
      <c r="I1517" t="s">
        <v>94</v>
      </c>
      <c r="K1517">
        <f t="shared" si="46"/>
        <v>119.4</v>
      </c>
      <c r="L1517">
        <f t="shared" si="47"/>
        <v>119.45</v>
      </c>
      <c r="M1517" t="s">
        <v>286</v>
      </c>
      <c r="N1517" t="s">
        <v>159</v>
      </c>
      <c r="O1517" s="7">
        <v>44446</v>
      </c>
      <c r="Q1517" t="s">
        <v>335</v>
      </c>
      <c r="R1517" t="s">
        <v>222</v>
      </c>
    </row>
    <row r="1518" spans="1:18" x14ac:dyDescent="0.15">
      <c r="A1518" t="s">
        <v>308</v>
      </c>
      <c r="B1518" t="s">
        <v>349</v>
      </c>
      <c r="D1518">
        <v>2</v>
      </c>
      <c r="E1518" t="s">
        <v>75</v>
      </c>
      <c r="G1518">
        <v>155.37</v>
      </c>
      <c r="H1518">
        <v>155.44999999999999</v>
      </c>
      <c r="I1518" t="s">
        <v>94</v>
      </c>
      <c r="K1518">
        <f t="shared" si="46"/>
        <v>155.37</v>
      </c>
      <c r="L1518">
        <f t="shared" si="47"/>
        <v>155.44999999999999</v>
      </c>
      <c r="M1518" t="s">
        <v>286</v>
      </c>
      <c r="N1518" t="s">
        <v>159</v>
      </c>
      <c r="O1518" s="7">
        <v>44447</v>
      </c>
      <c r="Q1518" t="s">
        <v>335</v>
      </c>
      <c r="R1518" t="s">
        <v>222</v>
      </c>
    </row>
    <row r="1519" spans="1:18" x14ac:dyDescent="0.15">
      <c r="A1519" t="s">
        <v>308</v>
      </c>
      <c r="B1519" t="s">
        <v>349</v>
      </c>
      <c r="D1519">
        <v>59</v>
      </c>
      <c r="E1519" t="s">
        <v>74</v>
      </c>
      <c r="G1519">
        <v>132.30000000000001</v>
      </c>
      <c r="H1519">
        <v>132.1</v>
      </c>
      <c r="I1519" t="s">
        <v>92</v>
      </c>
      <c r="K1519">
        <f t="shared" si="46"/>
        <v>132.1</v>
      </c>
      <c r="L1519">
        <f t="shared" si="47"/>
        <v>132.30000000000001</v>
      </c>
      <c r="M1519" t="s">
        <v>313</v>
      </c>
      <c r="O1519" s="7">
        <v>44448</v>
      </c>
      <c r="Q1519" t="s">
        <v>226</v>
      </c>
      <c r="R1519" t="s">
        <v>222</v>
      </c>
    </row>
    <row r="1520" spans="1:18" x14ac:dyDescent="0.15">
      <c r="A1520" t="s">
        <v>308</v>
      </c>
      <c r="B1520" t="s">
        <v>349</v>
      </c>
      <c r="D1520">
        <v>59</v>
      </c>
      <c r="E1520" t="s">
        <v>74</v>
      </c>
      <c r="G1520">
        <v>127.425</v>
      </c>
      <c r="H1520">
        <v>127.375</v>
      </c>
      <c r="I1520" t="s">
        <v>92</v>
      </c>
      <c r="K1520">
        <f t="shared" si="46"/>
        <v>127.375</v>
      </c>
      <c r="L1520">
        <f t="shared" si="47"/>
        <v>127.425</v>
      </c>
      <c r="M1520" t="s">
        <v>313</v>
      </c>
      <c r="O1520" s="7">
        <v>44448</v>
      </c>
      <c r="Q1520" t="s">
        <v>226</v>
      </c>
      <c r="R1520" t="s">
        <v>222</v>
      </c>
    </row>
    <row r="1521" spans="1:18" x14ac:dyDescent="0.15">
      <c r="A1521" t="s">
        <v>308</v>
      </c>
      <c r="B1521" t="s">
        <v>349</v>
      </c>
      <c r="D1521">
        <v>50</v>
      </c>
      <c r="E1521" t="s">
        <v>74</v>
      </c>
      <c r="G1521">
        <v>101.3</v>
      </c>
      <c r="H1521">
        <v>104.3</v>
      </c>
      <c r="I1521" t="s">
        <v>91</v>
      </c>
      <c r="K1521">
        <f t="shared" si="46"/>
        <v>101.3</v>
      </c>
      <c r="L1521">
        <f t="shared" si="47"/>
        <v>104.3</v>
      </c>
      <c r="M1521" s="41" t="s">
        <v>323</v>
      </c>
      <c r="O1521" s="7">
        <v>44456</v>
      </c>
      <c r="Q1521" t="s">
        <v>341</v>
      </c>
      <c r="R1521" t="s">
        <v>222</v>
      </c>
    </row>
    <row r="1522" spans="1:18" x14ac:dyDescent="0.15">
      <c r="A1522" t="s">
        <v>308</v>
      </c>
      <c r="B1522" t="s">
        <v>349</v>
      </c>
      <c r="D1522">
        <v>50</v>
      </c>
      <c r="E1522" t="s">
        <v>74</v>
      </c>
      <c r="G1522">
        <v>101.3</v>
      </c>
      <c r="H1522">
        <v>104.3</v>
      </c>
      <c r="I1522" t="s">
        <v>92</v>
      </c>
      <c r="K1522">
        <f t="shared" si="46"/>
        <v>101.3</v>
      </c>
      <c r="L1522">
        <f t="shared" si="47"/>
        <v>104.3</v>
      </c>
      <c r="M1522" s="41" t="s">
        <v>323</v>
      </c>
      <c r="O1522" s="7">
        <v>44456</v>
      </c>
      <c r="Q1522" t="s">
        <v>341</v>
      </c>
      <c r="R1522" t="s">
        <v>222</v>
      </c>
    </row>
    <row r="1523" spans="1:18" x14ac:dyDescent="0.15">
      <c r="A1523" t="s">
        <v>308</v>
      </c>
      <c r="B1523" t="s">
        <v>349</v>
      </c>
      <c r="D1523">
        <v>50</v>
      </c>
      <c r="E1523" t="s">
        <v>74</v>
      </c>
      <c r="G1523">
        <v>101.3</v>
      </c>
      <c r="H1523">
        <v>101.63</v>
      </c>
      <c r="I1523" t="s">
        <v>95</v>
      </c>
      <c r="K1523">
        <f t="shared" si="46"/>
        <v>101.3</v>
      </c>
      <c r="L1523">
        <f t="shared" si="47"/>
        <v>101.63</v>
      </c>
      <c r="M1523" s="41" t="s">
        <v>323</v>
      </c>
      <c r="O1523" s="7">
        <v>44456</v>
      </c>
      <c r="Q1523" t="s">
        <v>341</v>
      </c>
      <c r="R1523" t="s">
        <v>222</v>
      </c>
    </row>
    <row r="1524" spans="1:18" x14ac:dyDescent="0.15">
      <c r="A1524" t="s">
        <v>308</v>
      </c>
      <c r="B1524" t="s">
        <v>349</v>
      </c>
      <c r="D1524">
        <v>50</v>
      </c>
      <c r="E1524" t="s">
        <v>74</v>
      </c>
      <c r="G1524">
        <v>102.52</v>
      </c>
      <c r="H1524">
        <v>102.2</v>
      </c>
      <c r="I1524" t="s">
        <v>93</v>
      </c>
      <c r="K1524">
        <f t="shared" si="46"/>
        <v>102.2</v>
      </c>
      <c r="L1524">
        <f t="shared" si="47"/>
        <v>102.52</v>
      </c>
      <c r="M1524" s="41" t="s">
        <v>323</v>
      </c>
      <c r="O1524" s="7">
        <v>44456</v>
      </c>
      <c r="Q1524" t="s">
        <v>341</v>
      </c>
      <c r="R1524" t="s">
        <v>222</v>
      </c>
    </row>
    <row r="1525" spans="1:18" x14ac:dyDescent="0.15">
      <c r="A1525" t="s">
        <v>308</v>
      </c>
      <c r="B1525" t="s">
        <v>349</v>
      </c>
      <c r="D1525">
        <v>50</v>
      </c>
      <c r="E1525" t="s">
        <v>74</v>
      </c>
      <c r="G1525">
        <v>104.3</v>
      </c>
      <c r="H1525">
        <v>107.3</v>
      </c>
      <c r="I1525" t="s">
        <v>91</v>
      </c>
      <c r="K1525">
        <f t="shared" si="46"/>
        <v>104.3</v>
      </c>
      <c r="L1525">
        <f t="shared" si="47"/>
        <v>107.3</v>
      </c>
      <c r="M1525" s="41" t="s">
        <v>323</v>
      </c>
      <c r="O1525" s="7">
        <v>44456</v>
      </c>
      <c r="Q1525" t="s">
        <v>341</v>
      </c>
      <c r="R1525" t="s">
        <v>222</v>
      </c>
    </row>
    <row r="1526" spans="1:18" x14ac:dyDescent="0.15">
      <c r="A1526" t="s">
        <v>308</v>
      </c>
      <c r="B1526" t="s">
        <v>349</v>
      </c>
      <c r="D1526">
        <v>50</v>
      </c>
      <c r="E1526" t="s">
        <v>74</v>
      </c>
      <c r="G1526">
        <v>104.3</v>
      </c>
      <c r="H1526">
        <v>107.3</v>
      </c>
      <c r="I1526" t="s">
        <v>92</v>
      </c>
      <c r="K1526">
        <f t="shared" si="46"/>
        <v>104.3</v>
      </c>
      <c r="L1526">
        <f t="shared" si="47"/>
        <v>107.3</v>
      </c>
      <c r="M1526" s="41" t="s">
        <v>323</v>
      </c>
      <c r="O1526" s="7">
        <v>44456</v>
      </c>
      <c r="Q1526" t="s">
        <v>341</v>
      </c>
      <c r="R1526" t="s">
        <v>222</v>
      </c>
    </row>
    <row r="1527" spans="1:18" x14ac:dyDescent="0.15">
      <c r="A1527" t="s">
        <v>308</v>
      </c>
      <c r="B1527" t="s">
        <v>349</v>
      </c>
      <c r="D1527">
        <v>50</v>
      </c>
      <c r="E1527" t="s">
        <v>74</v>
      </c>
      <c r="G1527">
        <v>106.27</v>
      </c>
      <c r="H1527">
        <v>105.81</v>
      </c>
      <c r="I1527" t="s">
        <v>95</v>
      </c>
      <c r="K1527">
        <f t="shared" si="46"/>
        <v>105.81</v>
      </c>
      <c r="L1527">
        <f t="shared" si="47"/>
        <v>106.27</v>
      </c>
      <c r="M1527" s="41" t="s">
        <v>323</v>
      </c>
      <c r="O1527" s="7">
        <v>44456</v>
      </c>
      <c r="Q1527" t="s">
        <v>341</v>
      </c>
      <c r="R1527" t="s">
        <v>222</v>
      </c>
    </row>
    <row r="1528" spans="1:18" x14ac:dyDescent="0.15">
      <c r="A1528" t="s">
        <v>308</v>
      </c>
      <c r="B1528" t="s">
        <v>349</v>
      </c>
      <c r="D1528">
        <v>50</v>
      </c>
      <c r="E1528" t="s">
        <v>74</v>
      </c>
      <c r="G1528">
        <v>106.91500000000001</v>
      </c>
      <c r="H1528">
        <v>106.6</v>
      </c>
      <c r="I1528" t="s">
        <v>93</v>
      </c>
      <c r="K1528">
        <f t="shared" si="46"/>
        <v>106.6</v>
      </c>
      <c r="L1528">
        <f t="shared" si="47"/>
        <v>106.91500000000001</v>
      </c>
      <c r="M1528" s="41" t="s">
        <v>323</v>
      </c>
      <c r="O1528" s="7">
        <v>44456</v>
      </c>
      <c r="Q1528" t="s">
        <v>341</v>
      </c>
      <c r="R1528" t="s">
        <v>222</v>
      </c>
    </row>
    <row r="1529" spans="1:18" x14ac:dyDescent="0.15">
      <c r="A1529" t="s">
        <v>308</v>
      </c>
      <c r="B1529" t="s">
        <v>349</v>
      </c>
      <c r="D1529">
        <v>50</v>
      </c>
      <c r="E1529" t="s">
        <v>74</v>
      </c>
      <c r="G1529">
        <v>107.3</v>
      </c>
      <c r="H1529">
        <v>107.6</v>
      </c>
      <c r="I1529" t="s">
        <v>91</v>
      </c>
      <c r="K1529">
        <f t="shared" si="46"/>
        <v>107.3</v>
      </c>
      <c r="L1529">
        <f t="shared" si="47"/>
        <v>107.6</v>
      </c>
      <c r="M1529" s="41" t="s">
        <v>323</v>
      </c>
      <c r="O1529" s="7">
        <v>44456</v>
      </c>
      <c r="Q1529" t="s">
        <v>342</v>
      </c>
      <c r="R1529" t="s">
        <v>222</v>
      </c>
    </row>
    <row r="1530" spans="1:18" x14ac:dyDescent="0.15">
      <c r="A1530" t="s">
        <v>308</v>
      </c>
      <c r="B1530" t="s">
        <v>349</v>
      </c>
      <c r="D1530">
        <v>50</v>
      </c>
      <c r="E1530" t="s">
        <v>74</v>
      </c>
      <c r="G1530">
        <v>107.3</v>
      </c>
      <c r="H1530">
        <v>107.6</v>
      </c>
      <c r="I1530" t="s">
        <v>92</v>
      </c>
      <c r="K1530">
        <f t="shared" si="46"/>
        <v>107.3</v>
      </c>
      <c r="L1530">
        <f t="shared" si="47"/>
        <v>107.6</v>
      </c>
      <c r="M1530" s="41" t="s">
        <v>323</v>
      </c>
      <c r="O1530" s="7">
        <v>44456</v>
      </c>
      <c r="Q1530" t="s">
        <v>342</v>
      </c>
      <c r="R1530" t="s">
        <v>222</v>
      </c>
    </row>
    <row r="1531" spans="1:18" x14ac:dyDescent="0.15">
      <c r="A1531" t="s">
        <v>308</v>
      </c>
      <c r="B1531" t="s">
        <v>349</v>
      </c>
      <c r="D1531">
        <v>50</v>
      </c>
      <c r="E1531" t="s">
        <v>74</v>
      </c>
      <c r="G1531">
        <v>107.6</v>
      </c>
      <c r="H1531">
        <v>107.9</v>
      </c>
      <c r="I1531" t="s">
        <v>91</v>
      </c>
      <c r="K1531">
        <f t="shared" si="46"/>
        <v>107.6</v>
      </c>
      <c r="L1531">
        <f t="shared" si="47"/>
        <v>107.9</v>
      </c>
      <c r="M1531" s="41" t="s">
        <v>324</v>
      </c>
      <c r="O1531" s="7">
        <v>44456</v>
      </c>
      <c r="Q1531" t="s">
        <v>343</v>
      </c>
      <c r="R1531" t="s">
        <v>222</v>
      </c>
    </row>
    <row r="1532" spans="1:18" x14ac:dyDescent="0.15">
      <c r="A1532" t="s">
        <v>308</v>
      </c>
      <c r="B1532" t="s">
        <v>349</v>
      </c>
      <c r="D1532">
        <v>50</v>
      </c>
      <c r="E1532" t="s">
        <v>74</v>
      </c>
      <c r="G1532">
        <v>107.6</v>
      </c>
      <c r="H1532">
        <v>107.9</v>
      </c>
      <c r="I1532" t="s">
        <v>92</v>
      </c>
      <c r="K1532">
        <f t="shared" si="46"/>
        <v>107.6</v>
      </c>
      <c r="L1532">
        <f t="shared" si="47"/>
        <v>107.9</v>
      </c>
      <c r="M1532" s="41" t="s">
        <v>325</v>
      </c>
      <c r="O1532" s="7">
        <v>44456</v>
      </c>
      <c r="Q1532" t="s">
        <v>344</v>
      </c>
      <c r="R1532" t="s">
        <v>222</v>
      </c>
    </row>
    <row r="1533" spans="1:18" x14ac:dyDescent="0.15">
      <c r="A1533" t="s">
        <v>308</v>
      </c>
      <c r="B1533" t="s">
        <v>349</v>
      </c>
      <c r="D1533">
        <v>50</v>
      </c>
      <c r="E1533" t="s">
        <v>74</v>
      </c>
      <c r="G1533">
        <v>107.6</v>
      </c>
      <c r="H1533">
        <v>107.9</v>
      </c>
      <c r="I1533" t="s">
        <v>90</v>
      </c>
      <c r="K1533">
        <f t="shared" si="46"/>
        <v>107.6</v>
      </c>
      <c r="L1533">
        <f t="shared" si="47"/>
        <v>107.9</v>
      </c>
      <c r="M1533" s="41" t="s">
        <v>325</v>
      </c>
      <c r="O1533" s="7">
        <v>44456</v>
      </c>
      <c r="Q1533" t="s">
        <v>344</v>
      </c>
      <c r="R1533" t="s">
        <v>222</v>
      </c>
    </row>
    <row r="1534" spans="1:18" x14ac:dyDescent="0.15">
      <c r="A1534" t="s">
        <v>308</v>
      </c>
      <c r="B1534" t="s">
        <v>349</v>
      </c>
      <c r="D1534">
        <v>50</v>
      </c>
      <c r="E1534" t="s">
        <v>74</v>
      </c>
      <c r="G1534">
        <v>107.6</v>
      </c>
      <c r="H1534">
        <v>107.9</v>
      </c>
      <c r="I1534" t="s">
        <v>91</v>
      </c>
      <c r="K1534">
        <f t="shared" si="46"/>
        <v>107.6</v>
      </c>
      <c r="L1534">
        <f t="shared" si="47"/>
        <v>107.9</v>
      </c>
      <c r="M1534" s="41" t="s">
        <v>323</v>
      </c>
      <c r="O1534" s="7">
        <v>44456</v>
      </c>
      <c r="Q1534" t="s">
        <v>342</v>
      </c>
      <c r="R1534" t="s">
        <v>222</v>
      </c>
    </row>
    <row r="1535" spans="1:18" x14ac:dyDescent="0.15">
      <c r="A1535" t="s">
        <v>308</v>
      </c>
      <c r="B1535" t="s">
        <v>349</v>
      </c>
      <c r="D1535">
        <v>50</v>
      </c>
      <c r="E1535" t="s">
        <v>74</v>
      </c>
      <c r="G1535">
        <v>107.6</v>
      </c>
      <c r="H1535">
        <v>107.9</v>
      </c>
      <c r="I1535" t="s">
        <v>92</v>
      </c>
      <c r="K1535">
        <f t="shared" si="46"/>
        <v>107.6</v>
      </c>
      <c r="L1535">
        <f t="shared" si="47"/>
        <v>107.9</v>
      </c>
      <c r="M1535" s="41" t="s">
        <v>323</v>
      </c>
      <c r="O1535" s="7">
        <v>44456</v>
      </c>
      <c r="Q1535" t="s">
        <v>342</v>
      </c>
      <c r="R1535" t="s">
        <v>222</v>
      </c>
    </row>
    <row r="1536" spans="1:18" x14ac:dyDescent="0.15">
      <c r="A1536" t="s">
        <v>308</v>
      </c>
      <c r="B1536" t="s">
        <v>349</v>
      </c>
      <c r="D1536">
        <v>50</v>
      </c>
      <c r="E1536" t="s">
        <v>74</v>
      </c>
      <c r="G1536">
        <v>107.6</v>
      </c>
      <c r="H1536">
        <v>107.9</v>
      </c>
      <c r="I1536" t="s">
        <v>90</v>
      </c>
      <c r="K1536">
        <f t="shared" si="46"/>
        <v>107.6</v>
      </c>
      <c r="L1536">
        <f t="shared" si="47"/>
        <v>107.9</v>
      </c>
      <c r="M1536" s="41" t="s">
        <v>323</v>
      </c>
      <c r="O1536" s="7">
        <v>44456</v>
      </c>
      <c r="Q1536" t="s">
        <v>342</v>
      </c>
      <c r="R1536" t="s">
        <v>222</v>
      </c>
    </row>
    <row r="1537" spans="1:18" x14ac:dyDescent="0.15">
      <c r="A1537" t="s">
        <v>308</v>
      </c>
      <c r="B1537" t="s">
        <v>349</v>
      </c>
      <c r="D1537">
        <v>50</v>
      </c>
      <c r="E1537" t="s">
        <v>74</v>
      </c>
      <c r="G1537">
        <v>107.9</v>
      </c>
      <c r="H1537">
        <v>108.2</v>
      </c>
      <c r="I1537" t="s">
        <v>91</v>
      </c>
      <c r="K1537">
        <f t="shared" ref="K1537:K1600" si="48">MIN(G1537:H1537)</f>
        <v>107.9</v>
      </c>
      <c r="L1537">
        <f t="shared" ref="L1537:L1600" si="49">MAX(G1537:H1537)</f>
        <v>108.2</v>
      </c>
      <c r="M1537" s="41" t="s">
        <v>324</v>
      </c>
      <c r="O1537" s="7">
        <v>44456</v>
      </c>
      <c r="Q1537" t="s">
        <v>343</v>
      </c>
      <c r="R1537" t="s">
        <v>222</v>
      </c>
    </row>
    <row r="1538" spans="1:18" x14ac:dyDescent="0.15">
      <c r="A1538" t="s">
        <v>308</v>
      </c>
      <c r="B1538" t="s">
        <v>349</v>
      </c>
      <c r="D1538">
        <v>50</v>
      </c>
      <c r="E1538" t="s">
        <v>74</v>
      </c>
      <c r="G1538">
        <v>107.9</v>
      </c>
      <c r="H1538">
        <v>108.2</v>
      </c>
      <c r="I1538" t="s">
        <v>92</v>
      </c>
      <c r="K1538">
        <f t="shared" si="48"/>
        <v>107.9</v>
      </c>
      <c r="L1538">
        <f t="shared" si="49"/>
        <v>108.2</v>
      </c>
      <c r="M1538" s="41" t="s">
        <v>325</v>
      </c>
      <c r="O1538" s="7">
        <v>44456</v>
      </c>
      <c r="Q1538" t="s">
        <v>344</v>
      </c>
      <c r="R1538" t="s">
        <v>222</v>
      </c>
    </row>
    <row r="1539" spans="1:18" x14ac:dyDescent="0.15">
      <c r="A1539" t="s">
        <v>308</v>
      </c>
      <c r="B1539" t="s">
        <v>349</v>
      </c>
      <c r="D1539">
        <v>50</v>
      </c>
      <c r="E1539" t="s">
        <v>74</v>
      </c>
      <c r="G1539">
        <v>107.9</v>
      </c>
      <c r="H1539">
        <v>108.2</v>
      </c>
      <c r="I1539" t="s">
        <v>91</v>
      </c>
      <c r="K1539">
        <f t="shared" si="48"/>
        <v>107.9</v>
      </c>
      <c r="L1539">
        <f t="shared" si="49"/>
        <v>108.2</v>
      </c>
      <c r="M1539" s="41" t="s">
        <v>326</v>
      </c>
      <c r="O1539" s="7">
        <v>44456</v>
      </c>
      <c r="Q1539" t="s">
        <v>345</v>
      </c>
      <c r="R1539" t="s">
        <v>222</v>
      </c>
    </row>
    <row r="1540" spans="1:18" x14ac:dyDescent="0.15">
      <c r="A1540" t="s">
        <v>308</v>
      </c>
      <c r="B1540" t="s">
        <v>349</v>
      </c>
      <c r="D1540">
        <v>50</v>
      </c>
      <c r="E1540" t="s">
        <v>74</v>
      </c>
      <c r="G1540">
        <v>107.9</v>
      </c>
      <c r="H1540">
        <v>108.2</v>
      </c>
      <c r="I1540" t="s">
        <v>92</v>
      </c>
      <c r="K1540">
        <f t="shared" si="48"/>
        <v>107.9</v>
      </c>
      <c r="L1540">
        <f t="shared" si="49"/>
        <v>108.2</v>
      </c>
      <c r="M1540" s="41" t="s">
        <v>326</v>
      </c>
      <c r="O1540" s="7">
        <v>44456</v>
      </c>
      <c r="Q1540" t="s">
        <v>345</v>
      </c>
      <c r="R1540" t="s">
        <v>222</v>
      </c>
    </row>
    <row r="1541" spans="1:18" x14ac:dyDescent="0.15">
      <c r="A1541" t="s">
        <v>308</v>
      </c>
      <c r="B1541" t="s">
        <v>349</v>
      </c>
      <c r="D1541">
        <v>50</v>
      </c>
      <c r="E1541" t="s">
        <v>74</v>
      </c>
      <c r="G1541">
        <v>107.9</v>
      </c>
      <c r="H1541">
        <v>108.2</v>
      </c>
      <c r="I1541" t="s">
        <v>90</v>
      </c>
      <c r="K1541">
        <f t="shared" si="48"/>
        <v>107.9</v>
      </c>
      <c r="L1541">
        <f t="shared" si="49"/>
        <v>108.2</v>
      </c>
      <c r="M1541" s="41" t="s">
        <v>326</v>
      </c>
      <c r="O1541" s="7">
        <v>44456</v>
      </c>
      <c r="Q1541" t="s">
        <v>345</v>
      </c>
      <c r="R1541" t="s">
        <v>222</v>
      </c>
    </row>
    <row r="1542" spans="1:18" x14ac:dyDescent="0.15">
      <c r="A1542" t="s">
        <v>308</v>
      </c>
      <c r="B1542" t="s">
        <v>349</v>
      </c>
      <c r="D1542">
        <v>50</v>
      </c>
      <c r="E1542" t="s">
        <v>74</v>
      </c>
      <c r="G1542">
        <v>108.2</v>
      </c>
      <c r="H1542">
        <v>108.4</v>
      </c>
      <c r="I1542" t="s">
        <v>91</v>
      </c>
      <c r="K1542">
        <f t="shared" si="48"/>
        <v>108.2</v>
      </c>
      <c r="L1542">
        <f t="shared" si="49"/>
        <v>108.4</v>
      </c>
      <c r="M1542" s="41" t="s">
        <v>326</v>
      </c>
      <c r="O1542" s="7">
        <v>44456</v>
      </c>
      <c r="Q1542" t="s">
        <v>345</v>
      </c>
      <c r="R1542" t="s">
        <v>222</v>
      </c>
    </row>
    <row r="1543" spans="1:18" x14ac:dyDescent="0.15">
      <c r="A1543" t="s">
        <v>308</v>
      </c>
      <c r="B1543" t="s">
        <v>349</v>
      </c>
      <c r="D1543">
        <v>50</v>
      </c>
      <c r="E1543" t="s">
        <v>74</v>
      </c>
      <c r="G1543">
        <v>108.2</v>
      </c>
      <c r="H1543">
        <v>108.4</v>
      </c>
      <c r="I1543" t="s">
        <v>92</v>
      </c>
      <c r="K1543">
        <f t="shared" si="48"/>
        <v>108.2</v>
      </c>
      <c r="L1543">
        <f t="shared" si="49"/>
        <v>108.4</v>
      </c>
      <c r="M1543" s="41" t="s">
        <v>326</v>
      </c>
      <c r="O1543" s="7">
        <v>44456</v>
      </c>
      <c r="Q1543" t="s">
        <v>345</v>
      </c>
      <c r="R1543" t="s">
        <v>222</v>
      </c>
    </row>
    <row r="1544" spans="1:18" x14ac:dyDescent="0.15">
      <c r="A1544" t="s">
        <v>308</v>
      </c>
      <c r="B1544" t="s">
        <v>349</v>
      </c>
      <c r="D1544">
        <v>50</v>
      </c>
      <c r="E1544" t="s">
        <v>74</v>
      </c>
      <c r="G1544">
        <v>108.4</v>
      </c>
      <c r="H1544">
        <v>110.8</v>
      </c>
      <c r="I1544" t="s">
        <v>91</v>
      </c>
      <c r="K1544">
        <f t="shared" si="48"/>
        <v>108.4</v>
      </c>
      <c r="L1544">
        <f t="shared" si="49"/>
        <v>110.8</v>
      </c>
      <c r="M1544" s="41" t="s">
        <v>323</v>
      </c>
      <c r="O1544" s="7">
        <v>44456</v>
      </c>
      <c r="Q1544" t="s">
        <v>341</v>
      </c>
      <c r="R1544" t="s">
        <v>222</v>
      </c>
    </row>
    <row r="1545" spans="1:18" x14ac:dyDescent="0.15">
      <c r="A1545" t="s">
        <v>308</v>
      </c>
      <c r="B1545" t="s">
        <v>349</v>
      </c>
      <c r="D1545">
        <v>50</v>
      </c>
      <c r="E1545" t="s">
        <v>74</v>
      </c>
      <c r="G1545">
        <v>108.4</v>
      </c>
      <c r="H1545">
        <v>110.8</v>
      </c>
      <c r="I1545" t="s">
        <v>92</v>
      </c>
      <c r="K1545">
        <f t="shared" si="48"/>
        <v>108.4</v>
      </c>
      <c r="L1545">
        <f t="shared" si="49"/>
        <v>110.8</v>
      </c>
      <c r="M1545" s="41" t="s">
        <v>323</v>
      </c>
      <c r="O1545" s="7">
        <v>44456</v>
      </c>
      <c r="Q1545" t="s">
        <v>341</v>
      </c>
      <c r="R1545" t="s">
        <v>222</v>
      </c>
    </row>
    <row r="1546" spans="1:18" x14ac:dyDescent="0.15">
      <c r="A1546" t="s">
        <v>308</v>
      </c>
      <c r="B1546" t="s">
        <v>349</v>
      </c>
      <c r="D1546">
        <v>50</v>
      </c>
      <c r="E1546" t="s">
        <v>74</v>
      </c>
      <c r="G1546">
        <v>110.605</v>
      </c>
      <c r="H1546">
        <v>110.3</v>
      </c>
      <c r="I1546" t="s">
        <v>95</v>
      </c>
      <c r="K1546">
        <f t="shared" si="48"/>
        <v>110.3</v>
      </c>
      <c r="L1546">
        <f t="shared" si="49"/>
        <v>110.605</v>
      </c>
      <c r="M1546" s="41" t="s">
        <v>323</v>
      </c>
      <c r="O1546" s="7">
        <v>44456</v>
      </c>
      <c r="Q1546" t="s">
        <v>341</v>
      </c>
      <c r="R1546" t="s">
        <v>222</v>
      </c>
    </row>
    <row r="1547" spans="1:18" x14ac:dyDescent="0.15">
      <c r="A1547" t="s">
        <v>308</v>
      </c>
      <c r="B1547" t="s">
        <v>349</v>
      </c>
      <c r="D1547">
        <v>50</v>
      </c>
      <c r="E1547" t="s">
        <v>74</v>
      </c>
      <c r="G1547">
        <v>98.3</v>
      </c>
      <c r="H1547">
        <v>101.3</v>
      </c>
      <c r="I1547" t="s">
        <v>91</v>
      </c>
      <c r="K1547">
        <f t="shared" si="48"/>
        <v>98.3</v>
      </c>
      <c r="L1547">
        <f t="shared" si="49"/>
        <v>101.3</v>
      </c>
      <c r="M1547" s="41" t="s">
        <v>323</v>
      </c>
      <c r="O1547" s="7">
        <v>44463</v>
      </c>
      <c r="Q1547" t="s">
        <v>341</v>
      </c>
      <c r="R1547" t="s">
        <v>222</v>
      </c>
    </row>
    <row r="1548" spans="1:18" x14ac:dyDescent="0.15">
      <c r="A1548" t="s">
        <v>308</v>
      </c>
      <c r="B1548" t="s">
        <v>349</v>
      </c>
      <c r="D1548">
        <v>50</v>
      </c>
      <c r="E1548" t="s">
        <v>74</v>
      </c>
      <c r="G1548">
        <v>98.3</v>
      </c>
      <c r="H1548">
        <v>101.3</v>
      </c>
      <c r="I1548" t="s">
        <v>92</v>
      </c>
      <c r="K1548">
        <f t="shared" si="48"/>
        <v>98.3</v>
      </c>
      <c r="L1548">
        <f t="shared" si="49"/>
        <v>101.3</v>
      </c>
      <c r="M1548" s="41" t="s">
        <v>323</v>
      </c>
      <c r="O1548" s="7">
        <v>44463</v>
      </c>
      <c r="Q1548" t="s">
        <v>341</v>
      </c>
      <c r="R1548" t="s">
        <v>222</v>
      </c>
    </row>
    <row r="1549" spans="1:18" x14ac:dyDescent="0.15">
      <c r="A1549" t="s">
        <v>308</v>
      </c>
      <c r="B1549" t="s">
        <v>349</v>
      </c>
      <c r="D1549">
        <v>50</v>
      </c>
      <c r="E1549" t="s">
        <v>74</v>
      </c>
      <c r="G1549">
        <v>99.965000000000003</v>
      </c>
      <c r="H1549">
        <v>99.66</v>
      </c>
      <c r="I1549" t="s">
        <v>93</v>
      </c>
      <c r="K1549">
        <f t="shared" si="48"/>
        <v>99.66</v>
      </c>
      <c r="L1549">
        <f t="shared" si="49"/>
        <v>99.965000000000003</v>
      </c>
      <c r="M1549" s="41" t="s">
        <v>323</v>
      </c>
      <c r="O1549" s="7">
        <v>44463</v>
      </c>
      <c r="Q1549" t="s">
        <v>341</v>
      </c>
      <c r="R1549" t="s">
        <v>222</v>
      </c>
    </row>
    <row r="1550" spans="1:18" x14ac:dyDescent="0.15">
      <c r="A1550" t="s">
        <v>308</v>
      </c>
      <c r="B1550" t="s">
        <v>349</v>
      </c>
      <c r="D1550">
        <v>50</v>
      </c>
      <c r="E1550" t="s">
        <v>74</v>
      </c>
      <c r="G1550">
        <v>99.38</v>
      </c>
      <c r="H1550">
        <v>101.3</v>
      </c>
      <c r="I1550" t="s">
        <v>95</v>
      </c>
      <c r="K1550">
        <f t="shared" si="48"/>
        <v>99.38</v>
      </c>
      <c r="L1550">
        <f t="shared" si="49"/>
        <v>101.3</v>
      </c>
      <c r="M1550" s="41" t="s">
        <v>323</v>
      </c>
      <c r="O1550" s="7">
        <v>44463</v>
      </c>
      <c r="Q1550" t="s">
        <v>341</v>
      </c>
      <c r="R1550" t="s">
        <v>222</v>
      </c>
    </row>
    <row r="1551" spans="1:18" x14ac:dyDescent="0.15">
      <c r="A1551" t="s">
        <v>308</v>
      </c>
      <c r="B1551" t="s">
        <v>349</v>
      </c>
      <c r="D1551">
        <v>50</v>
      </c>
      <c r="E1551" t="s">
        <v>74</v>
      </c>
      <c r="G1551">
        <v>98.3</v>
      </c>
      <c r="H1551">
        <v>98.6</v>
      </c>
      <c r="I1551" t="s">
        <v>182</v>
      </c>
      <c r="K1551">
        <f t="shared" si="48"/>
        <v>98.3</v>
      </c>
      <c r="L1551">
        <f t="shared" si="49"/>
        <v>98.6</v>
      </c>
      <c r="M1551" s="41" t="s">
        <v>323</v>
      </c>
      <c r="O1551" s="7">
        <v>44463</v>
      </c>
      <c r="Q1551" t="s">
        <v>341</v>
      </c>
      <c r="R1551" t="s">
        <v>222</v>
      </c>
    </row>
    <row r="1552" spans="1:18" x14ac:dyDescent="0.15">
      <c r="A1552" t="s">
        <v>308</v>
      </c>
      <c r="B1552" t="s">
        <v>349</v>
      </c>
      <c r="D1552">
        <v>50</v>
      </c>
      <c r="E1552" t="s">
        <v>74</v>
      </c>
      <c r="G1552">
        <v>98.3</v>
      </c>
      <c r="H1552">
        <v>98.6</v>
      </c>
      <c r="I1552" t="s">
        <v>209</v>
      </c>
      <c r="K1552">
        <f t="shared" si="48"/>
        <v>98.3</v>
      </c>
      <c r="L1552">
        <f t="shared" si="49"/>
        <v>98.6</v>
      </c>
      <c r="M1552" s="41" t="s">
        <v>323</v>
      </c>
      <c r="O1552" s="7">
        <v>44463</v>
      </c>
      <c r="Q1552" t="s">
        <v>341</v>
      </c>
      <c r="R1552" t="s">
        <v>222</v>
      </c>
    </row>
    <row r="1553" spans="1:18" x14ac:dyDescent="0.15">
      <c r="A1553" t="s">
        <v>308</v>
      </c>
      <c r="B1553" t="s">
        <v>349</v>
      </c>
      <c r="D1553">
        <v>50</v>
      </c>
      <c r="E1553" t="s">
        <v>74</v>
      </c>
      <c r="G1553">
        <v>110.8</v>
      </c>
      <c r="H1553">
        <v>113</v>
      </c>
      <c r="I1553" t="s">
        <v>91</v>
      </c>
      <c r="K1553">
        <f t="shared" si="48"/>
        <v>110.8</v>
      </c>
      <c r="L1553">
        <f t="shared" si="49"/>
        <v>113</v>
      </c>
      <c r="M1553" s="41" t="s">
        <v>323</v>
      </c>
      <c r="O1553" s="7">
        <v>44463</v>
      </c>
      <c r="Q1553" t="s">
        <v>341</v>
      </c>
      <c r="R1553" t="s">
        <v>222</v>
      </c>
    </row>
    <row r="1554" spans="1:18" x14ac:dyDescent="0.15">
      <c r="A1554" t="s">
        <v>308</v>
      </c>
      <c r="B1554" t="s">
        <v>349</v>
      </c>
      <c r="D1554">
        <v>50</v>
      </c>
      <c r="E1554" t="s">
        <v>74</v>
      </c>
      <c r="G1554">
        <v>110.8</v>
      </c>
      <c r="H1554">
        <v>113</v>
      </c>
      <c r="I1554" t="s">
        <v>92</v>
      </c>
      <c r="K1554">
        <f t="shared" si="48"/>
        <v>110.8</v>
      </c>
      <c r="L1554">
        <f t="shared" si="49"/>
        <v>113</v>
      </c>
      <c r="M1554" s="41" t="s">
        <v>323</v>
      </c>
      <c r="O1554" s="7">
        <v>44463</v>
      </c>
      <c r="Q1554" t="s">
        <v>341</v>
      </c>
      <c r="R1554" t="s">
        <v>222</v>
      </c>
    </row>
    <row r="1555" spans="1:18" x14ac:dyDescent="0.15">
      <c r="A1555" t="s">
        <v>308</v>
      </c>
      <c r="B1555" t="s">
        <v>349</v>
      </c>
      <c r="D1555">
        <v>50</v>
      </c>
      <c r="E1555" t="s">
        <v>74</v>
      </c>
      <c r="G1555">
        <v>111.215</v>
      </c>
      <c r="H1555">
        <v>110.925</v>
      </c>
      <c r="I1555" t="s">
        <v>93</v>
      </c>
      <c r="K1555">
        <f t="shared" si="48"/>
        <v>110.925</v>
      </c>
      <c r="L1555">
        <f t="shared" si="49"/>
        <v>111.215</v>
      </c>
      <c r="M1555" s="41" t="s">
        <v>323</v>
      </c>
      <c r="O1555" s="7">
        <v>44463</v>
      </c>
      <c r="Q1555" t="s">
        <v>341</v>
      </c>
      <c r="R1555" t="s">
        <v>222</v>
      </c>
    </row>
    <row r="1556" spans="1:18" x14ac:dyDescent="0.15">
      <c r="A1556" t="s">
        <v>308</v>
      </c>
      <c r="B1556" t="s">
        <v>349</v>
      </c>
      <c r="D1556">
        <v>50</v>
      </c>
      <c r="E1556" t="s">
        <v>74</v>
      </c>
      <c r="G1556">
        <v>113</v>
      </c>
      <c r="H1556">
        <v>112.83</v>
      </c>
      <c r="I1556" t="s">
        <v>95</v>
      </c>
      <c r="K1556">
        <f t="shared" si="48"/>
        <v>112.83</v>
      </c>
      <c r="L1556">
        <f t="shared" si="49"/>
        <v>113</v>
      </c>
      <c r="M1556" s="41" t="s">
        <v>323</v>
      </c>
      <c r="O1556" s="7">
        <v>44463</v>
      </c>
      <c r="Q1556" t="s">
        <v>341</v>
      </c>
      <c r="R1556" t="s">
        <v>222</v>
      </c>
    </row>
    <row r="1557" spans="1:18" x14ac:dyDescent="0.15">
      <c r="A1557" t="s">
        <v>308</v>
      </c>
      <c r="B1557" t="s">
        <v>349</v>
      </c>
      <c r="D1557">
        <v>67</v>
      </c>
      <c r="E1557" t="s">
        <v>74</v>
      </c>
      <c r="G1557">
        <v>7.37</v>
      </c>
      <c r="H1557">
        <v>7.31</v>
      </c>
      <c r="I1557" t="s">
        <v>92</v>
      </c>
      <c r="K1557">
        <f t="shared" si="48"/>
        <v>7.31</v>
      </c>
      <c r="L1557">
        <f t="shared" si="49"/>
        <v>7.37</v>
      </c>
      <c r="M1557" t="s">
        <v>313</v>
      </c>
      <c r="O1557" s="7">
        <v>44466</v>
      </c>
      <c r="Q1557" t="s">
        <v>226</v>
      </c>
      <c r="R1557" t="s">
        <v>222</v>
      </c>
    </row>
    <row r="1558" spans="1:18" x14ac:dyDescent="0.15">
      <c r="A1558" t="s">
        <v>308</v>
      </c>
      <c r="B1558" t="s">
        <v>349</v>
      </c>
      <c r="D1558">
        <v>67</v>
      </c>
      <c r="E1558" t="s">
        <v>75</v>
      </c>
      <c r="G1558">
        <v>46.54</v>
      </c>
      <c r="H1558">
        <v>47.1</v>
      </c>
      <c r="I1558" t="s">
        <v>94</v>
      </c>
      <c r="K1558">
        <f t="shared" si="48"/>
        <v>46.54</v>
      </c>
      <c r="L1558">
        <f t="shared" si="49"/>
        <v>47.1</v>
      </c>
      <c r="M1558" t="s">
        <v>313</v>
      </c>
      <c r="O1558" s="7">
        <v>44467</v>
      </c>
      <c r="Q1558" t="s">
        <v>226</v>
      </c>
      <c r="R1558" t="s">
        <v>222</v>
      </c>
    </row>
    <row r="1559" spans="1:18" x14ac:dyDescent="0.15">
      <c r="A1559" t="s">
        <v>308</v>
      </c>
      <c r="B1559" t="s">
        <v>349</v>
      </c>
      <c r="D1559">
        <v>2</v>
      </c>
      <c r="E1559" t="s">
        <v>74</v>
      </c>
      <c r="F1559" t="s">
        <v>76</v>
      </c>
      <c r="G1559">
        <v>118.97499999999999</v>
      </c>
      <c r="H1559">
        <v>118.72499999999999</v>
      </c>
      <c r="I1559" t="s">
        <v>91</v>
      </c>
      <c r="K1559">
        <f t="shared" si="48"/>
        <v>118.72499999999999</v>
      </c>
      <c r="L1559">
        <f t="shared" si="49"/>
        <v>118.97499999999999</v>
      </c>
      <c r="M1559" t="s">
        <v>28</v>
      </c>
      <c r="O1559" s="7">
        <v>44468</v>
      </c>
      <c r="Q1559" t="s">
        <v>339</v>
      </c>
      <c r="R1559" t="s">
        <v>222</v>
      </c>
    </row>
    <row r="1560" spans="1:18" x14ac:dyDescent="0.15">
      <c r="A1560" t="s">
        <v>308</v>
      </c>
      <c r="B1560" t="s">
        <v>349</v>
      </c>
      <c r="D1560">
        <v>2</v>
      </c>
      <c r="E1560" t="s">
        <v>76</v>
      </c>
      <c r="F1560" t="s">
        <v>77</v>
      </c>
      <c r="G1560">
        <v>119</v>
      </c>
      <c r="H1560">
        <v>118.72499999999999</v>
      </c>
      <c r="I1560" t="s">
        <v>91</v>
      </c>
      <c r="K1560">
        <f t="shared" si="48"/>
        <v>118.72499999999999</v>
      </c>
      <c r="L1560">
        <f t="shared" si="49"/>
        <v>119</v>
      </c>
      <c r="M1560" t="s">
        <v>28</v>
      </c>
      <c r="O1560" s="7">
        <v>44469</v>
      </c>
      <c r="Q1560" t="s">
        <v>339</v>
      </c>
      <c r="R1560" t="s">
        <v>222</v>
      </c>
    </row>
    <row r="1561" spans="1:18" x14ac:dyDescent="0.15">
      <c r="A1561" t="s">
        <v>308</v>
      </c>
      <c r="B1561" t="s">
        <v>349</v>
      </c>
      <c r="D1561">
        <v>2</v>
      </c>
      <c r="E1561" t="s">
        <v>76</v>
      </c>
      <c r="F1561" t="s">
        <v>77</v>
      </c>
      <c r="G1561">
        <v>118.72499999999999</v>
      </c>
      <c r="H1561">
        <v>118.6</v>
      </c>
      <c r="I1561" t="s">
        <v>91</v>
      </c>
      <c r="K1561">
        <f t="shared" si="48"/>
        <v>118.6</v>
      </c>
      <c r="L1561">
        <f t="shared" si="49"/>
        <v>118.72499999999999</v>
      </c>
      <c r="M1561" t="s">
        <v>310</v>
      </c>
      <c r="N1561" t="s">
        <v>159</v>
      </c>
      <c r="O1561" s="7">
        <v>44469</v>
      </c>
      <c r="Q1561" t="s">
        <v>335</v>
      </c>
      <c r="R1561" t="s">
        <v>222</v>
      </c>
    </row>
    <row r="1562" spans="1:18" x14ac:dyDescent="0.15">
      <c r="A1562" t="s">
        <v>308</v>
      </c>
      <c r="B1562" t="s">
        <v>349</v>
      </c>
      <c r="D1562">
        <v>73</v>
      </c>
      <c r="E1562" t="s">
        <v>74</v>
      </c>
      <c r="G1562">
        <v>80</v>
      </c>
      <c r="H1562">
        <v>79.349999999999994</v>
      </c>
      <c r="I1562" t="s">
        <v>91</v>
      </c>
      <c r="K1562">
        <f t="shared" si="48"/>
        <v>79.349999999999994</v>
      </c>
      <c r="L1562">
        <f t="shared" si="49"/>
        <v>80</v>
      </c>
      <c r="M1562" t="s">
        <v>313</v>
      </c>
      <c r="O1562" s="7">
        <v>44479</v>
      </c>
      <c r="Q1562" t="s">
        <v>226</v>
      </c>
      <c r="R1562" t="s">
        <v>222</v>
      </c>
    </row>
    <row r="1563" spans="1:18" x14ac:dyDescent="0.15">
      <c r="A1563" t="s">
        <v>308</v>
      </c>
      <c r="B1563" t="s">
        <v>349</v>
      </c>
      <c r="D1563">
        <v>73</v>
      </c>
      <c r="E1563" t="s">
        <v>74</v>
      </c>
      <c r="G1563">
        <v>79.349999999999994</v>
      </c>
      <c r="H1563">
        <v>79.099999999999994</v>
      </c>
      <c r="I1563" t="s">
        <v>91</v>
      </c>
      <c r="K1563">
        <f t="shared" si="48"/>
        <v>79.099999999999994</v>
      </c>
      <c r="L1563">
        <f t="shared" si="49"/>
        <v>79.349999999999994</v>
      </c>
      <c r="M1563" t="s">
        <v>313</v>
      </c>
      <c r="O1563" s="7">
        <v>44479</v>
      </c>
      <c r="Q1563" t="s">
        <v>226</v>
      </c>
      <c r="R1563" t="s">
        <v>222</v>
      </c>
    </row>
    <row r="1564" spans="1:18" x14ac:dyDescent="0.15">
      <c r="A1564" t="s">
        <v>308</v>
      </c>
      <c r="B1564" t="s">
        <v>349</v>
      </c>
      <c r="D1564">
        <v>67</v>
      </c>
      <c r="E1564" t="s">
        <v>75</v>
      </c>
      <c r="G1564">
        <v>4.9749999999999996</v>
      </c>
      <c r="H1564">
        <v>5.0350000000000001</v>
      </c>
      <c r="I1564" t="s">
        <v>96</v>
      </c>
      <c r="K1564">
        <f t="shared" si="48"/>
        <v>4.9749999999999996</v>
      </c>
      <c r="L1564">
        <f t="shared" si="49"/>
        <v>5.0350000000000001</v>
      </c>
      <c r="M1564" t="s">
        <v>313</v>
      </c>
      <c r="O1564" s="7">
        <v>44487</v>
      </c>
      <c r="Q1564" t="s">
        <v>226</v>
      </c>
      <c r="R1564" t="s">
        <v>222</v>
      </c>
    </row>
    <row r="1565" spans="1:18" x14ac:dyDescent="0.15">
      <c r="A1565" t="s">
        <v>308</v>
      </c>
      <c r="B1565" t="s">
        <v>349</v>
      </c>
      <c r="D1565">
        <v>67</v>
      </c>
      <c r="E1565" t="s">
        <v>75</v>
      </c>
      <c r="G1565">
        <v>5.3250000000000002</v>
      </c>
      <c r="H1565">
        <v>5.4249999999999998</v>
      </c>
      <c r="I1565" t="s">
        <v>96</v>
      </c>
      <c r="K1565">
        <f t="shared" si="48"/>
        <v>5.3250000000000002</v>
      </c>
      <c r="L1565">
        <f t="shared" si="49"/>
        <v>5.4249999999999998</v>
      </c>
      <c r="M1565" t="s">
        <v>313</v>
      </c>
      <c r="O1565" s="7">
        <v>44487</v>
      </c>
      <c r="Q1565" t="s">
        <v>226</v>
      </c>
      <c r="R1565" t="s">
        <v>222</v>
      </c>
    </row>
    <row r="1566" spans="1:18" x14ac:dyDescent="0.15">
      <c r="A1566" t="s">
        <v>308</v>
      </c>
      <c r="B1566" t="s">
        <v>349</v>
      </c>
      <c r="D1566">
        <v>67</v>
      </c>
      <c r="E1566" t="s">
        <v>75</v>
      </c>
      <c r="G1566">
        <v>5.5</v>
      </c>
      <c r="H1566">
        <v>5.65</v>
      </c>
      <c r="I1566" t="s">
        <v>98</v>
      </c>
      <c r="K1566">
        <f t="shared" si="48"/>
        <v>5.5</v>
      </c>
      <c r="L1566">
        <f t="shared" si="49"/>
        <v>5.65</v>
      </c>
      <c r="M1566" t="s">
        <v>313</v>
      </c>
      <c r="O1566" s="7">
        <v>44488</v>
      </c>
      <c r="Q1566" t="s">
        <v>226</v>
      </c>
      <c r="R1566" t="s">
        <v>222</v>
      </c>
    </row>
    <row r="1567" spans="1:18" x14ac:dyDescent="0.15">
      <c r="A1567" t="s">
        <v>308</v>
      </c>
      <c r="B1567" t="s">
        <v>349</v>
      </c>
      <c r="D1567">
        <v>50</v>
      </c>
      <c r="E1567" t="s">
        <v>76</v>
      </c>
      <c r="F1567" t="s">
        <v>167</v>
      </c>
      <c r="G1567">
        <v>130.38999999999999</v>
      </c>
      <c r="H1567">
        <v>130.48500000000001</v>
      </c>
      <c r="J1567" t="s">
        <v>23</v>
      </c>
      <c r="K1567">
        <f t="shared" si="48"/>
        <v>130.38999999999999</v>
      </c>
      <c r="L1567">
        <f t="shared" si="49"/>
        <v>130.48500000000001</v>
      </c>
      <c r="M1567" t="s">
        <v>317</v>
      </c>
      <c r="O1567" s="7">
        <v>44489</v>
      </c>
      <c r="Q1567" t="s">
        <v>231</v>
      </c>
      <c r="R1567" t="s">
        <v>222</v>
      </c>
    </row>
    <row r="1568" spans="1:18" x14ac:dyDescent="0.15">
      <c r="A1568" t="s">
        <v>308</v>
      </c>
      <c r="B1568" t="s">
        <v>349</v>
      </c>
      <c r="D1568">
        <v>50</v>
      </c>
      <c r="E1568" t="s">
        <v>76</v>
      </c>
      <c r="F1568" t="s">
        <v>88</v>
      </c>
      <c r="G1568">
        <v>120.675</v>
      </c>
      <c r="H1568">
        <v>120.75</v>
      </c>
      <c r="I1568" t="s">
        <v>96</v>
      </c>
      <c r="J1568" t="s">
        <v>23</v>
      </c>
      <c r="K1568">
        <f t="shared" si="48"/>
        <v>120.675</v>
      </c>
      <c r="L1568">
        <f t="shared" si="49"/>
        <v>120.75</v>
      </c>
      <c r="M1568" t="s">
        <v>327</v>
      </c>
      <c r="O1568" s="7">
        <v>44490</v>
      </c>
      <c r="Q1568" t="s">
        <v>346</v>
      </c>
      <c r="R1568" t="s">
        <v>222</v>
      </c>
    </row>
    <row r="1569" spans="1:18" x14ac:dyDescent="0.15">
      <c r="A1569" t="s">
        <v>308</v>
      </c>
      <c r="B1569" t="s">
        <v>349</v>
      </c>
      <c r="D1569">
        <v>50</v>
      </c>
      <c r="E1569" t="s">
        <v>76</v>
      </c>
      <c r="F1569" t="s">
        <v>88</v>
      </c>
      <c r="G1569">
        <v>120.675</v>
      </c>
      <c r="H1569">
        <v>120.75</v>
      </c>
      <c r="I1569" t="s">
        <v>96</v>
      </c>
      <c r="J1569" t="s">
        <v>23</v>
      </c>
      <c r="K1569">
        <f t="shared" si="48"/>
        <v>120.675</v>
      </c>
      <c r="L1569">
        <f t="shared" si="49"/>
        <v>120.75</v>
      </c>
      <c r="M1569" t="s">
        <v>328</v>
      </c>
      <c r="O1569" s="7">
        <v>44490</v>
      </c>
      <c r="Q1569" t="s">
        <v>347</v>
      </c>
      <c r="R1569" t="s">
        <v>222</v>
      </c>
    </row>
    <row r="1570" spans="1:18" x14ac:dyDescent="0.15">
      <c r="A1570" t="s">
        <v>308</v>
      </c>
      <c r="B1570" t="s">
        <v>349</v>
      </c>
      <c r="D1570">
        <v>2</v>
      </c>
      <c r="E1570" t="s">
        <v>74</v>
      </c>
      <c r="G1570">
        <v>134.16999999999999</v>
      </c>
      <c r="H1570">
        <v>134.14500000000001</v>
      </c>
      <c r="I1570" t="s">
        <v>95</v>
      </c>
      <c r="K1570">
        <f t="shared" si="48"/>
        <v>134.14500000000001</v>
      </c>
      <c r="L1570">
        <f t="shared" si="49"/>
        <v>134.16999999999999</v>
      </c>
      <c r="M1570" t="s">
        <v>317</v>
      </c>
      <c r="O1570" s="7">
        <v>44494</v>
      </c>
      <c r="Q1570" t="s">
        <v>231</v>
      </c>
      <c r="R1570" t="s">
        <v>222</v>
      </c>
    </row>
    <row r="1571" spans="1:18" x14ac:dyDescent="0.15">
      <c r="A1571" t="s">
        <v>308</v>
      </c>
      <c r="B1571" t="s">
        <v>349</v>
      </c>
      <c r="D1571">
        <v>2</v>
      </c>
      <c r="E1571" t="s">
        <v>74</v>
      </c>
      <c r="G1571">
        <v>134.14500000000001</v>
      </c>
      <c r="H1571">
        <v>134.02000000000001</v>
      </c>
      <c r="I1571" t="s">
        <v>95</v>
      </c>
      <c r="K1571">
        <f t="shared" si="48"/>
        <v>134.02000000000001</v>
      </c>
      <c r="L1571">
        <f t="shared" si="49"/>
        <v>134.14500000000001</v>
      </c>
      <c r="M1571" t="s">
        <v>310</v>
      </c>
      <c r="N1571" t="s">
        <v>159</v>
      </c>
      <c r="O1571" s="7">
        <v>44494</v>
      </c>
      <c r="Q1571" t="s">
        <v>335</v>
      </c>
      <c r="R1571" t="s">
        <v>222</v>
      </c>
    </row>
    <row r="1572" spans="1:18" x14ac:dyDescent="0.15">
      <c r="A1572" t="s">
        <v>308</v>
      </c>
      <c r="B1572" t="s">
        <v>349</v>
      </c>
      <c r="D1572">
        <v>2</v>
      </c>
      <c r="E1572" t="s">
        <v>74</v>
      </c>
      <c r="G1572">
        <v>162.84</v>
      </c>
      <c r="H1572">
        <v>162.66499999999999</v>
      </c>
      <c r="I1572" t="s">
        <v>95</v>
      </c>
      <c r="K1572">
        <f t="shared" si="48"/>
        <v>162.66499999999999</v>
      </c>
      <c r="L1572">
        <f t="shared" si="49"/>
        <v>162.84</v>
      </c>
      <c r="M1572" t="s">
        <v>310</v>
      </c>
      <c r="N1572" t="s">
        <v>159</v>
      </c>
      <c r="O1572" s="7">
        <v>44495</v>
      </c>
      <c r="Q1572" t="s">
        <v>335</v>
      </c>
      <c r="R1572" t="s">
        <v>222</v>
      </c>
    </row>
    <row r="1573" spans="1:18" x14ac:dyDescent="0.15">
      <c r="A1573" t="s">
        <v>308</v>
      </c>
      <c r="B1573" t="s">
        <v>349</v>
      </c>
      <c r="D1573">
        <v>2</v>
      </c>
      <c r="E1573" t="s">
        <v>76</v>
      </c>
      <c r="F1573" t="s">
        <v>78</v>
      </c>
      <c r="G1573">
        <v>159.12</v>
      </c>
      <c r="H1573">
        <v>159.16999999999999</v>
      </c>
      <c r="I1573" t="s">
        <v>181</v>
      </c>
      <c r="K1573">
        <f t="shared" si="48"/>
        <v>159.12</v>
      </c>
      <c r="L1573">
        <f t="shared" si="49"/>
        <v>159.16999999999999</v>
      </c>
      <c r="M1573" t="s">
        <v>329</v>
      </c>
      <c r="N1573" t="s">
        <v>159</v>
      </c>
      <c r="O1573" s="7">
        <v>44496</v>
      </c>
      <c r="Q1573" t="s">
        <v>335</v>
      </c>
      <c r="R1573" t="s">
        <v>222</v>
      </c>
    </row>
    <row r="1574" spans="1:18" x14ac:dyDescent="0.15">
      <c r="A1574" t="s">
        <v>308</v>
      </c>
      <c r="B1574" t="s">
        <v>349</v>
      </c>
      <c r="D1574">
        <v>58</v>
      </c>
      <c r="E1574" t="s">
        <v>74</v>
      </c>
      <c r="G1574">
        <v>19.489999999999998</v>
      </c>
      <c r="H1574">
        <v>19.465</v>
      </c>
      <c r="I1574" t="s">
        <v>91</v>
      </c>
      <c r="K1574">
        <f t="shared" si="48"/>
        <v>19.465</v>
      </c>
      <c r="L1574">
        <f t="shared" si="49"/>
        <v>19.489999999999998</v>
      </c>
      <c r="M1574" t="s">
        <v>317</v>
      </c>
      <c r="O1574" s="7">
        <v>44497</v>
      </c>
      <c r="Q1574" t="s">
        <v>231</v>
      </c>
      <c r="R1574" t="s">
        <v>222</v>
      </c>
    </row>
    <row r="1575" spans="1:18" x14ac:dyDescent="0.15">
      <c r="A1575" t="s">
        <v>308</v>
      </c>
      <c r="B1575" t="s">
        <v>349</v>
      </c>
      <c r="D1575">
        <v>58</v>
      </c>
      <c r="E1575" t="s">
        <v>74</v>
      </c>
      <c r="G1575">
        <v>19.489999999999998</v>
      </c>
      <c r="H1575">
        <v>19.465</v>
      </c>
      <c r="I1575" t="s">
        <v>92</v>
      </c>
      <c r="K1575">
        <f t="shared" si="48"/>
        <v>19.465</v>
      </c>
      <c r="L1575">
        <f t="shared" si="49"/>
        <v>19.489999999999998</v>
      </c>
      <c r="M1575" t="s">
        <v>317</v>
      </c>
      <c r="O1575" s="7">
        <v>44497</v>
      </c>
      <c r="Q1575" t="s">
        <v>231</v>
      </c>
      <c r="R1575" t="s">
        <v>222</v>
      </c>
    </row>
    <row r="1576" spans="1:18" x14ac:dyDescent="0.15">
      <c r="A1576" t="s">
        <v>308</v>
      </c>
      <c r="B1576" t="s">
        <v>349</v>
      </c>
      <c r="D1576">
        <v>58</v>
      </c>
      <c r="E1576" t="s">
        <v>74</v>
      </c>
      <c r="G1576">
        <v>19.489999999999998</v>
      </c>
      <c r="H1576">
        <v>19.465</v>
      </c>
      <c r="I1576" t="s">
        <v>95</v>
      </c>
      <c r="K1576">
        <f t="shared" si="48"/>
        <v>19.465</v>
      </c>
      <c r="L1576">
        <f t="shared" si="49"/>
        <v>19.489999999999998</v>
      </c>
      <c r="M1576" t="s">
        <v>317</v>
      </c>
      <c r="O1576" s="7">
        <v>44497</v>
      </c>
      <c r="Q1576" t="s">
        <v>231</v>
      </c>
      <c r="R1576" t="s">
        <v>222</v>
      </c>
    </row>
    <row r="1577" spans="1:18" x14ac:dyDescent="0.15">
      <c r="A1577" t="s">
        <v>308</v>
      </c>
      <c r="B1577" t="s">
        <v>349</v>
      </c>
      <c r="D1577">
        <v>2</v>
      </c>
      <c r="E1577" t="s">
        <v>74</v>
      </c>
      <c r="G1577">
        <v>175.39</v>
      </c>
      <c r="H1577">
        <v>176.48</v>
      </c>
      <c r="I1577" t="s">
        <v>92</v>
      </c>
      <c r="K1577">
        <f t="shared" si="48"/>
        <v>175.39</v>
      </c>
      <c r="L1577">
        <f t="shared" si="49"/>
        <v>176.48</v>
      </c>
      <c r="M1577" t="s">
        <v>329</v>
      </c>
      <c r="N1577" t="s">
        <v>159</v>
      </c>
      <c r="O1577" s="7">
        <v>44506</v>
      </c>
      <c r="Q1577" t="s">
        <v>335</v>
      </c>
      <c r="R1577" t="s">
        <v>222</v>
      </c>
    </row>
    <row r="1578" spans="1:18" x14ac:dyDescent="0.15">
      <c r="A1578" t="s">
        <v>308</v>
      </c>
      <c r="B1578" t="s">
        <v>349</v>
      </c>
      <c r="D1578">
        <v>2</v>
      </c>
      <c r="E1578" t="s">
        <v>74</v>
      </c>
      <c r="G1578">
        <v>175.86</v>
      </c>
      <c r="H1578">
        <v>176.2</v>
      </c>
      <c r="I1578" t="s">
        <v>95</v>
      </c>
      <c r="K1578">
        <f t="shared" si="48"/>
        <v>175.86</v>
      </c>
      <c r="L1578">
        <f t="shared" si="49"/>
        <v>176.2</v>
      </c>
      <c r="M1578" t="s">
        <v>329</v>
      </c>
      <c r="N1578" t="s">
        <v>159</v>
      </c>
      <c r="O1578" s="7">
        <v>44506</v>
      </c>
      <c r="Q1578" t="s">
        <v>335</v>
      </c>
      <c r="R1578" t="s">
        <v>222</v>
      </c>
    </row>
    <row r="1579" spans="1:18" x14ac:dyDescent="0.15">
      <c r="A1579" t="s">
        <v>308</v>
      </c>
      <c r="B1579" t="s">
        <v>349</v>
      </c>
      <c r="D1579">
        <v>2</v>
      </c>
      <c r="E1579" t="s">
        <v>74</v>
      </c>
      <c r="G1579">
        <v>176.66</v>
      </c>
      <c r="H1579">
        <v>176.56</v>
      </c>
      <c r="I1579" t="s">
        <v>217</v>
      </c>
      <c r="K1579">
        <f t="shared" si="48"/>
        <v>176.56</v>
      </c>
      <c r="L1579">
        <f t="shared" si="49"/>
        <v>176.66</v>
      </c>
      <c r="M1579" t="s">
        <v>313</v>
      </c>
      <c r="O1579" s="7">
        <v>44506</v>
      </c>
      <c r="Q1579" t="s">
        <v>226</v>
      </c>
      <c r="R1579" t="s">
        <v>222</v>
      </c>
    </row>
    <row r="1580" spans="1:18" x14ac:dyDescent="0.15">
      <c r="A1580" t="s">
        <v>308</v>
      </c>
      <c r="B1580" t="s">
        <v>349</v>
      </c>
      <c r="D1580">
        <v>65</v>
      </c>
      <c r="E1580" t="s">
        <v>76</v>
      </c>
      <c r="F1580" t="s">
        <v>82</v>
      </c>
      <c r="G1580">
        <v>3.13</v>
      </c>
      <c r="H1580">
        <v>3.2050000000000001</v>
      </c>
      <c r="I1580" t="s">
        <v>96</v>
      </c>
      <c r="K1580">
        <f t="shared" si="48"/>
        <v>3.13</v>
      </c>
      <c r="L1580">
        <f t="shared" si="49"/>
        <v>3.2050000000000001</v>
      </c>
      <c r="M1580" t="s">
        <v>28</v>
      </c>
      <c r="O1580" s="7">
        <v>44542</v>
      </c>
      <c r="Q1580" t="s">
        <v>339</v>
      </c>
      <c r="R1580" t="s">
        <v>222</v>
      </c>
    </row>
    <row r="1581" spans="1:18" x14ac:dyDescent="0.15">
      <c r="A1581" t="s">
        <v>308</v>
      </c>
      <c r="B1581" t="s">
        <v>349</v>
      </c>
      <c r="D1581">
        <v>2</v>
      </c>
      <c r="E1581" t="s">
        <v>76</v>
      </c>
      <c r="F1581" t="s">
        <v>77</v>
      </c>
      <c r="G1581">
        <v>162.4</v>
      </c>
      <c r="H1581">
        <v>162.35</v>
      </c>
      <c r="I1581" t="s">
        <v>91</v>
      </c>
      <c r="J1581" t="s">
        <v>23</v>
      </c>
      <c r="K1581">
        <f t="shared" si="48"/>
        <v>162.35</v>
      </c>
      <c r="L1581">
        <f t="shared" si="49"/>
        <v>162.4</v>
      </c>
      <c r="M1581" t="s">
        <v>330</v>
      </c>
      <c r="O1581" s="7">
        <v>44550</v>
      </c>
      <c r="Q1581" t="s">
        <v>347</v>
      </c>
      <c r="R1581" t="s">
        <v>222</v>
      </c>
    </row>
    <row r="1582" spans="1:18" x14ac:dyDescent="0.15">
      <c r="A1582" t="s">
        <v>308</v>
      </c>
      <c r="B1582" t="s">
        <v>349</v>
      </c>
      <c r="D1582">
        <v>2</v>
      </c>
      <c r="E1582" t="s">
        <v>76</v>
      </c>
      <c r="F1582" t="s">
        <v>77</v>
      </c>
      <c r="G1582">
        <v>162.4</v>
      </c>
      <c r="H1582">
        <v>162.35</v>
      </c>
      <c r="I1582" t="s">
        <v>91</v>
      </c>
      <c r="J1582" t="s">
        <v>23</v>
      </c>
      <c r="K1582">
        <f t="shared" si="48"/>
        <v>162.35</v>
      </c>
      <c r="L1582">
        <f t="shared" si="49"/>
        <v>162.4</v>
      </c>
      <c r="M1582" t="s">
        <v>331</v>
      </c>
      <c r="O1582" s="7">
        <v>44550</v>
      </c>
      <c r="Q1582" t="s">
        <v>348</v>
      </c>
      <c r="R1582" t="s">
        <v>222</v>
      </c>
    </row>
    <row r="1583" spans="1:18" x14ac:dyDescent="0.15">
      <c r="A1583" t="s">
        <v>308</v>
      </c>
      <c r="B1583" t="s">
        <v>349</v>
      </c>
      <c r="D1583">
        <v>65</v>
      </c>
      <c r="E1583" t="s">
        <v>74</v>
      </c>
      <c r="G1583">
        <v>9.9</v>
      </c>
      <c r="H1583">
        <v>9.6999999999999993</v>
      </c>
      <c r="I1583" t="s">
        <v>91</v>
      </c>
      <c r="K1583">
        <f t="shared" si="48"/>
        <v>9.6999999999999993</v>
      </c>
      <c r="L1583">
        <f t="shared" si="49"/>
        <v>9.9</v>
      </c>
      <c r="M1583" t="s">
        <v>320</v>
      </c>
      <c r="O1583" s="7">
        <v>44365</v>
      </c>
    </row>
    <row r="1584" spans="1:18" x14ac:dyDescent="0.15">
      <c r="A1584" t="s">
        <v>308</v>
      </c>
      <c r="B1584" t="s">
        <v>349</v>
      </c>
      <c r="D1584">
        <v>65</v>
      </c>
      <c r="E1584" t="s">
        <v>74</v>
      </c>
      <c r="G1584">
        <v>9.9</v>
      </c>
      <c r="H1584">
        <v>9.6999999999999993</v>
      </c>
      <c r="I1584" t="s">
        <v>92</v>
      </c>
      <c r="K1584">
        <f t="shared" si="48"/>
        <v>9.6999999999999993</v>
      </c>
      <c r="L1584">
        <f t="shared" si="49"/>
        <v>9.9</v>
      </c>
      <c r="M1584" t="s">
        <v>320</v>
      </c>
      <c r="O1584" s="7">
        <v>44365</v>
      </c>
    </row>
    <row r="1585" spans="1:15" x14ac:dyDescent="0.15">
      <c r="A1585" t="s">
        <v>308</v>
      </c>
      <c r="B1585" t="s">
        <v>349</v>
      </c>
      <c r="D1585">
        <v>65</v>
      </c>
      <c r="E1585" t="s">
        <v>74</v>
      </c>
      <c r="G1585">
        <v>10.050000000000001</v>
      </c>
      <c r="H1585">
        <v>9.9</v>
      </c>
      <c r="I1585" t="s">
        <v>91</v>
      </c>
      <c r="K1585">
        <f t="shared" si="48"/>
        <v>9.9</v>
      </c>
      <c r="L1585">
        <f t="shared" si="49"/>
        <v>10.050000000000001</v>
      </c>
      <c r="M1585" t="s">
        <v>320</v>
      </c>
      <c r="O1585" s="7">
        <v>44365</v>
      </c>
    </row>
    <row r="1586" spans="1:15" x14ac:dyDescent="0.15">
      <c r="A1586" t="s">
        <v>308</v>
      </c>
      <c r="B1586" t="s">
        <v>349</v>
      </c>
      <c r="D1586">
        <v>65</v>
      </c>
      <c r="E1586" t="s">
        <v>74</v>
      </c>
      <c r="G1586">
        <v>10.050000000000001</v>
      </c>
      <c r="H1586">
        <v>9.9</v>
      </c>
      <c r="I1586" t="s">
        <v>92</v>
      </c>
      <c r="K1586">
        <f t="shared" si="48"/>
        <v>9.9</v>
      </c>
      <c r="L1586">
        <f t="shared" si="49"/>
        <v>10.050000000000001</v>
      </c>
      <c r="M1586" t="s">
        <v>320</v>
      </c>
      <c r="O1586" s="7">
        <v>44365</v>
      </c>
    </row>
    <row r="1587" spans="1:15" x14ac:dyDescent="0.15">
      <c r="A1587" t="s">
        <v>308</v>
      </c>
      <c r="B1587" t="s">
        <v>349</v>
      </c>
      <c r="D1587">
        <v>65</v>
      </c>
      <c r="E1587" t="s">
        <v>74</v>
      </c>
      <c r="G1587">
        <v>10.050000000000001</v>
      </c>
      <c r="H1587">
        <v>9.9</v>
      </c>
      <c r="I1587" t="s">
        <v>93</v>
      </c>
      <c r="K1587">
        <f t="shared" si="48"/>
        <v>9.9</v>
      </c>
      <c r="L1587">
        <f t="shared" si="49"/>
        <v>10.050000000000001</v>
      </c>
      <c r="M1587" t="s">
        <v>320</v>
      </c>
      <c r="O1587" s="7">
        <v>44365</v>
      </c>
    </row>
    <row r="1588" spans="1:15" x14ac:dyDescent="0.15">
      <c r="A1588" s="12" t="s">
        <v>19</v>
      </c>
      <c r="B1588" t="s">
        <v>349</v>
      </c>
      <c r="D1588">
        <v>50</v>
      </c>
      <c r="E1588" t="s">
        <v>74</v>
      </c>
      <c r="G1588" s="17">
        <v>93.9</v>
      </c>
      <c r="H1588" s="17">
        <v>93.2</v>
      </c>
      <c r="J1588" t="s">
        <v>23</v>
      </c>
      <c r="K1588">
        <f t="shared" si="48"/>
        <v>93.2</v>
      </c>
      <c r="L1588">
        <f t="shared" si="49"/>
        <v>93.9</v>
      </c>
      <c r="M1588" s="41" t="s">
        <v>27</v>
      </c>
      <c r="O1588" s="18">
        <v>44366</v>
      </c>
    </row>
    <row r="1589" spans="1:15" x14ac:dyDescent="0.15">
      <c r="A1589" s="12" t="s">
        <v>19</v>
      </c>
      <c r="B1589" t="s">
        <v>349</v>
      </c>
      <c r="D1589">
        <v>50</v>
      </c>
      <c r="E1589" t="s">
        <v>76</v>
      </c>
      <c r="F1589" t="s">
        <v>89</v>
      </c>
      <c r="G1589" s="17">
        <v>93.9</v>
      </c>
      <c r="H1589" s="17">
        <v>93</v>
      </c>
      <c r="J1589" t="s">
        <v>23</v>
      </c>
      <c r="K1589">
        <f t="shared" si="48"/>
        <v>93</v>
      </c>
      <c r="L1589">
        <f t="shared" si="49"/>
        <v>93.9</v>
      </c>
      <c r="M1589" s="41" t="s">
        <v>27</v>
      </c>
      <c r="O1589" s="18">
        <v>44366</v>
      </c>
    </row>
    <row r="1590" spans="1:15" x14ac:dyDescent="0.15">
      <c r="A1590" s="12" t="s">
        <v>19</v>
      </c>
      <c r="B1590" t="s">
        <v>349</v>
      </c>
      <c r="D1590">
        <v>59</v>
      </c>
      <c r="E1590" t="s">
        <v>74</v>
      </c>
      <c r="G1590" s="17">
        <v>121.9</v>
      </c>
      <c r="H1590" s="17">
        <v>121.49</v>
      </c>
      <c r="J1590" t="s">
        <v>23</v>
      </c>
      <c r="K1590">
        <f t="shared" si="48"/>
        <v>121.49</v>
      </c>
      <c r="L1590">
        <f t="shared" si="49"/>
        <v>121.9</v>
      </c>
      <c r="M1590" t="s">
        <v>25</v>
      </c>
      <c r="O1590" s="18">
        <v>44352</v>
      </c>
    </row>
    <row r="1591" spans="1:15" x14ac:dyDescent="0.15">
      <c r="A1591" s="12" t="s">
        <v>19</v>
      </c>
      <c r="B1591" t="s">
        <v>349</v>
      </c>
      <c r="D1591">
        <v>59</v>
      </c>
      <c r="E1591" t="s">
        <v>74</v>
      </c>
      <c r="G1591" s="17">
        <v>121.49</v>
      </c>
      <c r="H1591" s="17">
        <v>121.45</v>
      </c>
      <c r="J1591" t="s">
        <v>23</v>
      </c>
      <c r="K1591">
        <f t="shared" si="48"/>
        <v>121.45</v>
      </c>
      <c r="L1591">
        <f t="shared" si="49"/>
        <v>121.49</v>
      </c>
      <c r="M1591" t="s">
        <v>156</v>
      </c>
      <c r="O1591" s="18">
        <v>44352</v>
      </c>
    </row>
    <row r="1592" spans="1:15" x14ac:dyDescent="0.15">
      <c r="A1592" s="12" t="s">
        <v>19</v>
      </c>
      <c r="B1592" t="s">
        <v>349</v>
      </c>
      <c r="D1592">
        <v>59</v>
      </c>
      <c r="E1592" t="s">
        <v>74</v>
      </c>
      <c r="G1592" s="17">
        <v>121.45</v>
      </c>
      <c r="H1592" s="17">
        <v>121.4</v>
      </c>
      <c r="J1592" t="s">
        <v>23</v>
      </c>
      <c r="K1592">
        <f t="shared" si="48"/>
        <v>121.4</v>
      </c>
      <c r="L1592">
        <f t="shared" si="49"/>
        <v>121.45</v>
      </c>
      <c r="M1592" s="41" t="s">
        <v>27</v>
      </c>
      <c r="O1592" s="18">
        <v>44352</v>
      </c>
    </row>
    <row r="1593" spans="1:15" x14ac:dyDescent="0.15">
      <c r="A1593" s="12" t="s">
        <v>19</v>
      </c>
      <c r="B1593" t="s">
        <v>349</v>
      </c>
      <c r="D1593">
        <v>59</v>
      </c>
      <c r="E1593" t="s">
        <v>75</v>
      </c>
      <c r="G1593" s="17">
        <v>121.9</v>
      </c>
      <c r="H1593" s="17">
        <v>122.4</v>
      </c>
      <c r="J1593" t="s">
        <v>23</v>
      </c>
      <c r="K1593">
        <f t="shared" si="48"/>
        <v>121.9</v>
      </c>
      <c r="L1593">
        <f t="shared" si="49"/>
        <v>122.4</v>
      </c>
      <c r="M1593" s="41" t="s">
        <v>27</v>
      </c>
      <c r="O1593" s="18">
        <v>44261</v>
      </c>
    </row>
    <row r="1594" spans="1:15" x14ac:dyDescent="0.15">
      <c r="A1594" s="12" t="s">
        <v>19</v>
      </c>
      <c r="B1594" t="s">
        <v>349</v>
      </c>
      <c r="D1594">
        <v>59</v>
      </c>
      <c r="E1594" t="s">
        <v>75</v>
      </c>
      <c r="G1594" s="17">
        <v>149.02000000000001</v>
      </c>
      <c r="H1594" s="17">
        <v>151.66</v>
      </c>
      <c r="J1594" t="s">
        <v>23</v>
      </c>
      <c r="K1594">
        <f t="shared" si="48"/>
        <v>149.02000000000001</v>
      </c>
      <c r="L1594">
        <f t="shared" si="49"/>
        <v>151.66</v>
      </c>
      <c r="M1594" s="41" t="s">
        <v>285</v>
      </c>
      <c r="O1594" s="18">
        <v>44283</v>
      </c>
    </row>
    <row r="1595" spans="1:15" x14ac:dyDescent="0.15">
      <c r="A1595" s="12" t="s">
        <v>19</v>
      </c>
      <c r="B1595" t="s">
        <v>349</v>
      </c>
      <c r="D1595">
        <v>59</v>
      </c>
      <c r="E1595" t="s">
        <v>75</v>
      </c>
      <c r="G1595" s="17">
        <v>151.66</v>
      </c>
      <c r="H1595" s="17">
        <v>151.66999999999999</v>
      </c>
      <c r="J1595" t="s">
        <v>23</v>
      </c>
      <c r="K1595">
        <f t="shared" si="48"/>
        <v>151.66</v>
      </c>
      <c r="L1595">
        <f t="shared" si="49"/>
        <v>151.66999999999999</v>
      </c>
      <c r="M1595" t="s">
        <v>143</v>
      </c>
      <c r="O1595" s="18">
        <v>44283</v>
      </c>
    </row>
    <row r="1596" spans="1:15" x14ac:dyDescent="0.15">
      <c r="A1596" s="12" t="s">
        <v>19</v>
      </c>
      <c r="B1596" t="s">
        <v>349</v>
      </c>
      <c r="D1596">
        <v>59</v>
      </c>
      <c r="E1596" t="s">
        <v>75</v>
      </c>
      <c r="G1596" s="17">
        <v>151.66999999999999</v>
      </c>
      <c r="H1596" s="17">
        <v>151.745</v>
      </c>
      <c r="J1596" t="s">
        <v>23</v>
      </c>
      <c r="K1596">
        <f t="shared" si="48"/>
        <v>151.66999999999999</v>
      </c>
      <c r="L1596">
        <f t="shared" si="49"/>
        <v>151.745</v>
      </c>
      <c r="M1596" t="s">
        <v>156</v>
      </c>
      <c r="O1596" s="18">
        <v>44283</v>
      </c>
    </row>
    <row r="1597" spans="1:15" x14ac:dyDescent="0.15">
      <c r="A1597" s="12" t="s">
        <v>19</v>
      </c>
      <c r="B1597" t="s">
        <v>349</v>
      </c>
      <c r="D1597">
        <v>59</v>
      </c>
      <c r="E1597" t="s">
        <v>75</v>
      </c>
      <c r="G1597" s="17">
        <v>151.745</v>
      </c>
      <c r="H1597" s="17">
        <v>151.755</v>
      </c>
      <c r="J1597" t="s">
        <v>23</v>
      </c>
      <c r="K1597">
        <f t="shared" si="48"/>
        <v>151.745</v>
      </c>
      <c r="L1597">
        <f t="shared" si="49"/>
        <v>151.755</v>
      </c>
      <c r="M1597" t="s">
        <v>143</v>
      </c>
      <c r="O1597" s="18">
        <v>44283</v>
      </c>
    </row>
    <row r="1598" spans="1:15" x14ac:dyDescent="0.15">
      <c r="A1598" s="12" t="s">
        <v>19</v>
      </c>
      <c r="B1598" t="s">
        <v>349</v>
      </c>
      <c r="D1598">
        <v>59</v>
      </c>
      <c r="E1598" t="s">
        <v>75</v>
      </c>
      <c r="G1598" s="17">
        <v>151.755</v>
      </c>
      <c r="H1598" s="17">
        <v>152.1</v>
      </c>
      <c r="J1598" t="s">
        <v>23</v>
      </c>
      <c r="K1598">
        <f t="shared" si="48"/>
        <v>151.755</v>
      </c>
      <c r="L1598">
        <f t="shared" si="49"/>
        <v>152.1</v>
      </c>
      <c r="M1598" s="41" t="s">
        <v>27</v>
      </c>
      <c r="O1598" s="18">
        <v>44283</v>
      </c>
    </row>
    <row r="1599" spans="1:15" x14ac:dyDescent="0.15">
      <c r="A1599" s="12" t="s">
        <v>19</v>
      </c>
      <c r="B1599" t="s">
        <v>349</v>
      </c>
      <c r="D1599">
        <v>59</v>
      </c>
      <c r="E1599" t="s">
        <v>76</v>
      </c>
      <c r="F1599" t="s">
        <v>82</v>
      </c>
      <c r="G1599" s="17">
        <v>151.78</v>
      </c>
      <c r="H1599" s="17">
        <v>152.15</v>
      </c>
      <c r="J1599" t="s">
        <v>23</v>
      </c>
      <c r="K1599">
        <f t="shared" si="48"/>
        <v>151.78</v>
      </c>
      <c r="L1599">
        <f t="shared" si="49"/>
        <v>152.15</v>
      </c>
      <c r="M1599" t="s">
        <v>100</v>
      </c>
      <c r="O1599" s="18">
        <v>44283</v>
      </c>
    </row>
    <row r="1600" spans="1:15" x14ac:dyDescent="0.15">
      <c r="A1600" s="12" t="s">
        <v>19</v>
      </c>
      <c r="B1600" t="s">
        <v>349</v>
      </c>
      <c r="D1600">
        <v>59</v>
      </c>
      <c r="E1600" t="s">
        <v>76</v>
      </c>
      <c r="F1600" t="s">
        <v>88</v>
      </c>
      <c r="G1600" s="17">
        <v>151.62</v>
      </c>
      <c r="H1600" s="17">
        <v>152.07</v>
      </c>
      <c r="J1600" t="s">
        <v>23</v>
      </c>
      <c r="K1600">
        <f t="shared" si="48"/>
        <v>151.62</v>
      </c>
      <c r="L1600">
        <f t="shared" si="49"/>
        <v>152.07</v>
      </c>
      <c r="M1600" t="s">
        <v>100</v>
      </c>
      <c r="O1600" s="18">
        <v>44283</v>
      </c>
    </row>
    <row r="1601" spans="1:21" x14ac:dyDescent="0.15">
      <c r="A1601" s="12" t="s">
        <v>19</v>
      </c>
      <c r="B1601" t="s">
        <v>349</v>
      </c>
      <c r="D1601">
        <v>59</v>
      </c>
      <c r="E1601" t="s">
        <v>74</v>
      </c>
      <c r="G1601">
        <v>140.80000000000001</v>
      </c>
      <c r="H1601">
        <v>140.13499999999999</v>
      </c>
      <c r="J1601" t="s">
        <v>23</v>
      </c>
      <c r="K1601">
        <f t="shared" ref="K1601:K1664" si="50">MIN(G1601:H1601)</f>
        <v>140.13499999999999</v>
      </c>
      <c r="L1601">
        <f t="shared" ref="L1601:L1664" si="51">MAX(G1601:H1601)</f>
        <v>140.80000000000001</v>
      </c>
      <c r="M1601" t="s">
        <v>25</v>
      </c>
      <c r="O1601" s="18"/>
    </row>
    <row r="1602" spans="1:21" x14ac:dyDescent="0.15">
      <c r="A1602" s="12" t="s">
        <v>19</v>
      </c>
      <c r="B1602" t="s">
        <v>349</v>
      </c>
      <c r="D1602">
        <v>59</v>
      </c>
      <c r="E1602" t="s">
        <v>76</v>
      </c>
      <c r="F1602" t="s">
        <v>81</v>
      </c>
      <c r="G1602" s="17">
        <v>140.13499999999999</v>
      </c>
      <c r="H1602" s="17">
        <v>139.88499999999999</v>
      </c>
      <c r="J1602" t="s">
        <v>23</v>
      </c>
      <c r="K1602">
        <f t="shared" si="50"/>
        <v>139.88499999999999</v>
      </c>
      <c r="L1602">
        <f t="shared" si="51"/>
        <v>140.13499999999999</v>
      </c>
      <c r="M1602" s="41" t="s">
        <v>27</v>
      </c>
      <c r="O1602" s="18">
        <v>44360</v>
      </c>
    </row>
    <row r="1603" spans="1:21" x14ac:dyDescent="0.15">
      <c r="A1603" s="12" t="s">
        <v>19</v>
      </c>
      <c r="B1603" t="s">
        <v>349</v>
      </c>
      <c r="D1603">
        <v>2</v>
      </c>
      <c r="E1603" t="s">
        <v>76</v>
      </c>
      <c r="F1603" t="s">
        <v>170</v>
      </c>
      <c r="G1603" s="17">
        <v>115.36499999999999</v>
      </c>
      <c r="H1603" s="17">
        <v>115.14</v>
      </c>
      <c r="I1603" t="s">
        <v>95</v>
      </c>
      <c r="K1603">
        <f t="shared" si="50"/>
        <v>115.14</v>
      </c>
      <c r="L1603">
        <f t="shared" si="51"/>
        <v>115.36499999999999</v>
      </c>
      <c r="M1603" s="41" t="s">
        <v>27</v>
      </c>
      <c r="O1603" s="18">
        <v>44360</v>
      </c>
    </row>
    <row r="1604" spans="1:21" x14ac:dyDescent="0.15">
      <c r="A1604" s="12" t="s">
        <v>19</v>
      </c>
      <c r="B1604" t="s">
        <v>349</v>
      </c>
      <c r="D1604">
        <v>2</v>
      </c>
      <c r="E1604" t="s">
        <v>76</v>
      </c>
      <c r="F1604" t="s">
        <v>170</v>
      </c>
      <c r="G1604" s="17">
        <v>115.36499999999999</v>
      </c>
      <c r="H1604" s="17">
        <v>115.14</v>
      </c>
      <c r="I1604" t="s">
        <v>212</v>
      </c>
      <c r="K1604">
        <f t="shared" si="50"/>
        <v>115.14</v>
      </c>
      <c r="L1604">
        <f t="shared" si="51"/>
        <v>115.36499999999999</v>
      </c>
      <c r="M1604" s="41" t="s">
        <v>27</v>
      </c>
      <c r="O1604" s="18">
        <v>44360</v>
      </c>
    </row>
    <row r="1605" spans="1:21" x14ac:dyDescent="0.15">
      <c r="A1605" s="12" t="s">
        <v>19</v>
      </c>
      <c r="B1605" t="s">
        <v>349</v>
      </c>
      <c r="D1605">
        <v>65</v>
      </c>
      <c r="E1605" t="s">
        <v>74</v>
      </c>
      <c r="G1605" s="17">
        <v>13.36</v>
      </c>
      <c r="H1605" s="17">
        <v>12.06</v>
      </c>
      <c r="J1605" t="s">
        <v>23</v>
      </c>
      <c r="K1605">
        <f t="shared" si="50"/>
        <v>12.06</v>
      </c>
      <c r="L1605">
        <f t="shared" si="51"/>
        <v>13.36</v>
      </c>
      <c r="M1605" t="s">
        <v>334</v>
      </c>
      <c r="O1605" s="18">
        <v>44360</v>
      </c>
    </row>
    <row r="1606" spans="1:21" x14ac:dyDescent="0.15">
      <c r="A1606" s="12" t="s">
        <v>19</v>
      </c>
      <c r="B1606" t="s">
        <v>349</v>
      </c>
      <c r="D1606">
        <v>67</v>
      </c>
      <c r="E1606" t="s">
        <v>74</v>
      </c>
      <c r="G1606" s="17">
        <v>17.8</v>
      </c>
      <c r="H1606" s="17">
        <v>16.600000000000001</v>
      </c>
      <c r="J1606" t="s">
        <v>23</v>
      </c>
      <c r="K1606">
        <f t="shared" si="50"/>
        <v>16.600000000000001</v>
      </c>
      <c r="L1606">
        <f t="shared" si="51"/>
        <v>17.8</v>
      </c>
      <c r="M1606" s="41" t="s">
        <v>27</v>
      </c>
      <c r="O1606" s="18">
        <v>44304</v>
      </c>
    </row>
    <row r="1607" spans="1:21" x14ac:dyDescent="0.15">
      <c r="A1607" s="12" t="s">
        <v>19</v>
      </c>
      <c r="B1607" t="s">
        <v>349</v>
      </c>
      <c r="D1607">
        <v>67</v>
      </c>
      <c r="E1607" t="s">
        <v>74</v>
      </c>
      <c r="G1607" s="17">
        <v>13.4</v>
      </c>
      <c r="H1607" s="17">
        <v>11.2</v>
      </c>
      <c r="J1607" t="s">
        <v>23</v>
      </c>
      <c r="K1607">
        <f t="shared" si="50"/>
        <v>11.2</v>
      </c>
      <c r="L1607">
        <f t="shared" si="51"/>
        <v>13.4</v>
      </c>
      <c r="M1607" s="41" t="s">
        <v>27</v>
      </c>
      <c r="O1607" s="18">
        <v>44304</v>
      </c>
    </row>
    <row r="1608" spans="1:21" x14ac:dyDescent="0.15">
      <c r="A1608" s="12" t="s">
        <v>19</v>
      </c>
      <c r="B1608" t="s">
        <v>349</v>
      </c>
      <c r="D1608">
        <v>67</v>
      </c>
      <c r="E1608" t="s">
        <v>74</v>
      </c>
      <c r="G1608" s="17">
        <v>6.3</v>
      </c>
      <c r="H1608" s="17">
        <v>5.7</v>
      </c>
      <c r="J1608" t="s">
        <v>23</v>
      </c>
      <c r="K1608">
        <f t="shared" si="50"/>
        <v>5.7</v>
      </c>
      <c r="L1608">
        <f t="shared" si="51"/>
        <v>6.3</v>
      </c>
      <c r="M1608" s="41" t="s">
        <v>27</v>
      </c>
      <c r="O1608" s="18">
        <v>44304</v>
      </c>
    </row>
    <row r="1609" spans="1:21" x14ac:dyDescent="0.15">
      <c r="A1609" s="12" t="s">
        <v>19</v>
      </c>
      <c r="B1609" t="s">
        <v>349</v>
      </c>
      <c r="D1609">
        <v>67</v>
      </c>
      <c r="E1609" t="s">
        <v>76</v>
      </c>
      <c r="F1609" t="s">
        <v>80</v>
      </c>
      <c r="G1609" s="17">
        <v>6.29</v>
      </c>
      <c r="H1609" s="17">
        <v>5.97</v>
      </c>
      <c r="J1609" t="s">
        <v>23</v>
      </c>
      <c r="K1609">
        <f t="shared" si="50"/>
        <v>5.97</v>
      </c>
      <c r="L1609">
        <f t="shared" si="51"/>
        <v>6.29</v>
      </c>
      <c r="M1609" t="s">
        <v>28</v>
      </c>
      <c r="O1609" s="18">
        <v>44304</v>
      </c>
    </row>
    <row r="1610" spans="1:21" x14ac:dyDescent="0.15">
      <c r="A1610" s="12" t="s">
        <v>19</v>
      </c>
      <c r="B1610" t="s">
        <v>349</v>
      </c>
      <c r="D1610">
        <v>67</v>
      </c>
      <c r="E1610" t="s">
        <v>76</v>
      </c>
      <c r="F1610" t="s">
        <v>77</v>
      </c>
      <c r="G1610" s="17">
        <v>5.95</v>
      </c>
      <c r="H1610" s="17">
        <v>5.71</v>
      </c>
      <c r="J1610" t="s">
        <v>23</v>
      </c>
      <c r="K1610">
        <f t="shared" si="50"/>
        <v>5.71</v>
      </c>
      <c r="L1610">
        <f t="shared" si="51"/>
        <v>5.95</v>
      </c>
      <c r="M1610" t="s">
        <v>28</v>
      </c>
      <c r="O1610" s="18">
        <v>44304</v>
      </c>
    </row>
    <row r="1611" spans="1:21" x14ac:dyDescent="0.15">
      <c r="A1611" s="12" t="s">
        <v>19</v>
      </c>
      <c r="B1611" t="s">
        <v>349</v>
      </c>
      <c r="D1611">
        <v>67</v>
      </c>
      <c r="E1611" t="s">
        <v>75</v>
      </c>
      <c r="G1611" s="17">
        <v>10</v>
      </c>
      <c r="H1611" s="17">
        <v>12.8</v>
      </c>
      <c r="J1611" t="s">
        <v>23</v>
      </c>
      <c r="K1611">
        <f t="shared" si="50"/>
        <v>10</v>
      </c>
      <c r="L1611">
        <f t="shared" si="51"/>
        <v>12.8</v>
      </c>
      <c r="M1611" s="41" t="s">
        <v>27</v>
      </c>
      <c r="O1611" s="18">
        <v>44311</v>
      </c>
    </row>
    <row r="1612" spans="1:21" x14ac:dyDescent="0.15">
      <c r="A1612" s="12" t="s">
        <v>19</v>
      </c>
      <c r="B1612" t="s">
        <v>349</v>
      </c>
      <c r="D1612">
        <v>67</v>
      </c>
      <c r="E1612" t="s">
        <v>76</v>
      </c>
      <c r="F1612" t="s">
        <v>88</v>
      </c>
      <c r="G1612" s="17">
        <v>10</v>
      </c>
      <c r="H1612" s="17">
        <v>10.37</v>
      </c>
      <c r="J1612" t="s">
        <v>23</v>
      </c>
      <c r="K1612">
        <f t="shared" si="50"/>
        <v>10</v>
      </c>
      <c r="L1612">
        <f t="shared" si="51"/>
        <v>10.37</v>
      </c>
      <c r="M1612" t="s">
        <v>333</v>
      </c>
      <c r="O1612" s="18">
        <v>44311</v>
      </c>
    </row>
    <row r="1613" spans="1:21" x14ac:dyDescent="0.15">
      <c r="A1613" t="s">
        <v>350</v>
      </c>
      <c r="B1613" t="s">
        <v>351</v>
      </c>
      <c r="D1613">
        <v>37</v>
      </c>
      <c r="E1613" t="s">
        <v>75</v>
      </c>
      <c r="G1613">
        <v>7.4999999999999997E-2</v>
      </c>
      <c r="H1613">
        <v>0.1</v>
      </c>
      <c r="I1613" t="s">
        <v>352</v>
      </c>
      <c r="K1613">
        <f t="shared" si="50"/>
        <v>7.4999999999999997E-2</v>
      </c>
      <c r="L1613">
        <f t="shared" si="51"/>
        <v>0.1</v>
      </c>
      <c r="M1613" t="s">
        <v>293</v>
      </c>
      <c r="O1613" s="7">
        <v>44357</v>
      </c>
      <c r="P1613" s="19" t="s">
        <v>145</v>
      </c>
      <c r="U1613" t="s">
        <v>353</v>
      </c>
    </row>
    <row r="1614" spans="1:21" x14ac:dyDescent="0.15">
      <c r="A1614" t="s">
        <v>350</v>
      </c>
      <c r="B1614" t="s">
        <v>351</v>
      </c>
      <c r="D1614">
        <v>37</v>
      </c>
      <c r="E1614" t="s">
        <v>75</v>
      </c>
      <c r="G1614">
        <v>1.6</v>
      </c>
      <c r="H1614">
        <v>2.0499999999999998</v>
      </c>
      <c r="I1614" t="s">
        <v>352</v>
      </c>
      <c r="K1614">
        <f t="shared" si="50"/>
        <v>1.6</v>
      </c>
      <c r="L1614">
        <f t="shared" si="51"/>
        <v>2.0499999999999998</v>
      </c>
      <c r="M1614" t="s">
        <v>293</v>
      </c>
      <c r="O1614" s="7">
        <v>44362</v>
      </c>
      <c r="P1614" s="19" t="s">
        <v>145</v>
      </c>
      <c r="U1614" t="s">
        <v>354</v>
      </c>
    </row>
    <row r="1615" spans="1:21" x14ac:dyDescent="0.15">
      <c r="A1615" t="s">
        <v>350</v>
      </c>
      <c r="B1615" t="s">
        <v>351</v>
      </c>
      <c r="D1615">
        <v>37</v>
      </c>
      <c r="E1615" t="s">
        <v>75</v>
      </c>
      <c r="G1615">
        <v>2.0099999999999998</v>
      </c>
      <c r="H1615" t="s">
        <v>355</v>
      </c>
      <c r="J1615" t="s">
        <v>23</v>
      </c>
      <c r="K1615">
        <f t="shared" si="50"/>
        <v>2.0099999999999998</v>
      </c>
      <c r="L1615">
        <f t="shared" si="51"/>
        <v>2.0099999999999998</v>
      </c>
      <c r="O1615" s="7">
        <v>44474</v>
      </c>
      <c r="P1615" s="19"/>
      <c r="U1615" t="s">
        <v>356</v>
      </c>
    </row>
    <row r="1616" spans="1:21" x14ac:dyDescent="0.15">
      <c r="A1616" t="s">
        <v>350</v>
      </c>
      <c r="B1616" t="s">
        <v>351</v>
      </c>
      <c r="D1616">
        <v>37</v>
      </c>
      <c r="E1616" t="s">
        <v>75</v>
      </c>
      <c r="G1616">
        <v>3</v>
      </c>
      <c r="H1616">
        <v>3.2</v>
      </c>
      <c r="I1616" t="s">
        <v>352</v>
      </c>
      <c r="K1616">
        <f t="shared" si="50"/>
        <v>3</v>
      </c>
      <c r="L1616">
        <f t="shared" si="51"/>
        <v>3.2</v>
      </c>
      <c r="M1616" t="s">
        <v>293</v>
      </c>
      <c r="O1616" s="7">
        <v>44362</v>
      </c>
      <c r="P1616" s="19" t="s">
        <v>145</v>
      </c>
      <c r="U1616" t="s">
        <v>353</v>
      </c>
    </row>
    <row r="1617" spans="1:21" x14ac:dyDescent="0.15">
      <c r="A1617" t="s">
        <v>350</v>
      </c>
      <c r="B1617" t="s">
        <v>351</v>
      </c>
      <c r="D1617">
        <v>37</v>
      </c>
      <c r="E1617" t="s">
        <v>75</v>
      </c>
      <c r="G1617">
        <v>4.875</v>
      </c>
      <c r="H1617">
        <v>4.9000000000000004</v>
      </c>
      <c r="I1617" t="s">
        <v>352</v>
      </c>
      <c r="K1617">
        <f t="shared" si="50"/>
        <v>4.875</v>
      </c>
      <c r="L1617">
        <f t="shared" si="51"/>
        <v>4.9000000000000004</v>
      </c>
      <c r="M1617" t="s">
        <v>293</v>
      </c>
      <c r="O1617" s="7">
        <v>44365</v>
      </c>
      <c r="P1617" s="19" t="s">
        <v>145</v>
      </c>
      <c r="U1617" t="s">
        <v>353</v>
      </c>
    </row>
    <row r="1618" spans="1:21" x14ac:dyDescent="0.15">
      <c r="A1618" t="s">
        <v>350</v>
      </c>
      <c r="B1618" t="s">
        <v>351</v>
      </c>
      <c r="D1618">
        <v>37</v>
      </c>
      <c r="E1618" t="s">
        <v>75</v>
      </c>
      <c r="G1618">
        <v>5.0750000000000002</v>
      </c>
      <c r="H1618">
        <v>5.0999999999999996</v>
      </c>
      <c r="I1618" t="s">
        <v>352</v>
      </c>
      <c r="K1618">
        <f t="shared" si="50"/>
        <v>5.0750000000000002</v>
      </c>
      <c r="L1618">
        <f t="shared" si="51"/>
        <v>5.0999999999999996</v>
      </c>
      <c r="M1618" t="s">
        <v>293</v>
      </c>
      <c r="O1618" s="7">
        <v>44365</v>
      </c>
      <c r="P1618" s="19" t="s">
        <v>145</v>
      </c>
      <c r="U1618" t="s">
        <v>353</v>
      </c>
    </row>
    <row r="1619" spans="1:21" x14ac:dyDescent="0.15">
      <c r="A1619" t="s">
        <v>350</v>
      </c>
      <c r="B1619" t="s">
        <v>351</v>
      </c>
      <c r="D1619">
        <v>37</v>
      </c>
      <c r="E1619" t="s">
        <v>75</v>
      </c>
      <c r="G1619">
        <v>5.4</v>
      </c>
      <c r="H1619">
        <v>5.6</v>
      </c>
      <c r="I1619" t="s">
        <v>352</v>
      </c>
      <c r="K1619">
        <f t="shared" si="50"/>
        <v>5.4</v>
      </c>
      <c r="L1619">
        <f t="shared" si="51"/>
        <v>5.6</v>
      </c>
      <c r="M1619" t="s">
        <v>293</v>
      </c>
      <c r="O1619" s="7">
        <v>44365</v>
      </c>
      <c r="P1619" s="19" t="s">
        <v>145</v>
      </c>
      <c r="U1619" t="s">
        <v>353</v>
      </c>
    </row>
    <row r="1620" spans="1:21" x14ac:dyDescent="0.15">
      <c r="A1620" t="s">
        <v>350</v>
      </c>
      <c r="B1620" t="s">
        <v>351</v>
      </c>
      <c r="D1620">
        <v>37</v>
      </c>
      <c r="E1620" t="s">
        <v>76</v>
      </c>
      <c r="F1620" t="s">
        <v>82</v>
      </c>
      <c r="G1620">
        <v>4.0999999999999996</v>
      </c>
      <c r="H1620" t="s">
        <v>355</v>
      </c>
      <c r="I1620" t="s">
        <v>357</v>
      </c>
      <c r="K1620">
        <f t="shared" si="50"/>
        <v>4.0999999999999996</v>
      </c>
      <c r="L1620">
        <f t="shared" si="51"/>
        <v>4.0999999999999996</v>
      </c>
      <c r="M1620" t="s">
        <v>28</v>
      </c>
      <c r="O1620" s="7">
        <v>44363</v>
      </c>
      <c r="P1620" s="19"/>
      <c r="U1620" t="s">
        <v>358</v>
      </c>
    </row>
    <row r="1621" spans="1:21" x14ac:dyDescent="0.15">
      <c r="A1621" t="s">
        <v>350</v>
      </c>
      <c r="B1621" t="s">
        <v>351</v>
      </c>
      <c r="D1621">
        <v>37</v>
      </c>
      <c r="E1621" t="s">
        <v>75</v>
      </c>
      <c r="G1621">
        <v>7.35</v>
      </c>
      <c r="H1621">
        <v>7.375</v>
      </c>
      <c r="I1621" t="s">
        <v>352</v>
      </c>
      <c r="K1621">
        <f t="shared" si="50"/>
        <v>7.35</v>
      </c>
      <c r="L1621">
        <f t="shared" si="51"/>
        <v>7.375</v>
      </c>
      <c r="M1621" t="s">
        <v>293</v>
      </c>
      <c r="O1621" s="7">
        <v>44358</v>
      </c>
      <c r="P1621" s="19" t="s">
        <v>145</v>
      </c>
      <c r="U1621" t="s">
        <v>353</v>
      </c>
    </row>
    <row r="1622" spans="1:21" x14ac:dyDescent="0.15">
      <c r="A1622" t="s">
        <v>350</v>
      </c>
      <c r="B1622" t="s">
        <v>351</v>
      </c>
      <c r="D1622">
        <v>37</v>
      </c>
      <c r="E1622" t="s">
        <v>75</v>
      </c>
      <c r="G1622">
        <v>7.66</v>
      </c>
      <c r="H1622">
        <v>7.6849999999999996</v>
      </c>
      <c r="I1622" t="s">
        <v>352</v>
      </c>
      <c r="K1622">
        <f t="shared" si="50"/>
        <v>7.66</v>
      </c>
      <c r="L1622">
        <f t="shared" si="51"/>
        <v>7.6849999999999996</v>
      </c>
      <c r="M1622" t="s">
        <v>293</v>
      </c>
      <c r="O1622" s="7">
        <v>44358</v>
      </c>
      <c r="P1622" s="19" t="s">
        <v>145</v>
      </c>
      <c r="U1622" t="s">
        <v>353</v>
      </c>
    </row>
    <row r="1623" spans="1:21" x14ac:dyDescent="0.15">
      <c r="A1623" t="s">
        <v>350</v>
      </c>
      <c r="B1623" t="s">
        <v>351</v>
      </c>
      <c r="D1623">
        <v>37</v>
      </c>
      <c r="E1623" t="s">
        <v>75</v>
      </c>
      <c r="G1623">
        <v>10</v>
      </c>
      <c r="H1623">
        <v>10.199999999999999</v>
      </c>
      <c r="I1623" t="s">
        <v>352</v>
      </c>
      <c r="K1623">
        <f t="shared" si="50"/>
        <v>10</v>
      </c>
      <c r="L1623">
        <f t="shared" si="51"/>
        <v>10.199999999999999</v>
      </c>
      <c r="M1623" t="s">
        <v>293</v>
      </c>
      <c r="O1623" s="7">
        <v>44364</v>
      </c>
      <c r="P1623" s="19" t="s">
        <v>145</v>
      </c>
      <c r="U1623" t="s">
        <v>353</v>
      </c>
    </row>
    <row r="1624" spans="1:21" x14ac:dyDescent="0.15">
      <c r="A1624" t="s">
        <v>350</v>
      </c>
      <c r="B1624" t="s">
        <v>351</v>
      </c>
      <c r="D1624">
        <v>37</v>
      </c>
      <c r="E1624" t="s">
        <v>75</v>
      </c>
      <c r="G1624">
        <v>19.100000000000001</v>
      </c>
      <c r="H1624">
        <v>19.2</v>
      </c>
      <c r="I1624" t="s">
        <v>352</v>
      </c>
      <c r="K1624">
        <f t="shared" si="50"/>
        <v>19.100000000000001</v>
      </c>
      <c r="L1624">
        <f t="shared" si="51"/>
        <v>19.2</v>
      </c>
      <c r="M1624" t="s">
        <v>293</v>
      </c>
      <c r="O1624" s="7">
        <v>44363</v>
      </c>
      <c r="P1624" s="19" t="s">
        <v>145</v>
      </c>
      <c r="U1624" t="s">
        <v>353</v>
      </c>
    </row>
    <row r="1625" spans="1:21" x14ac:dyDescent="0.15">
      <c r="A1625" t="s">
        <v>350</v>
      </c>
      <c r="B1625" t="s">
        <v>351</v>
      </c>
      <c r="D1625">
        <v>37</v>
      </c>
      <c r="E1625" t="s">
        <v>74</v>
      </c>
      <c r="G1625">
        <v>22.1</v>
      </c>
      <c r="H1625">
        <v>22.05</v>
      </c>
      <c r="I1625" t="s">
        <v>359</v>
      </c>
      <c r="K1625">
        <f t="shared" si="50"/>
        <v>22.05</v>
      </c>
      <c r="L1625">
        <f t="shared" si="51"/>
        <v>22.1</v>
      </c>
      <c r="M1625" t="s">
        <v>293</v>
      </c>
      <c r="O1625" s="7">
        <v>44427</v>
      </c>
      <c r="P1625" s="19" t="s">
        <v>145</v>
      </c>
      <c r="U1625" t="s">
        <v>353</v>
      </c>
    </row>
    <row r="1626" spans="1:21" x14ac:dyDescent="0.15">
      <c r="A1626" t="s">
        <v>350</v>
      </c>
      <c r="B1626" t="s">
        <v>351</v>
      </c>
      <c r="D1626">
        <v>37</v>
      </c>
      <c r="E1626" t="s">
        <v>74</v>
      </c>
      <c r="G1626">
        <v>21</v>
      </c>
      <c r="H1626">
        <v>20.95</v>
      </c>
      <c r="I1626" t="s">
        <v>359</v>
      </c>
      <c r="K1626">
        <f t="shared" si="50"/>
        <v>20.95</v>
      </c>
      <c r="L1626">
        <f t="shared" si="51"/>
        <v>21</v>
      </c>
      <c r="M1626" t="s">
        <v>293</v>
      </c>
      <c r="O1626" s="7">
        <v>44427</v>
      </c>
      <c r="P1626" s="19" t="s">
        <v>145</v>
      </c>
      <c r="U1626" t="s">
        <v>353</v>
      </c>
    </row>
    <row r="1627" spans="1:21" x14ac:dyDescent="0.15">
      <c r="A1627" t="s">
        <v>350</v>
      </c>
      <c r="B1627" t="s">
        <v>351</v>
      </c>
      <c r="D1627">
        <v>37</v>
      </c>
      <c r="E1627" t="s">
        <v>74</v>
      </c>
      <c r="G1627">
        <v>16.2</v>
      </c>
      <c r="H1627">
        <v>15.97</v>
      </c>
      <c r="I1627" t="s">
        <v>359</v>
      </c>
      <c r="K1627">
        <f t="shared" si="50"/>
        <v>15.97</v>
      </c>
      <c r="L1627">
        <f t="shared" si="51"/>
        <v>16.2</v>
      </c>
      <c r="M1627" t="s">
        <v>293</v>
      </c>
      <c r="O1627" s="7">
        <v>44358</v>
      </c>
      <c r="P1627" s="19" t="s">
        <v>145</v>
      </c>
      <c r="U1627" t="s">
        <v>353</v>
      </c>
    </row>
    <row r="1628" spans="1:21" x14ac:dyDescent="0.15">
      <c r="A1628" t="s">
        <v>350</v>
      </c>
      <c r="B1628" t="s">
        <v>351</v>
      </c>
      <c r="D1628">
        <v>37</v>
      </c>
      <c r="E1628" t="s">
        <v>74</v>
      </c>
      <c r="G1628">
        <v>11.9</v>
      </c>
      <c r="H1628">
        <v>11.7</v>
      </c>
      <c r="I1628" t="s">
        <v>359</v>
      </c>
      <c r="K1628">
        <f t="shared" si="50"/>
        <v>11.7</v>
      </c>
      <c r="L1628">
        <f t="shared" si="51"/>
        <v>11.9</v>
      </c>
      <c r="M1628" t="s">
        <v>293</v>
      </c>
      <c r="O1628" s="7">
        <v>44365</v>
      </c>
      <c r="P1628" s="19" t="s">
        <v>145</v>
      </c>
      <c r="U1628" t="s">
        <v>353</v>
      </c>
    </row>
    <row r="1629" spans="1:21" x14ac:dyDescent="0.15">
      <c r="A1629" t="s">
        <v>350</v>
      </c>
      <c r="B1629" t="s">
        <v>351</v>
      </c>
      <c r="D1629">
        <v>37</v>
      </c>
      <c r="E1629" t="s">
        <v>74</v>
      </c>
      <c r="G1629">
        <v>6.125</v>
      </c>
      <c r="H1629">
        <v>6.1</v>
      </c>
      <c r="I1629" t="s">
        <v>359</v>
      </c>
      <c r="K1629">
        <f t="shared" si="50"/>
        <v>6.1</v>
      </c>
      <c r="L1629">
        <f t="shared" si="51"/>
        <v>6.125</v>
      </c>
      <c r="M1629" t="s">
        <v>293</v>
      </c>
      <c r="O1629" s="7">
        <v>44358</v>
      </c>
      <c r="P1629" s="19" t="s">
        <v>145</v>
      </c>
      <c r="U1629" t="s">
        <v>353</v>
      </c>
    </row>
    <row r="1630" spans="1:21" x14ac:dyDescent="0.15">
      <c r="A1630" t="s">
        <v>350</v>
      </c>
      <c r="B1630" t="s">
        <v>351</v>
      </c>
      <c r="D1630">
        <v>37</v>
      </c>
      <c r="E1630" t="s">
        <v>74</v>
      </c>
      <c r="G1630">
        <v>5.95</v>
      </c>
      <c r="H1630">
        <v>5.9249999999999998</v>
      </c>
      <c r="I1630" t="s">
        <v>359</v>
      </c>
      <c r="K1630">
        <f t="shared" si="50"/>
        <v>5.9249999999999998</v>
      </c>
      <c r="L1630">
        <f t="shared" si="51"/>
        <v>5.95</v>
      </c>
      <c r="M1630" t="s">
        <v>293</v>
      </c>
      <c r="O1630" s="7">
        <v>44358</v>
      </c>
      <c r="P1630" s="19" t="s">
        <v>145</v>
      </c>
      <c r="U1630" t="s">
        <v>353</v>
      </c>
    </row>
    <row r="1631" spans="1:21" x14ac:dyDescent="0.15">
      <c r="A1631" t="s">
        <v>350</v>
      </c>
      <c r="B1631" t="s">
        <v>351</v>
      </c>
      <c r="D1631">
        <v>37</v>
      </c>
      <c r="E1631" t="s">
        <v>74</v>
      </c>
      <c r="G1631">
        <v>5.68</v>
      </c>
      <c r="H1631">
        <v>5.6550000000000002</v>
      </c>
      <c r="I1631" t="s">
        <v>359</v>
      </c>
      <c r="K1631">
        <f t="shared" si="50"/>
        <v>5.6550000000000002</v>
      </c>
      <c r="L1631">
        <f t="shared" si="51"/>
        <v>5.68</v>
      </c>
      <c r="M1631" t="s">
        <v>293</v>
      </c>
      <c r="O1631" s="7">
        <v>44358</v>
      </c>
      <c r="P1631" s="19" t="s">
        <v>145</v>
      </c>
      <c r="U1631" t="s">
        <v>353</v>
      </c>
    </row>
    <row r="1632" spans="1:21" x14ac:dyDescent="0.15">
      <c r="A1632" t="s">
        <v>350</v>
      </c>
      <c r="B1632" t="s">
        <v>351</v>
      </c>
      <c r="D1632">
        <v>37</v>
      </c>
      <c r="E1632" t="s">
        <v>74</v>
      </c>
      <c r="G1632">
        <v>4.2850000000000001</v>
      </c>
      <c r="H1632">
        <v>4.26</v>
      </c>
      <c r="I1632" t="s">
        <v>359</v>
      </c>
      <c r="K1632">
        <f t="shared" si="50"/>
        <v>4.26</v>
      </c>
      <c r="L1632">
        <f t="shared" si="51"/>
        <v>4.2850000000000001</v>
      </c>
      <c r="M1632" t="s">
        <v>293</v>
      </c>
      <c r="O1632" s="7">
        <v>44427</v>
      </c>
      <c r="P1632" s="19" t="s">
        <v>145</v>
      </c>
      <c r="U1632" t="s">
        <v>353</v>
      </c>
    </row>
    <row r="1633" spans="1:21" x14ac:dyDescent="0.15">
      <c r="A1633" t="s">
        <v>350</v>
      </c>
      <c r="B1633" t="s">
        <v>351</v>
      </c>
      <c r="D1633">
        <v>28</v>
      </c>
      <c r="E1633" t="s">
        <v>74</v>
      </c>
      <c r="G1633">
        <v>159.44999999999999</v>
      </c>
      <c r="H1633">
        <v>159.375</v>
      </c>
      <c r="I1633" t="s">
        <v>359</v>
      </c>
      <c r="K1633">
        <f t="shared" si="50"/>
        <v>159.375</v>
      </c>
      <c r="L1633">
        <f t="shared" si="51"/>
        <v>159.44999999999999</v>
      </c>
      <c r="M1633" t="s">
        <v>293</v>
      </c>
      <c r="O1633" s="7">
        <v>44440</v>
      </c>
      <c r="P1633" s="19" t="s">
        <v>145</v>
      </c>
      <c r="U1633" t="s">
        <v>354</v>
      </c>
    </row>
    <row r="1634" spans="1:21" x14ac:dyDescent="0.15">
      <c r="A1634" t="s">
        <v>350</v>
      </c>
      <c r="B1634" t="s">
        <v>351</v>
      </c>
      <c r="D1634">
        <v>28</v>
      </c>
      <c r="E1634" t="s">
        <v>74</v>
      </c>
      <c r="G1634">
        <v>158.97</v>
      </c>
      <c r="H1634">
        <v>158.94499999999999</v>
      </c>
      <c r="I1634" t="s">
        <v>359</v>
      </c>
      <c r="K1634">
        <f t="shared" si="50"/>
        <v>158.94499999999999</v>
      </c>
      <c r="L1634">
        <f t="shared" si="51"/>
        <v>158.97</v>
      </c>
      <c r="M1634" t="s">
        <v>293</v>
      </c>
      <c r="O1634" s="7">
        <v>44440</v>
      </c>
      <c r="P1634" s="19" t="s">
        <v>145</v>
      </c>
      <c r="U1634" t="s">
        <v>353</v>
      </c>
    </row>
    <row r="1635" spans="1:21" x14ac:dyDescent="0.15">
      <c r="A1635" t="s">
        <v>350</v>
      </c>
      <c r="B1635" t="s">
        <v>351</v>
      </c>
      <c r="D1635">
        <v>28</v>
      </c>
      <c r="E1635" t="s">
        <v>74</v>
      </c>
      <c r="G1635">
        <v>157.30000000000001</v>
      </c>
      <c r="H1635">
        <v>157</v>
      </c>
      <c r="I1635" t="s">
        <v>360</v>
      </c>
      <c r="K1635">
        <f t="shared" si="50"/>
        <v>157</v>
      </c>
      <c r="L1635">
        <f t="shared" si="51"/>
        <v>157.30000000000001</v>
      </c>
      <c r="O1635" s="7">
        <v>44375</v>
      </c>
      <c r="P1635" s="19"/>
      <c r="U1635" t="s">
        <v>361</v>
      </c>
    </row>
    <row r="1636" spans="1:21" x14ac:dyDescent="0.15">
      <c r="A1636" t="s">
        <v>350</v>
      </c>
      <c r="B1636" t="s">
        <v>351</v>
      </c>
      <c r="D1636">
        <v>28</v>
      </c>
      <c r="E1636" t="s">
        <v>74</v>
      </c>
      <c r="G1636">
        <v>152.72</v>
      </c>
      <c r="H1636">
        <v>152.4</v>
      </c>
      <c r="I1636" t="s">
        <v>362</v>
      </c>
      <c r="K1636">
        <f t="shared" si="50"/>
        <v>152.4</v>
      </c>
      <c r="L1636">
        <f t="shared" si="51"/>
        <v>152.72</v>
      </c>
      <c r="M1636" t="s">
        <v>293</v>
      </c>
      <c r="O1636" s="7">
        <v>44371</v>
      </c>
      <c r="P1636" s="19" t="s">
        <v>145</v>
      </c>
      <c r="U1636" t="s">
        <v>353</v>
      </c>
    </row>
    <row r="1637" spans="1:21" x14ac:dyDescent="0.15">
      <c r="A1637" t="s">
        <v>350</v>
      </c>
      <c r="B1637" t="s">
        <v>351</v>
      </c>
      <c r="D1637">
        <v>28</v>
      </c>
      <c r="E1637" t="s">
        <v>74</v>
      </c>
      <c r="G1637">
        <v>149.35</v>
      </c>
      <c r="H1637">
        <v>149.19999999999999</v>
      </c>
      <c r="I1637" t="s">
        <v>359</v>
      </c>
      <c r="K1637">
        <f t="shared" si="50"/>
        <v>149.19999999999999</v>
      </c>
      <c r="L1637">
        <f t="shared" si="51"/>
        <v>149.35</v>
      </c>
      <c r="M1637" t="s">
        <v>293</v>
      </c>
      <c r="O1637" s="7">
        <v>44309</v>
      </c>
      <c r="P1637" s="19" t="s">
        <v>145</v>
      </c>
      <c r="U1637" t="s">
        <v>353</v>
      </c>
    </row>
    <row r="1638" spans="1:21" x14ac:dyDescent="0.15">
      <c r="A1638" t="s">
        <v>350</v>
      </c>
      <c r="B1638" t="s">
        <v>351</v>
      </c>
      <c r="D1638">
        <v>28</v>
      </c>
      <c r="E1638" t="s">
        <v>74</v>
      </c>
      <c r="G1638">
        <v>147.30000000000001</v>
      </c>
      <c r="H1638">
        <v>147</v>
      </c>
      <c r="I1638" t="s">
        <v>359</v>
      </c>
      <c r="K1638">
        <f t="shared" si="50"/>
        <v>147</v>
      </c>
      <c r="L1638">
        <f t="shared" si="51"/>
        <v>147.30000000000001</v>
      </c>
      <c r="M1638" t="s">
        <v>293</v>
      </c>
      <c r="O1638" s="7">
        <v>44452</v>
      </c>
      <c r="P1638" s="19" t="s">
        <v>145</v>
      </c>
      <c r="U1638" t="s">
        <v>353</v>
      </c>
    </row>
    <row r="1639" spans="1:21" x14ac:dyDescent="0.15">
      <c r="A1639" t="s">
        <v>350</v>
      </c>
      <c r="B1639" t="s">
        <v>351</v>
      </c>
      <c r="D1639">
        <v>28</v>
      </c>
      <c r="E1639" t="s">
        <v>74</v>
      </c>
      <c r="G1639">
        <v>145.97499999999999</v>
      </c>
      <c r="H1639">
        <v>145.91</v>
      </c>
      <c r="I1639" t="s">
        <v>360</v>
      </c>
      <c r="K1639">
        <f t="shared" si="50"/>
        <v>145.91</v>
      </c>
      <c r="L1639">
        <f t="shared" si="51"/>
        <v>145.97499999999999</v>
      </c>
      <c r="M1639" t="s">
        <v>293</v>
      </c>
      <c r="O1639" s="7">
        <v>44315</v>
      </c>
      <c r="P1639" s="19" t="s">
        <v>145</v>
      </c>
      <c r="U1639" t="s">
        <v>353</v>
      </c>
    </row>
    <row r="1640" spans="1:21" x14ac:dyDescent="0.15">
      <c r="A1640" t="s">
        <v>350</v>
      </c>
      <c r="B1640" t="s">
        <v>351</v>
      </c>
      <c r="D1640">
        <v>28</v>
      </c>
      <c r="E1640" t="s">
        <v>74</v>
      </c>
      <c r="G1640">
        <v>145.4</v>
      </c>
      <c r="H1640">
        <v>145.1</v>
      </c>
      <c r="I1640" t="s">
        <v>359</v>
      </c>
      <c r="K1640">
        <f t="shared" si="50"/>
        <v>145.1</v>
      </c>
      <c r="L1640">
        <f t="shared" si="51"/>
        <v>145.4</v>
      </c>
      <c r="M1640" t="s">
        <v>293</v>
      </c>
      <c r="O1640" s="7">
        <v>44315</v>
      </c>
      <c r="P1640" s="19" t="s">
        <v>145</v>
      </c>
      <c r="U1640" t="s">
        <v>353</v>
      </c>
    </row>
    <row r="1641" spans="1:21" x14ac:dyDescent="0.15">
      <c r="A1641" t="s">
        <v>350</v>
      </c>
      <c r="B1641" t="s">
        <v>351</v>
      </c>
      <c r="D1641">
        <v>28</v>
      </c>
      <c r="E1641" t="s">
        <v>74</v>
      </c>
      <c r="G1641">
        <v>145</v>
      </c>
      <c r="H1641">
        <v>144.35</v>
      </c>
      <c r="I1641" t="s">
        <v>359</v>
      </c>
      <c r="K1641">
        <f t="shared" si="50"/>
        <v>144.35</v>
      </c>
      <c r="L1641">
        <f t="shared" si="51"/>
        <v>145</v>
      </c>
      <c r="M1641" t="s">
        <v>293</v>
      </c>
      <c r="O1641" s="7">
        <v>44315</v>
      </c>
      <c r="P1641" s="19" t="s">
        <v>145</v>
      </c>
      <c r="U1641" t="s">
        <v>353</v>
      </c>
    </row>
    <row r="1642" spans="1:21" x14ac:dyDescent="0.15">
      <c r="A1642" t="s">
        <v>350</v>
      </c>
      <c r="B1642" t="s">
        <v>351</v>
      </c>
      <c r="D1642">
        <v>28</v>
      </c>
      <c r="E1642" t="s">
        <v>74</v>
      </c>
      <c r="G1642">
        <v>143.94999999999999</v>
      </c>
      <c r="H1642">
        <v>143.4</v>
      </c>
      <c r="I1642" t="s">
        <v>359</v>
      </c>
      <c r="K1642">
        <f t="shared" si="50"/>
        <v>143.4</v>
      </c>
      <c r="L1642">
        <f t="shared" si="51"/>
        <v>143.94999999999999</v>
      </c>
      <c r="M1642" t="s">
        <v>293</v>
      </c>
      <c r="O1642" s="7">
        <v>44440</v>
      </c>
      <c r="P1642" s="19" t="s">
        <v>145</v>
      </c>
      <c r="U1642" t="s">
        <v>353</v>
      </c>
    </row>
    <row r="1643" spans="1:21" x14ac:dyDescent="0.15">
      <c r="A1643" t="s">
        <v>350</v>
      </c>
      <c r="B1643" t="s">
        <v>351</v>
      </c>
      <c r="D1643">
        <v>28</v>
      </c>
      <c r="E1643" t="s">
        <v>74</v>
      </c>
      <c r="G1643">
        <v>143.58000000000001</v>
      </c>
      <c r="H1643" t="s">
        <v>355</v>
      </c>
      <c r="I1643" t="s">
        <v>360</v>
      </c>
      <c r="K1643">
        <f t="shared" si="50"/>
        <v>143.58000000000001</v>
      </c>
      <c r="L1643">
        <f t="shared" si="51"/>
        <v>143.58000000000001</v>
      </c>
      <c r="O1643" s="7">
        <v>44448</v>
      </c>
      <c r="P1643" s="19"/>
      <c r="U1643" t="s">
        <v>356</v>
      </c>
    </row>
    <row r="1644" spans="1:21" x14ac:dyDescent="0.15">
      <c r="A1644" t="s">
        <v>350</v>
      </c>
      <c r="B1644" t="s">
        <v>351</v>
      </c>
      <c r="D1644">
        <v>28</v>
      </c>
      <c r="E1644" t="s">
        <v>74</v>
      </c>
      <c r="G1644">
        <v>143.58000000000001</v>
      </c>
      <c r="H1644" t="s">
        <v>355</v>
      </c>
      <c r="I1644" t="s">
        <v>359</v>
      </c>
      <c r="K1644">
        <f t="shared" si="50"/>
        <v>143.58000000000001</v>
      </c>
      <c r="L1644">
        <f t="shared" si="51"/>
        <v>143.58000000000001</v>
      </c>
      <c r="O1644" s="7">
        <v>44448</v>
      </c>
      <c r="P1644" s="19"/>
      <c r="U1644" t="s">
        <v>356</v>
      </c>
    </row>
    <row r="1645" spans="1:21" x14ac:dyDescent="0.15">
      <c r="A1645" t="s">
        <v>350</v>
      </c>
      <c r="B1645" t="s">
        <v>351</v>
      </c>
      <c r="D1645">
        <v>28</v>
      </c>
      <c r="E1645" t="s">
        <v>74</v>
      </c>
      <c r="G1645">
        <v>141.94999999999999</v>
      </c>
      <c r="H1645">
        <v>141.6</v>
      </c>
      <c r="I1645" t="s">
        <v>359</v>
      </c>
      <c r="K1645">
        <f t="shared" si="50"/>
        <v>141.6</v>
      </c>
      <c r="L1645">
        <f t="shared" si="51"/>
        <v>141.94999999999999</v>
      </c>
      <c r="M1645" t="s">
        <v>293</v>
      </c>
      <c r="O1645" s="7">
        <v>44446</v>
      </c>
      <c r="P1645" s="19" t="s">
        <v>145</v>
      </c>
      <c r="U1645" t="s">
        <v>353</v>
      </c>
    </row>
    <row r="1646" spans="1:21" x14ac:dyDescent="0.15">
      <c r="A1646" t="s">
        <v>350</v>
      </c>
      <c r="B1646" t="s">
        <v>351</v>
      </c>
      <c r="D1646">
        <v>28</v>
      </c>
      <c r="E1646" t="s">
        <v>74</v>
      </c>
      <c r="G1646">
        <v>141.72</v>
      </c>
      <c r="H1646" t="s">
        <v>355</v>
      </c>
      <c r="I1646" t="s">
        <v>359</v>
      </c>
      <c r="K1646">
        <f t="shared" si="50"/>
        <v>141.72</v>
      </c>
      <c r="L1646">
        <f t="shared" si="51"/>
        <v>141.72</v>
      </c>
      <c r="O1646" s="7">
        <v>44452</v>
      </c>
      <c r="P1646" s="19"/>
      <c r="U1646" t="s">
        <v>364</v>
      </c>
    </row>
    <row r="1647" spans="1:21" x14ac:dyDescent="0.15">
      <c r="A1647" t="s">
        <v>350</v>
      </c>
      <c r="B1647" t="s">
        <v>351</v>
      </c>
      <c r="D1647">
        <v>28</v>
      </c>
      <c r="E1647" t="s">
        <v>74</v>
      </c>
      <c r="G1647">
        <v>140.9</v>
      </c>
      <c r="H1647">
        <v>140.535</v>
      </c>
      <c r="I1647" t="s">
        <v>359</v>
      </c>
      <c r="K1647">
        <f t="shared" si="50"/>
        <v>140.535</v>
      </c>
      <c r="L1647">
        <f t="shared" si="51"/>
        <v>140.9</v>
      </c>
      <c r="M1647" t="s">
        <v>293</v>
      </c>
      <c r="O1647" s="7">
        <v>44446</v>
      </c>
      <c r="P1647" s="19" t="s">
        <v>145</v>
      </c>
      <c r="U1647" t="s">
        <v>353</v>
      </c>
    </row>
    <row r="1648" spans="1:21" x14ac:dyDescent="0.15">
      <c r="A1648" t="s">
        <v>350</v>
      </c>
      <c r="B1648" t="s">
        <v>351</v>
      </c>
      <c r="D1648">
        <v>28</v>
      </c>
      <c r="E1648" t="s">
        <v>76</v>
      </c>
      <c r="F1648" t="s">
        <v>167</v>
      </c>
      <c r="G1648">
        <v>140.9</v>
      </c>
      <c r="H1648">
        <v>140.535</v>
      </c>
      <c r="I1648" t="s">
        <v>91</v>
      </c>
      <c r="K1648">
        <f t="shared" si="50"/>
        <v>140.535</v>
      </c>
      <c r="L1648">
        <f t="shared" si="51"/>
        <v>140.9</v>
      </c>
      <c r="M1648" t="s">
        <v>293</v>
      </c>
      <c r="O1648" s="7">
        <v>44446</v>
      </c>
      <c r="P1648" s="19" t="s">
        <v>145</v>
      </c>
      <c r="U1648" t="s">
        <v>353</v>
      </c>
    </row>
    <row r="1649" spans="1:21" x14ac:dyDescent="0.15">
      <c r="A1649" t="s">
        <v>350</v>
      </c>
      <c r="B1649" t="s">
        <v>351</v>
      </c>
      <c r="D1649">
        <v>28</v>
      </c>
      <c r="E1649" t="s">
        <v>74</v>
      </c>
      <c r="G1649">
        <v>140.47499999999999</v>
      </c>
      <c r="H1649">
        <v>140.35</v>
      </c>
      <c r="I1649" t="s">
        <v>359</v>
      </c>
      <c r="K1649">
        <f t="shared" si="50"/>
        <v>140.35</v>
      </c>
      <c r="L1649">
        <f t="shared" si="51"/>
        <v>140.47499999999999</v>
      </c>
      <c r="M1649" t="s">
        <v>293</v>
      </c>
      <c r="O1649" s="7">
        <v>44446</v>
      </c>
      <c r="P1649" s="19" t="s">
        <v>145</v>
      </c>
      <c r="U1649" t="s">
        <v>353</v>
      </c>
    </row>
    <row r="1650" spans="1:21" x14ac:dyDescent="0.15">
      <c r="A1650" t="s">
        <v>350</v>
      </c>
      <c r="B1650" t="s">
        <v>351</v>
      </c>
      <c r="D1650">
        <v>28</v>
      </c>
      <c r="E1650" t="s">
        <v>76</v>
      </c>
      <c r="F1650" t="s">
        <v>167</v>
      </c>
      <c r="G1650">
        <v>140.47499999999999</v>
      </c>
      <c r="H1650">
        <v>140.35</v>
      </c>
      <c r="I1650" t="s">
        <v>91</v>
      </c>
      <c r="K1650">
        <f t="shared" si="50"/>
        <v>140.35</v>
      </c>
      <c r="L1650">
        <f t="shared" si="51"/>
        <v>140.47499999999999</v>
      </c>
      <c r="M1650" t="s">
        <v>293</v>
      </c>
      <c r="O1650" s="7">
        <v>44446</v>
      </c>
      <c r="P1650" s="19" t="s">
        <v>145</v>
      </c>
      <c r="U1650" t="s">
        <v>353</v>
      </c>
    </row>
    <row r="1651" spans="1:21" x14ac:dyDescent="0.15">
      <c r="A1651" t="s">
        <v>350</v>
      </c>
      <c r="B1651" t="s">
        <v>351</v>
      </c>
      <c r="D1651">
        <v>28</v>
      </c>
      <c r="E1651" t="s">
        <v>74</v>
      </c>
      <c r="G1651" t="s">
        <v>366</v>
      </c>
      <c r="H1651" t="s">
        <v>355</v>
      </c>
      <c r="I1651" t="s">
        <v>211</v>
      </c>
      <c r="K1651">
        <f t="shared" si="50"/>
        <v>0</v>
      </c>
      <c r="L1651">
        <f t="shared" si="51"/>
        <v>0</v>
      </c>
      <c r="M1651" t="s">
        <v>293</v>
      </c>
      <c r="O1651" s="7">
        <v>44446</v>
      </c>
      <c r="P1651" s="19" t="s">
        <v>145</v>
      </c>
      <c r="U1651" t="s">
        <v>353</v>
      </c>
    </row>
    <row r="1652" spans="1:21" x14ac:dyDescent="0.15">
      <c r="A1652" t="s">
        <v>350</v>
      </c>
      <c r="B1652" t="s">
        <v>351</v>
      </c>
      <c r="D1652">
        <v>28</v>
      </c>
      <c r="E1652" t="s">
        <v>74</v>
      </c>
      <c r="G1652">
        <v>140.38999999999999</v>
      </c>
      <c r="H1652" t="s">
        <v>355</v>
      </c>
      <c r="I1652" t="s">
        <v>365</v>
      </c>
      <c r="K1652">
        <f t="shared" si="50"/>
        <v>140.38999999999999</v>
      </c>
      <c r="L1652">
        <f t="shared" si="51"/>
        <v>140.38999999999999</v>
      </c>
      <c r="O1652" s="7">
        <v>44452</v>
      </c>
      <c r="P1652" s="19"/>
      <c r="U1652" t="s">
        <v>364</v>
      </c>
    </row>
    <row r="1653" spans="1:21" x14ac:dyDescent="0.15">
      <c r="A1653" t="s">
        <v>350</v>
      </c>
      <c r="B1653" t="s">
        <v>351</v>
      </c>
      <c r="D1653">
        <v>28</v>
      </c>
      <c r="E1653" t="s">
        <v>74</v>
      </c>
      <c r="G1653">
        <v>141.19999999999999</v>
      </c>
      <c r="H1653">
        <v>140.30000000000001</v>
      </c>
      <c r="I1653" t="s">
        <v>360</v>
      </c>
      <c r="K1653">
        <f t="shared" si="50"/>
        <v>140.30000000000001</v>
      </c>
      <c r="L1653">
        <f t="shared" si="51"/>
        <v>141.19999999999999</v>
      </c>
      <c r="M1653" t="s">
        <v>293</v>
      </c>
      <c r="O1653" s="7">
        <v>44445</v>
      </c>
      <c r="P1653" s="19" t="s">
        <v>145</v>
      </c>
      <c r="U1653" t="s">
        <v>353</v>
      </c>
    </row>
    <row r="1654" spans="1:21" x14ac:dyDescent="0.15">
      <c r="A1654" t="s">
        <v>350</v>
      </c>
      <c r="B1654" t="s">
        <v>351</v>
      </c>
      <c r="D1654">
        <v>28</v>
      </c>
      <c r="E1654" t="s">
        <v>74</v>
      </c>
      <c r="G1654">
        <v>133.42500000000001</v>
      </c>
      <c r="H1654">
        <v>133.4</v>
      </c>
      <c r="I1654" t="s">
        <v>359</v>
      </c>
      <c r="K1654">
        <f t="shared" si="50"/>
        <v>133.4</v>
      </c>
      <c r="L1654">
        <f t="shared" si="51"/>
        <v>133.42500000000001</v>
      </c>
      <c r="O1654" s="7">
        <v>44453</v>
      </c>
      <c r="P1654" s="19"/>
      <c r="U1654" t="s">
        <v>367</v>
      </c>
    </row>
    <row r="1655" spans="1:21" x14ac:dyDescent="0.15">
      <c r="A1655" t="s">
        <v>350</v>
      </c>
      <c r="B1655" t="s">
        <v>351</v>
      </c>
      <c r="D1655">
        <v>28</v>
      </c>
      <c r="E1655" t="s">
        <v>74</v>
      </c>
      <c r="G1655">
        <v>133.11000000000001</v>
      </c>
      <c r="H1655">
        <v>133</v>
      </c>
      <c r="I1655" t="s">
        <v>359</v>
      </c>
      <c r="K1655">
        <f t="shared" si="50"/>
        <v>133</v>
      </c>
      <c r="L1655">
        <f t="shared" si="51"/>
        <v>133.11000000000001</v>
      </c>
      <c r="O1655" s="7">
        <v>44453</v>
      </c>
      <c r="P1655" s="19"/>
      <c r="U1655" t="s">
        <v>367</v>
      </c>
    </row>
    <row r="1656" spans="1:21" x14ac:dyDescent="0.15">
      <c r="A1656" t="s">
        <v>350</v>
      </c>
      <c r="B1656" t="s">
        <v>351</v>
      </c>
      <c r="D1656">
        <v>28</v>
      </c>
      <c r="E1656" t="s">
        <v>74</v>
      </c>
      <c r="G1656">
        <v>133.18</v>
      </c>
      <c r="H1656">
        <v>133.155</v>
      </c>
      <c r="I1656" t="s">
        <v>359</v>
      </c>
      <c r="K1656">
        <f t="shared" si="50"/>
        <v>133.155</v>
      </c>
      <c r="L1656">
        <f t="shared" si="51"/>
        <v>133.18</v>
      </c>
      <c r="M1656" t="s">
        <v>293</v>
      </c>
      <c r="O1656" s="7">
        <v>44453</v>
      </c>
      <c r="P1656" s="19" t="s">
        <v>145</v>
      </c>
      <c r="U1656" t="s">
        <v>353</v>
      </c>
    </row>
    <row r="1657" spans="1:21" x14ac:dyDescent="0.15">
      <c r="A1657" t="s">
        <v>350</v>
      </c>
      <c r="B1657" t="s">
        <v>351</v>
      </c>
      <c r="D1657">
        <v>28</v>
      </c>
      <c r="E1657" t="s">
        <v>74</v>
      </c>
      <c r="G1657">
        <v>133.61000000000001</v>
      </c>
      <c r="H1657">
        <v>133.13999999999999</v>
      </c>
      <c r="I1657" t="s">
        <v>368</v>
      </c>
      <c r="K1657">
        <f t="shared" si="50"/>
        <v>133.13999999999999</v>
      </c>
      <c r="L1657">
        <f t="shared" si="51"/>
        <v>133.61000000000001</v>
      </c>
      <c r="M1657" t="s">
        <v>293</v>
      </c>
      <c r="O1657" s="7">
        <v>44453</v>
      </c>
      <c r="P1657" s="19" t="s">
        <v>145</v>
      </c>
      <c r="U1657" t="s">
        <v>354</v>
      </c>
    </row>
    <row r="1658" spans="1:21" x14ac:dyDescent="0.15">
      <c r="A1658" t="s">
        <v>350</v>
      </c>
      <c r="B1658" t="s">
        <v>351</v>
      </c>
      <c r="D1658">
        <v>28</v>
      </c>
      <c r="E1658" t="s">
        <v>74</v>
      </c>
      <c r="G1658">
        <v>132.91499999999999</v>
      </c>
      <c r="H1658">
        <v>132.97999999999999</v>
      </c>
      <c r="I1658" t="s">
        <v>359</v>
      </c>
      <c r="K1658">
        <f t="shared" si="50"/>
        <v>132.91499999999999</v>
      </c>
      <c r="L1658">
        <f t="shared" si="51"/>
        <v>132.97999999999999</v>
      </c>
      <c r="M1658" t="s">
        <v>293</v>
      </c>
      <c r="O1658" s="7">
        <v>44453</v>
      </c>
      <c r="P1658" s="19" t="s">
        <v>145</v>
      </c>
      <c r="U1658" t="s">
        <v>369</v>
      </c>
    </row>
    <row r="1659" spans="1:21" x14ac:dyDescent="0.15">
      <c r="A1659" t="s">
        <v>350</v>
      </c>
      <c r="B1659" t="s">
        <v>351</v>
      </c>
      <c r="D1659">
        <v>28</v>
      </c>
      <c r="E1659" t="s">
        <v>74</v>
      </c>
      <c r="G1659">
        <v>130.97999999999999</v>
      </c>
      <c r="H1659">
        <v>130.95500000000001</v>
      </c>
      <c r="J1659" t="s">
        <v>23</v>
      </c>
      <c r="K1659">
        <f t="shared" si="50"/>
        <v>130.95500000000001</v>
      </c>
      <c r="L1659">
        <f t="shared" si="51"/>
        <v>130.97999999999999</v>
      </c>
      <c r="M1659" t="s">
        <v>293</v>
      </c>
      <c r="O1659" s="7">
        <v>44309</v>
      </c>
      <c r="P1659" s="19" t="s">
        <v>145</v>
      </c>
      <c r="U1659" t="s">
        <v>353</v>
      </c>
    </row>
    <row r="1660" spans="1:21" x14ac:dyDescent="0.15">
      <c r="A1660" t="s">
        <v>350</v>
      </c>
      <c r="B1660" t="s">
        <v>351</v>
      </c>
      <c r="D1660">
        <v>28</v>
      </c>
      <c r="E1660" t="s">
        <v>74</v>
      </c>
      <c r="G1660">
        <v>130.125</v>
      </c>
      <c r="H1660">
        <v>130.1</v>
      </c>
      <c r="I1660" t="s">
        <v>359</v>
      </c>
      <c r="K1660">
        <f t="shared" si="50"/>
        <v>130.1</v>
      </c>
      <c r="L1660">
        <f t="shared" si="51"/>
        <v>130.125</v>
      </c>
      <c r="M1660" t="s">
        <v>293</v>
      </c>
      <c r="O1660" s="7">
        <v>44309</v>
      </c>
      <c r="P1660" s="19" t="s">
        <v>145</v>
      </c>
      <c r="U1660" t="s">
        <v>353</v>
      </c>
    </row>
    <row r="1661" spans="1:21" x14ac:dyDescent="0.15">
      <c r="A1661" t="s">
        <v>350</v>
      </c>
      <c r="B1661" t="s">
        <v>351</v>
      </c>
      <c r="D1661">
        <v>28</v>
      </c>
      <c r="E1661" t="s">
        <v>74</v>
      </c>
      <c r="G1661">
        <v>128.9</v>
      </c>
      <c r="H1661">
        <v>128.4</v>
      </c>
      <c r="I1661" t="s">
        <v>359</v>
      </c>
      <c r="K1661">
        <f t="shared" si="50"/>
        <v>128.4</v>
      </c>
      <c r="L1661">
        <f t="shared" si="51"/>
        <v>128.9</v>
      </c>
      <c r="M1661" t="s">
        <v>293</v>
      </c>
      <c r="O1661" s="7">
        <v>44376</v>
      </c>
      <c r="P1661" s="19" t="s">
        <v>145</v>
      </c>
      <c r="U1661" t="s">
        <v>353</v>
      </c>
    </row>
    <row r="1662" spans="1:21" x14ac:dyDescent="0.15">
      <c r="A1662" t="s">
        <v>350</v>
      </c>
      <c r="B1662" t="s">
        <v>351</v>
      </c>
      <c r="D1662">
        <v>28</v>
      </c>
      <c r="E1662" t="s">
        <v>74</v>
      </c>
      <c r="G1662">
        <v>128.69999999999999</v>
      </c>
      <c r="H1662" t="s">
        <v>355</v>
      </c>
      <c r="I1662" t="s">
        <v>359</v>
      </c>
      <c r="K1662">
        <f t="shared" si="50"/>
        <v>128.69999999999999</v>
      </c>
      <c r="L1662">
        <f t="shared" si="51"/>
        <v>128.69999999999999</v>
      </c>
      <c r="O1662" s="7">
        <v>44456</v>
      </c>
      <c r="P1662" s="19"/>
      <c r="U1662" t="s">
        <v>370</v>
      </c>
    </row>
    <row r="1663" spans="1:21" x14ac:dyDescent="0.15">
      <c r="A1663" t="s">
        <v>350</v>
      </c>
      <c r="B1663" t="s">
        <v>351</v>
      </c>
      <c r="D1663">
        <v>28</v>
      </c>
      <c r="E1663" t="s">
        <v>74</v>
      </c>
      <c r="G1663">
        <v>128.46</v>
      </c>
      <c r="H1663" t="s">
        <v>355</v>
      </c>
      <c r="I1663" t="s">
        <v>363</v>
      </c>
      <c r="K1663">
        <f t="shared" si="50"/>
        <v>128.46</v>
      </c>
      <c r="L1663">
        <f t="shared" si="51"/>
        <v>128.46</v>
      </c>
      <c r="O1663" s="7">
        <v>44456</v>
      </c>
      <c r="P1663" s="19"/>
      <c r="U1663" t="s">
        <v>356</v>
      </c>
    </row>
    <row r="1664" spans="1:21" x14ac:dyDescent="0.15">
      <c r="A1664" t="s">
        <v>350</v>
      </c>
      <c r="B1664" t="s">
        <v>351</v>
      </c>
      <c r="D1664">
        <v>28</v>
      </c>
      <c r="E1664" t="s">
        <v>74</v>
      </c>
      <c r="G1664">
        <v>128.4</v>
      </c>
      <c r="H1664">
        <v>127.8</v>
      </c>
      <c r="I1664" t="s">
        <v>359</v>
      </c>
      <c r="K1664">
        <f t="shared" si="50"/>
        <v>127.8</v>
      </c>
      <c r="L1664">
        <f t="shared" si="51"/>
        <v>128.4</v>
      </c>
      <c r="M1664" t="s">
        <v>293</v>
      </c>
      <c r="O1664" s="7">
        <v>44376</v>
      </c>
      <c r="P1664" s="19" t="s">
        <v>145</v>
      </c>
      <c r="U1664" t="s">
        <v>353</v>
      </c>
    </row>
    <row r="1665" spans="1:21" x14ac:dyDescent="0.15">
      <c r="A1665" t="s">
        <v>350</v>
      </c>
      <c r="B1665" t="s">
        <v>351</v>
      </c>
      <c r="D1665">
        <v>28</v>
      </c>
      <c r="E1665" t="s">
        <v>74</v>
      </c>
      <c r="G1665">
        <v>128.1</v>
      </c>
      <c r="H1665">
        <v>127.6</v>
      </c>
      <c r="I1665" t="s">
        <v>362</v>
      </c>
      <c r="K1665">
        <f t="shared" ref="K1665:K1728" si="52">MIN(G1665:H1665)</f>
        <v>127.6</v>
      </c>
      <c r="L1665">
        <f t="shared" ref="L1665:L1728" si="53">MAX(G1665:H1665)</f>
        <v>128.1</v>
      </c>
      <c r="M1665" t="s">
        <v>293</v>
      </c>
      <c r="O1665" s="7">
        <v>44376</v>
      </c>
      <c r="P1665" s="19" t="s">
        <v>145</v>
      </c>
      <c r="U1665" t="s">
        <v>353</v>
      </c>
    </row>
    <row r="1666" spans="1:21" x14ac:dyDescent="0.15">
      <c r="A1666" t="s">
        <v>350</v>
      </c>
      <c r="B1666" t="s">
        <v>351</v>
      </c>
      <c r="D1666">
        <v>28</v>
      </c>
      <c r="E1666" t="s">
        <v>74</v>
      </c>
      <c r="G1666">
        <v>127.5</v>
      </c>
      <c r="H1666">
        <v>126.7</v>
      </c>
      <c r="I1666" t="s">
        <v>359</v>
      </c>
      <c r="K1666">
        <f t="shared" si="52"/>
        <v>126.7</v>
      </c>
      <c r="L1666">
        <f t="shared" si="53"/>
        <v>127.5</v>
      </c>
      <c r="M1666" t="s">
        <v>293</v>
      </c>
      <c r="O1666" s="7">
        <v>44378</v>
      </c>
      <c r="P1666" s="19" t="s">
        <v>145</v>
      </c>
      <c r="U1666" t="s">
        <v>353</v>
      </c>
    </row>
    <row r="1667" spans="1:21" x14ac:dyDescent="0.15">
      <c r="A1667" t="s">
        <v>350</v>
      </c>
      <c r="B1667" t="s">
        <v>351</v>
      </c>
      <c r="D1667">
        <v>28</v>
      </c>
      <c r="E1667" t="s">
        <v>74</v>
      </c>
      <c r="G1667">
        <v>126.19</v>
      </c>
      <c r="H1667">
        <v>126.16500000000001</v>
      </c>
      <c r="I1667" t="s">
        <v>359</v>
      </c>
      <c r="K1667">
        <f t="shared" si="52"/>
        <v>126.16500000000001</v>
      </c>
      <c r="L1667">
        <f t="shared" si="53"/>
        <v>126.19</v>
      </c>
      <c r="M1667" t="s">
        <v>293</v>
      </c>
      <c r="O1667" s="7">
        <v>44378</v>
      </c>
      <c r="P1667" s="19" t="s">
        <v>145</v>
      </c>
      <c r="U1667" t="s">
        <v>353</v>
      </c>
    </row>
    <row r="1668" spans="1:21" x14ac:dyDescent="0.15">
      <c r="A1668" t="s">
        <v>350</v>
      </c>
      <c r="B1668" t="s">
        <v>351</v>
      </c>
      <c r="D1668">
        <v>28</v>
      </c>
      <c r="E1668" t="s">
        <v>74</v>
      </c>
      <c r="G1668">
        <v>125.28</v>
      </c>
      <c r="H1668">
        <v>125.255</v>
      </c>
      <c r="I1668" t="s">
        <v>359</v>
      </c>
      <c r="K1668">
        <f t="shared" si="52"/>
        <v>125.255</v>
      </c>
      <c r="L1668">
        <f t="shared" si="53"/>
        <v>125.28</v>
      </c>
      <c r="M1668" t="s">
        <v>293</v>
      </c>
      <c r="O1668" s="7">
        <v>44378</v>
      </c>
      <c r="P1668" s="19" t="s">
        <v>145</v>
      </c>
      <c r="U1668" t="s">
        <v>353</v>
      </c>
    </row>
    <row r="1669" spans="1:21" x14ac:dyDescent="0.15">
      <c r="A1669" t="s">
        <v>350</v>
      </c>
      <c r="B1669" t="s">
        <v>351</v>
      </c>
      <c r="D1669">
        <v>28</v>
      </c>
      <c r="E1669" t="s">
        <v>74</v>
      </c>
      <c r="G1669">
        <v>124.37</v>
      </c>
      <c r="H1669">
        <v>124.345</v>
      </c>
      <c r="I1669" t="s">
        <v>359</v>
      </c>
      <c r="K1669">
        <f t="shared" si="52"/>
        <v>124.345</v>
      </c>
      <c r="L1669">
        <f t="shared" si="53"/>
        <v>124.37</v>
      </c>
      <c r="M1669" t="s">
        <v>293</v>
      </c>
      <c r="O1669" s="7">
        <v>44378</v>
      </c>
      <c r="P1669" s="19" t="s">
        <v>145</v>
      </c>
      <c r="U1669" t="s">
        <v>353</v>
      </c>
    </row>
    <row r="1670" spans="1:21" x14ac:dyDescent="0.15">
      <c r="A1670" t="s">
        <v>350</v>
      </c>
      <c r="B1670" t="s">
        <v>351</v>
      </c>
      <c r="D1670">
        <v>28</v>
      </c>
      <c r="E1670" t="s">
        <v>74</v>
      </c>
      <c r="G1670">
        <v>124.255</v>
      </c>
      <c r="H1670">
        <v>124.23</v>
      </c>
      <c r="I1670" t="s">
        <v>359</v>
      </c>
      <c r="K1670">
        <f t="shared" si="52"/>
        <v>124.23</v>
      </c>
      <c r="L1670">
        <f t="shared" si="53"/>
        <v>124.255</v>
      </c>
      <c r="M1670" t="s">
        <v>293</v>
      </c>
      <c r="O1670" s="7">
        <v>44378</v>
      </c>
      <c r="P1670" s="19" t="s">
        <v>145</v>
      </c>
      <c r="U1670" t="s">
        <v>353</v>
      </c>
    </row>
    <row r="1671" spans="1:21" x14ac:dyDescent="0.15">
      <c r="A1671" t="s">
        <v>350</v>
      </c>
      <c r="B1671" t="s">
        <v>351</v>
      </c>
      <c r="D1671">
        <v>28</v>
      </c>
      <c r="E1671" t="s">
        <v>74</v>
      </c>
      <c r="G1671">
        <v>122.86</v>
      </c>
      <c r="H1671">
        <v>122.83499999999999</v>
      </c>
      <c r="I1671" t="s">
        <v>359</v>
      </c>
      <c r="K1671">
        <f t="shared" si="52"/>
        <v>122.83499999999999</v>
      </c>
      <c r="L1671">
        <f t="shared" si="53"/>
        <v>122.86</v>
      </c>
      <c r="M1671" t="s">
        <v>293</v>
      </c>
      <c r="O1671" s="7">
        <v>44323</v>
      </c>
      <c r="P1671" s="19" t="s">
        <v>145</v>
      </c>
      <c r="U1671" t="s">
        <v>353</v>
      </c>
    </row>
    <row r="1672" spans="1:21" x14ac:dyDescent="0.15">
      <c r="A1672" t="s">
        <v>350</v>
      </c>
      <c r="B1672" t="s">
        <v>351</v>
      </c>
      <c r="D1672">
        <v>28</v>
      </c>
      <c r="E1672" t="s">
        <v>74</v>
      </c>
      <c r="G1672">
        <v>122.61</v>
      </c>
      <c r="H1672">
        <v>122.58499999999999</v>
      </c>
      <c r="I1672" t="s">
        <v>359</v>
      </c>
      <c r="K1672">
        <f t="shared" si="52"/>
        <v>122.58499999999999</v>
      </c>
      <c r="L1672">
        <f t="shared" si="53"/>
        <v>122.61</v>
      </c>
      <c r="M1672" t="s">
        <v>293</v>
      </c>
      <c r="O1672" s="7">
        <v>44323</v>
      </c>
      <c r="P1672" s="19" t="s">
        <v>145</v>
      </c>
      <c r="U1672" t="s">
        <v>353</v>
      </c>
    </row>
    <row r="1673" spans="1:21" x14ac:dyDescent="0.15">
      <c r="A1673" t="s">
        <v>350</v>
      </c>
      <c r="B1673" t="s">
        <v>351</v>
      </c>
      <c r="D1673">
        <v>28</v>
      </c>
      <c r="E1673" t="s">
        <v>74</v>
      </c>
      <c r="G1673">
        <v>122.5</v>
      </c>
      <c r="H1673">
        <v>122.45</v>
      </c>
      <c r="I1673" t="s">
        <v>359</v>
      </c>
      <c r="K1673">
        <f t="shared" si="52"/>
        <v>122.45</v>
      </c>
      <c r="L1673">
        <f t="shared" si="53"/>
        <v>122.5</v>
      </c>
      <c r="M1673" t="s">
        <v>293</v>
      </c>
      <c r="O1673" s="7">
        <v>44323</v>
      </c>
      <c r="P1673" s="19" t="s">
        <v>145</v>
      </c>
      <c r="U1673" t="s">
        <v>353</v>
      </c>
    </row>
    <row r="1674" spans="1:21" x14ac:dyDescent="0.15">
      <c r="A1674" t="s">
        <v>350</v>
      </c>
      <c r="B1674" t="s">
        <v>351</v>
      </c>
      <c r="D1674">
        <v>28</v>
      </c>
      <c r="E1674" t="s">
        <v>74</v>
      </c>
      <c r="G1674">
        <v>122.3</v>
      </c>
      <c r="H1674">
        <v>122.1</v>
      </c>
      <c r="I1674" t="s">
        <v>359</v>
      </c>
      <c r="K1674">
        <f t="shared" si="52"/>
        <v>122.1</v>
      </c>
      <c r="L1674">
        <f t="shared" si="53"/>
        <v>122.3</v>
      </c>
      <c r="M1674" t="s">
        <v>293</v>
      </c>
      <c r="O1674" s="7">
        <v>44323</v>
      </c>
      <c r="P1674" s="19" t="s">
        <v>145</v>
      </c>
      <c r="U1674" t="s">
        <v>353</v>
      </c>
    </row>
    <row r="1675" spans="1:21" x14ac:dyDescent="0.15">
      <c r="A1675" t="s">
        <v>350</v>
      </c>
      <c r="B1675" t="s">
        <v>351</v>
      </c>
      <c r="D1675">
        <v>28</v>
      </c>
      <c r="E1675" t="s">
        <v>74</v>
      </c>
      <c r="G1675">
        <v>121.7</v>
      </c>
      <c r="H1675">
        <v>121.4</v>
      </c>
      <c r="I1675" t="s">
        <v>360</v>
      </c>
      <c r="K1675">
        <f t="shared" si="52"/>
        <v>121.4</v>
      </c>
      <c r="L1675">
        <f t="shared" si="53"/>
        <v>121.7</v>
      </c>
      <c r="M1675" t="s">
        <v>293</v>
      </c>
      <c r="O1675" s="7">
        <v>44319</v>
      </c>
      <c r="P1675" s="19" t="s">
        <v>145</v>
      </c>
      <c r="U1675" t="s">
        <v>353</v>
      </c>
    </row>
    <row r="1676" spans="1:21" x14ac:dyDescent="0.15">
      <c r="A1676" t="s">
        <v>350</v>
      </c>
      <c r="B1676" t="s">
        <v>351</v>
      </c>
      <c r="D1676">
        <v>28</v>
      </c>
      <c r="E1676" t="s">
        <v>74</v>
      </c>
      <c r="G1676">
        <v>121.55</v>
      </c>
      <c r="H1676">
        <v>121.5</v>
      </c>
      <c r="I1676" t="s">
        <v>359</v>
      </c>
      <c r="K1676">
        <f t="shared" si="52"/>
        <v>121.5</v>
      </c>
      <c r="L1676">
        <f t="shared" si="53"/>
        <v>121.55</v>
      </c>
      <c r="M1676" t="s">
        <v>293</v>
      </c>
      <c r="O1676" s="7">
        <v>44323</v>
      </c>
      <c r="P1676" s="19" t="s">
        <v>145</v>
      </c>
      <c r="U1676" t="s">
        <v>353</v>
      </c>
    </row>
    <row r="1677" spans="1:21" x14ac:dyDescent="0.15">
      <c r="A1677" t="s">
        <v>350</v>
      </c>
      <c r="B1677" t="s">
        <v>351</v>
      </c>
      <c r="D1677">
        <v>28</v>
      </c>
      <c r="E1677" t="s">
        <v>74</v>
      </c>
      <c r="G1677">
        <v>119.9</v>
      </c>
      <c r="H1677">
        <v>119.8</v>
      </c>
      <c r="I1677" t="s">
        <v>359</v>
      </c>
      <c r="K1677">
        <f t="shared" si="52"/>
        <v>119.8</v>
      </c>
      <c r="L1677">
        <f t="shared" si="53"/>
        <v>119.9</v>
      </c>
      <c r="M1677" t="s">
        <v>293</v>
      </c>
      <c r="O1677" s="7">
        <v>44455</v>
      </c>
      <c r="P1677" s="19" t="s">
        <v>145</v>
      </c>
      <c r="U1677" t="s">
        <v>353</v>
      </c>
    </row>
    <row r="1678" spans="1:21" x14ac:dyDescent="0.15">
      <c r="A1678" t="s">
        <v>350</v>
      </c>
      <c r="B1678" t="s">
        <v>351</v>
      </c>
      <c r="D1678">
        <v>28</v>
      </c>
      <c r="E1678" t="s">
        <v>74</v>
      </c>
      <c r="G1678">
        <v>119.7</v>
      </c>
      <c r="H1678">
        <v>118.8</v>
      </c>
      <c r="I1678" t="s">
        <v>359</v>
      </c>
      <c r="K1678">
        <f t="shared" si="52"/>
        <v>118.8</v>
      </c>
      <c r="L1678">
        <f t="shared" si="53"/>
        <v>119.7</v>
      </c>
      <c r="M1678" t="s">
        <v>293</v>
      </c>
      <c r="O1678" s="7">
        <v>44455</v>
      </c>
      <c r="P1678" s="19" t="s">
        <v>145</v>
      </c>
      <c r="U1678" t="s">
        <v>371</v>
      </c>
    </row>
    <row r="1679" spans="1:21" x14ac:dyDescent="0.15">
      <c r="A1679" t="s">
        <v>350</v>
      </c>
      <c r="B1679" t="s">
        <v>351</v>
      </c>
      <c r="D1679">
        <v>28</v>
      </c>
      <c r="E1679" t="s">
        <v>74</v>
      </c>
      <c r="G1679">
        <v>118.6</v>
      </c>
      <c r="H1679">
        <v>118.55</v>
      </c>
      <c r="I1679" t="s">
        <v>359</v>
      </c>
      <c r="K1679">
        <f t="shared" si="52"/>
        <v>118.55</v>
      </c>
      <c r="L1679">
        <f t="shared" si="53"/>
        <v>118.6</v>
      </c>
      <c r="O1679" s="7">
        <v>44441</v>
      </c>
      <c r="P1679" s="19"/>
      <c r="U1679" t="s">
        <v>367</v>
      </c>
    </row>
    <row r="1680" spans="1:21" x14ac:dyDescent="0.15">
      <c r="A1680" t="s">
        <v>350</v>
      </c>
      <c r="B1680" t="s">
        <v>351</v>
      </c>
      <c r="D1680">
        <v>28</v>
      </c>
      <c r="E1680" t="s">
        <v>74</v>
      </c>
      <c r="G1680">
        <v>117.85</v>
      </c>
      <c r="H1680">
        <v>117.6</v>
      </c>
      <c r="I1680" t="s">
        <v>359</v>
      </c>
      <c r="K1680">
        <f t="shared" si="52"/>
        <v>117.6</v>
      </c>
      <c r="L1680">
        <f t="shared" si="53"/>
        <v>117.85</v>
      </c>
      <c r="M1680" t="s">
        <v>293</v>
      </c>
      <c r="O1680" s="7">
        <v>44441</v>
      </c>
      <c r="P1680" s="19" t="s">
        <v>145</v>
      </c>
      <c r="U1680" t="s">
        <v>353</v>
      </c>
    </row>
    <row r="1681" spans="1:21" x14ac:dyDescent="0.15">
      <c r="A1681" t="s">
        <v>350</v>
      </c>
      <c r="B1681" t="s">
        <v>351</v>
      </c>
      <c r="D1681">
        <v>28</v>
      </c>
      <c r="E1681" t="s">
        <v>75</v>
      </c>
      <c r="G1681">
        <v>125.18</v>
      </c>
      <c r="H1681">
        <v>125.205</v>
      </c>
      <c r="I1681" t="s">
        <v>352</v>
      </c>
      <c r="K1681">
        <f t="shared" si="52"/>
        <v>125.18</v>
      </c>
      <c r="L1681">
        <f t="shared" si="53"/>
        <v>125.205</v>
      </c>
      <c r="M1681" t="s">
        <v>293</v>
      </c>
      <c r="O1681" s="7">
        <v>44448</v>
      </c>
      <c r="P1681" s="19" t="s">
        <v>145</v>
      </c>
      <c r="U1681" t="s">
        <v>353</v>
      </c>
    </row>
    <row r="1682" spans="1:21" x14ac:dyDescent="0.15">
      <c r="A1682" t="s">
        <v>350</v>
      </c>
      <c r="B1682" t="s">
        <v>351</v>
      </c>
      <c r="D1682">
        <v>28</v>
      </c>
      <c r="E1682" t="s">
        <v>75</v>
      </c>
      <c r="G1682">
        <v>125.95</v>
      </c>
      <c r="H1682">
        <v>125.97499999999999</v>
      </c>
      <c r="I1682" t="s">
        <v>352</v>
      </c>
      <c r="K1682">
        <f t="shared" si="52"/>
        <v>125.95</v>
      </c>
      <c r="L1682">
        <f t="shared" si="53"/>
        <v>125.97499999999999</v>
      </c>
      <c r="M1682" t="s">
        <v>293</v>
      </c>
      <c r="O1682" s="7">
        <v>44448</v>
      </c>
      <c r="P1682" s="19" t="s">
        <v>145</v>
      </c>
      <c r="U1682" t="s">
        <v>353</v>
      </c>
    </row>
    <row r="1683" spans="1:21" x14ac:dyDescent="0.15">
      <c r="A1683" t="s">
        <v>350</v>
      </c>
      <c r="B1683" t="s">
        <v>351</v>
      </c>
      <c r="D1683">
        <v>28</v>
      </c>
      <c r="E1683" t="s">
        <v>75</v>
      </c>
      <c r="G1683">
        <v>125.95</v>
      </c>
      <c r="H1683">
        <v>125.97499999999999</v>
      </c>
      <c r="I1683" t="s">
        <v>374</v>
      </c>
      <c r="K1683">
        <f t="shared" si="52"/>
        <v>125.95</v>
      </c>
      <c r="L1683">
        <f t="shared" si="53"/>
        <v>125.97499999999999</v>
      </c>
      <c r="M1683" t="s">
        <v>293</v>
      </c>
      <c r="O1683" s="7">
        <v>44448</v>
      </c>
      <c r="P1683" s="19" t="s">
        <v>145</v>
      </c>
      <c r="U1683" t="s">
        <v>353</v>
      </c>
    </row>
    <row r="1684" spans="1:21" x14ac:dyDescent="0.15">
      <c r="A1684" t="s">
        <v>350</v>
      </c>
      <c r="B1684" t="s">
        <v>351</v>
      </c>
      <c r="D1684">
        <v>28</v>
      </c>
      <c r="E1684" t="s">
        <v>75</v>
      </c>
      <c r="G1684">
        <v>128.5</v>
      </c>
      <c r="H1684">
        <v>128.69</v>
      </c>
      <c r="I1684" t="s">
        <v>352</v>
      </c>
      <c r="K1684">
        <f t="shared" si="52"/>
        <v>128.5</v>
      </c>
      <c r="L1684">
        <f t="shared" si="53"/>
        <v>128.69</v>
      </c>
      <c r="M1684" t="s">
        <v>293</v>
      </c>
      <c r="O1684" s="7">
        <v>44321</v>
      </c>
      <c r="P1684" s="19" t="s">
        <v>145</v>
      </c>
      <c r="U1684" t="s">
        <v>371</v>
      </c>
    </row>
    <row r="1685" spans="1:21" x14ac:dyDescent="0.15">
      <c r="A1685" t="s">
        <v>350</v>
      </c>
      <c r="B1685" t="s">
        <v>351</v>
      </c>
      <c r="D1685">
        <v>28</v>
      </c>
      <c r="E1685" t="s">
        <v>75</v>
      </c>
      <c r="G1685">
        <v>128.69</v>
      </c>
      <c r="H1685">
        <v>128.715</v>
      </c>
      <c r="I1685" t="s">
        <v>352</v>
      </c>
      <c r="K1685">
        <f t="shared" si="52"/>
        <v>128.69</v>
      </c>
      <c r="L1685">
        <f t="shared" si="53"/>
        <v>128.715</v>
      </c>
      <c r="M1685" t="s">
        <v>293</v>
      </c>
      <c r="O1685" s="7">
        <v>44321</v>
      </c>
      <c r="P1685" s="19" t="s">
        <v>145</v>
      </c>
      <c r="U1685" t="s">
        <v>353</v>
      </c>
    </row>
    <row r="1686" spans="1:21" x14ac:dyDescent="0.15">
      <c r="A1686" t="s">
        <v>350</v>
      </c>
      <c r="B1686" t="s">
        <v>351</v>
      </c>
      <c r="D1686">
        <v>28</v>
      </c>
      <c r="E1686" t="s">
        <v>75</v>
      </c>
      <c r="G1686">
        <v>128.69999999999999</v>
      </c>
      <c r="H1686" t="s">
        <v>355</v>
      </c>
      <c r="I1686" t="s">
        <v>352</v>
      </c>
      <c r="K1686">
        <f t="shared" si="52"/>
        <v>128.69999999999999</v>
      </c>
      <c r="L1686">
        <f t="shared" si="53"/>
        <v>128.69999999999999</v>
      </c>
      <c r="O1686" s="7">
        <v>44454</v>
      </c>
      <c r="P1686" s="19"/>
      <c r="U1686" t="s">
        <v>370</v>
      </c>
    </row>
    <row r="1687" spans="1:21" x14ac:dyDescent="0.15">
      <c r="A1687" t="s">
        <v>350</v>
      </c>
      <c r="B1687" t="s">
        <v>351</v>
      </c>
      <c r="D1687">
        <v>28</v>
      </c>
      <c r="E1687" t="s">
        <v>75</v>
      </c>
      <c r="G1687">
        <v>128.715</v>
      </c>
      <c r="H1687">
        <v>129.1</v>
      </c>
      <c r="I1687" t="s">
        <v>352</v>
      </c>
      <c r="K1687">
        <f t="shared" si="52"/>
        <v>128.715</v>
      </c>
      <c r="L1687">
        <f t="shared" si="53"/>
        <v>129.1</v>
      </c>
      <c r="M1687" t="s">
        <v>293</v>
      </c>
      <c r="O1687" s="7">
        <v>44321</v>
      </c>
      <c r="P1687" s="19" t="s">
        <v>145</v>
      </c>
      <c r="U1687" t="s">
        <v>371</v>
      </c>
    </row>
    <row r="1688" spans="1:21" x14ac:dyDescent="0.15">
      <c r="A1688" t="s">
        <v>350</v>
      </c>
      <c r="B1688" t="s">
        <v>351</v>
      </c>
      <c r="D1688">
        <v>28</v>
      </c>
      <c r="E1688" t="s">
        <v>75</v>
      </c>
      <c r="G1688">
        <v>129.9</v>
      </c>
      <c r="H1688">
        <v>130.07499999999999</v>
      </c>
      <c r="I1688" t="s">
        <v>352</v>
      </c>
      <c r="K1688">
        <f t="shared" si="52"/>
        <v>129.9</v>
      </c>
      <c r="L1688">
        <f t="shared" si="53"/>
        <v>130.07499999999999</v>
      </c>
      <c r="M1688" t="s">
        <v>293</v>
      </c>
      <c r="O1688" s="7">
        <v>44462</v>
      </c>
      <c r="P1688" s="19" t="s">
        <v>145</v>
      </c>
      <c r="U1688" t="s">
        <v>353</v>
      </c>
    </row>
    <row r="1689" spans="1:21" x14ac:dyDescent="0.15">
      <c r="A1689" t="s">
        <v>350</v>
      </c>
      <c r="B1689" t="s">
        <v>351</v>
      </c>
      <c r="D1689">
        <v>28</v>
      </c>
      <c r="E1689" t="s">
        <v>75</v>
      </c>
      <c r="G1689">
        <v>130.27500000000001</v>
      </c>
      <c r="H1689">
        <v>130.66999999999999</v>
      </c>
      <c r="I1689" t="s">
        <v>352</v>
      </c>
      <c r="K1689">
        <f t="shared" si="52"/>
        <v>130.27500000000001</v>
      </c>
      <c r="L1689">
        <f t="shared" si="53"/>
        <v>130.66999999999999</v>
      </c>
      <c r="M1689" t="s">
        <v>293</v>
      </c>
      <c r="O1689" s="7">
        <v>44462</v>
      </c>
      <c r="P1689" s="19" t="s">
        <v>145</v>
      </c>
      <c r="U1689" t="s">
        <v>371</v>
      </c>
    </row>
    <row r="1690" spans="1:21" x14ac:dyDescent="0.15">
      <c r="A1690" t="s">
        <v>350</v>
      </c>
      <c r="B1690" t="s">
        <v>351</v>
      </c>
      <c r="D1690">
        <v>28</v>
      </c>
      <c r="E1690" t="s">
        <v>75</v>
      </c>
      <c r="G1690">
        <v>130.80000000000001</v>
      </c>
      <c r="H1690">
        <v>130.9</v>
      </c>
      <c r="I1690" t="s">
        <v>352</v>
      </c>
      <c r="K1690">
        <f t="shared" si="52"/>
        <v>130.80000000000001</v>
      </c>
      <c r="L1690">
        <f t="shared" si="53"/>
        <v>130.9</v>
      </c>
      <c r="M1690" t="s">
        <v>293</v>
      </c>
      <c r="O1690" s="7">
        <v>44462</v>
      </c>
      <c r="P1690" s="19" t="s">
        <v>145</v>
      </c>
      <c r="U1690" t="s">
        <v>371</v>
      </c>
    </row>
    <row r="1691" spans="1:21" x14ac:dyDescent="0.15">
      <c r="A1691" t="s">
        <v>350</v>
      </c>
      <c r="B1691" t="s">
        <v>351</v>
      </c>
      <c r="D1691">
        <v>28</v>
      </c>
      <c r="E1691" t="s">
        <v>75</v>
      </c>
      <c r="G1691">
        <v>131.9</v>
      </c>
      <c r="H1691">
        <v>132.80000000000001</v>
      </c>
      <c r="I1691" t="s">
        <v>352</v>
      </c>
      <c r="K1691">
        <f t="shared" si="52"/>
        <v>131.9</v>
      </c>
      <c r="L1691">
        <f t="shared" si="53"/>
        <v>132.80000000000001</v>
      </c>
      <c r="M1691" t="s">
        <v>293</v>
      </c>
      <c r="O1691" s="7">
        <v>44460</v>
      </c>
      <c r="P1691" s="19" t="s">
        <v>145</v>
      </c>
      <c r="U1691" t="s">
        <v>371</v>
      </c>
    </row>
    <row r="1692" spans="1:21" x14ac:dyDescent="0.15">
      <c r="A1692" t="s">
        <v>350</v>
      </c>
      <c r="B1692" t="s">
        <v>351</v>
      </c>
      <c r="D1692">
        <v>28</v>
      </c>
      <c r="E1692" t="s">
        <v>75</v>
      </c>
      <c r="G1692">
        <v>132.6</v>
      </c>
      <c r="H1692" t="s">
        <v>355</v>
      </c>
      <c r="I1692" t="s">
        <v>352</v>
      </c>
      <c r="K1692">
        <f t="shared" si="52"/>
        <v>132.6</v>
      </c>
      <c r="L1692">
        <f t="shared" si="53"/>
        <v>132.6</v>
      </c>
      <c r="O1692" s="7">
        <v>44463</v>
      </c>
      <c r="P1692" s="19"/>
      <c r="U1692" t="s">
        <v>370</v>
      </c>
    </row>
    <row r="1693" spans="1:21" x14ac:dyDescent="0.15">
      <c r="A1693" t="s">
        <v>350</v>
      </c>
      <c r="B1693" t="s">
        <v>351</v>
      </c>
      <c r="D1693">
        <v>28</v>
      </c>
      <c r="E1693" t="s">
        <v>75</v>
      </c>
      <c r="G1693">
        <v>132.99</v>
      </c>
      <c r="H1693">
        <v>133.02500000000001</v>
      </c>
      <c r="I1693" t="s">
        <v>352</v>
      </c>
      <c r="K1693">
        <f t="shared" si="52"/>
        <v>132.99</v>
      </c>
      <c r="L1693">
        <f t="shared" si="53"/>
        <v>133.02500000000001</v>
      </c>
      <c r="M1693" t="s">
        <v>293</v>
      </c>
      <c r="O1693" s="7">
        <v>44460</v>
      </c>
      <c r="P1693" s="19" t="s">
        <v>145</v>
      </c>
      <c r="U1693" t="s">
        <v>353</v>
      </c>
    </row>
    <row r="1694" spans="1:21" x14ac:dyDescent="0.15">
      <c r="A1694" t="s">
        <v>350</v>
      </c>
      <c r="B1694" t="s">
        <v>351</v>
      </c>
      <c r="D1694">
        <v>28</v>
      </c>
      <c r="E1694" t="s">
        <v>75</v>
      </c>
      <c r="G1694">
        <v>133.91999999999999</v>
      </c>
      <c r="H1694">
        <v>134.1</v>
      </c>
      <c r="I1694" t="s">
        <v>372</v>
      </c>
      <c r="K1694">
        <f t="shared" si="52"/>
        <v>133.91999999999999</v>
      </c>
      <c r="L1694">
        <f t="shared" si="53"/>
        <v>134.1</v>
      </c>
      <c r="M1694" t="s">
        <v>293</v>
      </c>
      <c r="O1694" s="7">
        <v>44441</v>
      </c>
      <c r="P1694" s="19" t="s">
        <v>145</v>
      </c>
      <c r="U1694" t="s">
        <v>353</v>
      </c>
    </row>
    <row r="1695" spans="1:21" x14ac:dyDescent="0.15">
      <c r="A1695" t="s">
        <v>350</v>
      </c>
      <c r="B1695" t="s">
        <v>351</v>
      </c>
      <c r="D1695">
        <v>28</v>
      </c>
      <c r="E1695" t="s">
        <v>75</v>
      </c>
      <c r="G1695">
        <v>141.6</v>
      </c>
      <c r="H1695">
        <v>141.65</v>
      </c>
      <c r="I1695" t="s">
        <v>352</v>
      </c>
      <c r="K1695">
        <f t="shared" si="52"/>
        <v>141.6</v>
      </c>
      <c r="L1695">
        <f t="shared" si="53"/>
        <v>141.65</v>
      </c>
      <c r="M1695" t="s">
        <v>293</v>
      </c>
      <c r="O1695" s="7">
        <v>44456</v>
      </c>
      <c r="P1695" s="19" t="s">
        <v>145</v>
      </c>
      <c r="U1695" t="s">
        <v>353</v>
      </c>
    </row>
    <row r="1696" spans="1:21" x14ac:dyDescent="0.15">
      <c r="A1696" t="s">
        <v>350</v>
      </c>
      <c r="B1696" t="s">
        <v>351</v>
      </c>
      <c r="D1696">
        <v>28</v>
      </c>
      <c r="E1696" t="s">
        <v>75</v>
      </c>
      <c r="G1696">
        <v>141.82</v>
      </c>
      <c r="H1696">
        <v>142</v>
      </c>
      <c r="I1696" t="s">
        <v>373</v>
      </c>
      <c r="K1696">
        <f t="shared" si="52"/>
        <v>141.82</v>
      </c>
      <c r="L1696">
        <f t="shared" si="53"/>
        <v>142</v>
      </c>
      <c r="M1696" t="s">
        <v>293</v>
      </c>
      <c r="O1696" s="7">
        <v>44456</v>
      </c>
      <c r="P1696" s="19" t="s">
        <v>145</v>
      </c>
      <c r="U1696" t="s">
        <v>353</v>
      </c>
    </row>
    <row r="1697" spans="1:21" x14ac:dyDescent="0.15">
      <c r="A1697" t="s">
        <v>350</v>
      </c>
      <c r="B1697" t="s">
        <v>351</v>
      </c>
      <c r="D1697">
        <v>28</v>
      </c>
      <c r="E1697" t="s">
        <v>75</v>
      </c>
      <c r="G1697">
        <v>142.80000000000001</v>
      </c>
      <c r="H1697">
        <v>143.69999999999999</v>
      </c>
      <c r="I1697" t="s">
        <v>352</v>
      </c>
      <c r="K1697">
        <f t="shared" si="52"/>
        <v>142.80000000000001</v>
      </c>
      <c r="L1697">
        <f t="shared" si="53"/>
        <v>143.69999999999999</v>
      </c>
      <c r="M1697" t="s">
        <v>293</v>
      </c>
      <c r="O1697" s="7">
        <v>44449</v>
      </c>
      <c r="P1697" s="19" t="s">
        <v>145</v>
      </c>
      <c r="U1697" t="s">
        <v>353</v>
      </c>
    </row>
    <row r="1698" spans="1:21" x14ac:dyDescent="0.15">
      <c r="A1698" t="s">
        <v>350</v>
      </c>
      <c r="B1698" t="s">
        <v>351</v>
      </c>
      <c r="D1698">
        <v>28</v>
      </c>
      <c r="E1698" t="s">
        <v>75</v>
      </c>
      <c r="G1698">
        <v>143.59</v>
      </c>
      <c r="H1698" t="s">
        <v>355</v>
      </c>
      <c r="I1698" t="s">
        <v>352</v>
      </c>
      <c r="K1698">
        <f t="shared" si="52"/>
        <v>143.59</v>
      </c>
      <c r="L1698">
        <f t="shared" si="53"/>
        <v>143.59</v>
      </c>
      <c r="O1698" s="7">
        <v>44474</v>
      </c>
      <c r="P1698" s="19"/>
      <c r="U1698" t="s">
        <v>364</v>
      </c>
    </row>
    <row r="1699" spans="1:21" x14ac:dyDescent="0.15">
      <c r="A1699" t="s">
        <v>350</v>
      </c>
      <c r="B1699" t="s">
        <v>351</v>
      </c>
      <c r="D1699">
        <v>28</v>
      </c>
      <c r="E1699" t="s">
        <v>75</v>
      </c>
      <c r="G1699">
        <v>142.83000000000001</v>
      </c>
      <c r="H1699">
        <v>143.19</v>
      </c>
      <c r="I1699" t="s">
        <v>374</v>
      </c>
      <c r="K1699">
        <f t="shared" si="52"/>
        <v>142.83000000000001</v>
      </c>
      <c r="L1699">
        <f t="shared" si="53"/>
        <v>143.19</v>
      </c>
      <c r="M1699" t="s">
        <v>293</v>
      </c>
      <c r="O1699" s="7">
        <v>44449</v>
      </c>
      <c r="P1699" s="19" t="s">
        <v>145</v>
      </c>
      <c r="U1699" t="s">
        <v>353</v>
      </c>
    </row>
    <row r="1700" spans="1:21" x14ac:dyDescent="0.15">
      <c r="A1700" t="s">
        <v>350</v>
      </c>
      <c r="B1700" t="s">
        <v>351</v>
      </c>
      <c r="D1700">
        <v>28</v>
      </c>
      <c r="E1700" t="s">
        <v>75</v>
      </c>
      <c r="G1700">
        <v>143.01</v>
      </c>
      <c r="H1700" t="s">
        <v>355</v>
      </c>
      <c r="I1700" t="s">
        <v>374</v>
      </c>
      <c r="K1700">
        <f t="shared" si="52"/>
        <v>143.01</v>
      </c>
      <c r="L1700">
        <f t="shared" si="53"/>
        <v>143.01</v>
      </c>
      <c r="O1700" s="7">
        <v>44474</v>
      </c>
      <c r="P1700" s="19"/>
      <c r="U1700" t="s">
        <v>370</v>
      </c>
    </row>
    <row r="1701" spans="1:21" x14ac:dyDescent="0.15">
      <c r="A1701" t="s">
        <v>350</v>
      </c>
      <c r="B1701" t="s">
        <v>351</v>
      </c>
      <c r="D1701">
        <v>28</v>
      </c>
      <c r="E1701" t="s">
        <v>75</v>
      </c>
      <c r="G1701">
        <v>143.1</v>
      </c>
      <c r="H1701" t="s">
        <v>355</v>
      </c>
      <c r="I1701" t="s">
        <v>375</v>
      </c>
      <c r="K1701">
        <f t="shared" si="52"/>
        <v>143.1</v>
      </c>
      <c r="L1701">
        <f t="shared" si="53"/>
        <v>143.1</v>
      </c>
      <c r="O1701" s="7">
        <v>44474</v>
      </c>
      <c r="P1701" s="19"/>
      <c r="U1701" t="s">
        <v>376</v>
      </c>
    </row>
    <row r="1702" spans="1:21" x14ac:dyDescent="0.15">
      <c r="A1702" t="s">
        <v>350</v>
      </c>
      <c r="B1702" t="s">
        <v>351</v>
      </c>
      <c r="D1702">
        <v>28</v>
      </c>
      <c r="E1702" t="s">
        <v>75</v>
      </c>
      <c r="G1702">
        <v>144.4</v>
      </c>
      <c r="H1702">
        <v>145.9</v>
      </c>
      <c r="I1702" t="s">
        <v>352</v>
      </c>
      <c r="K1702">
        <f t="shared" si="52"/>
        <v>144.4</v>
      </c>
      <c r="L1702">
        <f t="shared" si="53"/>
        <v>145.9</v>
      </c>
      <c r="M1702" t="s">
        <v>293</v>
      </c>
      <c r="O1702" s="7">
        <v>44448</v>
      </c>
      <c r="P1702" s="19" t="s">
        <v>145</v>
      </c>
      <c r="U1702" t="s">
        <v>353</v>
      </c>
    </row>
    <row r="1703" spans="1:21" x14ac:dyDescent="0.15">
      <c r="A1703" t="s">
        <v>350</v>
      </c>
      <c r="B1703" t="s">
        <v>351</v>
      </c>
      <c r="D1703">
        <v>28</v>
      </c>
      <c r="E1703" t="s">
        <v>74</v>
      </c>
      <c r="G1703">
        <v>118.7</v>
      </c>
      <c r="H1703">
        <v>118.8</v>
      </c>
      <c r="I1703" t="s">
        <v>352</v>
      </c>
      <c r="K1703">
        <f t="shared" si="52"/>
        <v>118.7</v>
      </c>
      <c r="L1703">
        <f t="shared" si="53"/>
        <v>118.8</v>
      </c>
      <c r="O1703" s="7">
        <v>44455</v>
      </c>
      <c r="P1703" s="19"/>
      <c r="U1703" t="s">
        <v>377</v>
      </c>
    </row>
    <row r="1704" spans="1:21" x14ac:dyDescent="0.15">
      <c r="A1704" t="s">
        <v>350</v>
      </c>
      <c r="B1704" t="s">
        <v>351</v>
      </c>
      <c r="D1704">
        <v>28</v>
      </c>
      <c r="E1704" t="s">
        <v>75</v>
      </c>
      <c r="G1704">
        <v>141.30000000000001</v>
      </c>
      <c r="H1704">
        <v>141.375</v>
      </c>
      <c r="I1704" t="s">
        <v>352</v>
      </c>
      <c r="K1704">
        <f t="shared" si="52"/>
        <v>141.30000000000001</v>
      </c>
      <c r="L1704">
        <f t="shared" si="53"/>
        <v>141.375</v>
      </c>
      <c r="O1704" s="7">
        <v>44456</v>
      </c>
      <c r="P1704" s="19"/>
      <c r="U1704" t="s">
        <v>377</v>
      </c>
    </row>
    <row r="1705" spans="1:21" x14ac:dyDescent="0.15">
      <c r="A1705" t="s">
        <v>350</v>
      </c>
      <c r="B1705" t="s">
        <v>351</v>
      </c>
      <c r="D1705">
        <v>28</v>
      </c>
      <c r="E1705" t="s">
        <v>74</v>
      </c>
      <c r="G1705">
        <v>183.3</v>
      </c>
      <c r="H1705">
        <v>182.8</v>
      </c>
      <c r="I1705" t="s">
        <v>359</v>
      </c>
      <c r="K1705">
        <f t="shared" si="52"/>
        <v>182.8</v>
      </c>
      <c r="L1705">
        <f t="shared" si="53"/>
        <v>183.3</v>
      </c>
      <c r="M1705" t="s">
        <v>293</v>
      </c>
      <c r="O1705" s="7">
        <v>44306</v>
      </c>
      <c r="P1705" s="19" t="s">
        <v>145</v>
      </c>
      <c r="U1705" t="s">
        <v>353</v>
      </c>
    </row>
    <row r="1706" spans="1:21" x14ac:dyDescent="0.15">
      <c r="A1706" t="s">
        <v>350</v>
      </c>
      <c r="B1706" t="s">
        <v>351</v>
      </c>
      <c r="D1706">
        <v>28</v>
      </c>
      <c r="E1706" t="s">
        <v>74</v>
      </c>
      <c r="G1706">
        <v>182</v>
      </c>
      <c r="H1706">
        <v>180.85</v>
      </c>
      <c r="I1706" t="s">
        <v>359</v>
      </c>
      <c r="K1706">
        <f t="shared" si="52"/>
        <v>180.85</v>
      </c>
      <c r="L1706">
        <f t="shared" si="53"/>
        <v>182</v>
      </c>
      <c r="M1706" t="s">
        <v>293</v>
      </c>
      <c r="O1706" s="7">
        <v>44306</v>
      </c>
      <c r="P1706" s="19" t="s">
        <v>145</v>
      </c>
      <c r="U1706" t="s">
        <v>353</v>
      </c>
    </row>
    <row r="1707" spans="1:21" x14ac:dyDescent="0.15">
      <c r="A1707" t="s">
        <v>350</v>
      </c>
      <c r="B1707" t="s">
        <v>351</v>
      </c>
      <c r="D1707">
        <v>28</v>
      </c>
      <c r="E1707" t="s">
        <v>74</v>
      </c>
      <c r="G1707">
        <v>179.8</v>
      </c>
      <c r="H1707">
        <v>179.77500000000001</v>
      </c>
      <c r="I1707" t="s">
        <v>359</v>
      </c>
      <c r="K1707">
        <f t="shared" si="52"/>
        <v>179.77500000000001</v>
      </c>
      <c r="L1707">
        <f t="shared" si="53"/>
        <v>179.8</v>
      </c>
      <c r="M1707" t="s">
        <v>293</v>
      </c>
      <c r="O1707" s="7">
        <v>44308</v>
      </c>
      <c r="P1707" s="19" t="s">
        <v>145</v>
      </c>
      <c r="U1707" t="s">
        <v>353</v>
      </c>
    </row>
    <row r="1708" spans="1:21" x14ac:dyDescent="0.15">
      <c r="A1708" t="s">
        <v>350</v>
      </c>
      <c r="B1708" t="s">
        <v>351</v>
      </c>
      <c r="D1708">
        <v>28</v>
      </c>
      <c r="E1708" t="s">
        <v>74</v>
      </c>
      <c r="G1708">
        <v>176.05</v>
      </c>
      <c r="H1708">
        <v>176.02500000000001</v>
      </c>
      <c r="I1708" t="s">
        <v>359</v>
      </c>
      <c r="K1708">
        <f t="shared" si="52"/>
        <v>176.02500000000001</v>
      </c>
      <c r="L1708">
        <f t="shared" si="53"/>
        <v>176.05</v>
      </c>
      <c r="M1708" t="s">
        <v>293</v>
      </c>
      <c r="O1708" s="7">
        <v>44370</v>
      </c>
      <c r="P1708" s="19" t="s">
        <v>145</v>
      </c>
      <c r="U1708" t="s">
        <v>353</v>
      </c>
    </row>
    <row r="1709" spans="1:21" x14ac:dyDescent="0.15">
      <c r="A1709" t="s">
        <v>350</v>
      </c>
      <c r="B1709" t="s">
        <v>351</v>
      </c>
      <c r="D1709">
        <v>28</v>
      </c>
      <c r="E1709" t="s">
        <v>74</v>
      </c>
      <c r="G1709">
        <v>170.55</v>
      </c>
      <c r="H1709">
        <v>170.5</v>
      </c>
      <c r="I1709" t="s">
        <v>359</v>
      </c>
      <c r="K1709">
        <f t="shared" si="52"/>
        <v>170.5</v>
      </c>
      <c r="L1709">
        <f t="shared" si="53"/>
        <v>170.55</v>
      </c>
      <c r="O1709" s="7">
        <v>44375</v>
      </c>
      <c r="P1709" s="19"/>
      <c r="U1709" t="s">
        <v>378</v>
      </c>
    </row>
    <row r="1710" spans="1:21" x14ac:dyDescent="0.15">
      <c r="A1710" t="s">
        <v>350</v>
      </c>
      <c r="B1710" t="s">
        <v>351</v>
      </c>
      <c r="D1710">
        <v>28</v>
      </c>
      <c r="E1710" t="s">
        <v>74</v>
      </c>
      <c r="G1710">
        <v>167.1</v>
      </c>
      <c r="H1710">
        <v>167</v>
      </c>
      <c r="I1710" t="s">
        <v>359</v>
      </c>
      <c r="K1710">
        <f t="shared" si="52"/>
        <v>167</v>
      </c>
      <c r="L1710">
        <f t="shared" si="53"/>
        <v>167.1</v>
      </c>
      <c r="M1710" t="s">
        <v>293</v>
      </c>
      <c r="O1710" s="7">
        <v>44308</v>
      </c>
      <c r="P1710" s="19" t="s">
        <v>145</v>
      </c>
      <c r="U1710" t="s">
        <v>353</v>
      </c>
    </row>
    <row r="1711" spans="1:21" x14ac:dyDescent="0.15">
      <c r="A1711" t="s">
        <v>350</v>
      </c>
      <c r="B1711" t="s">
        <v>351</v>
      </c>
      <c r="D1711">
        <v>28</v>
      </c>
      <c r="E1711" t="s">
        <v>74</v>
      </c>
      <c r="G1711">
        <v>164.6</v>
      </c>
      <c r="H1711">
        <v>164.13</v>
      </c>
      <c r="I1711" t="s">
        <v>359</v>
      </c>
      <c r="K1711">
        <f t="shared" si="52"/>
        <v>164.13</v>
      </c>
      <c r="L1711">
        <f t="shared" si="53"/>
        <v>164.6</v>
      </c>
      <c r="O1711" s="7">
        <v>44375</v>
      </c>
      <c r="P1711" s="19"/>
      <c r="U1711" t="s">
        <v>361</v>
      </c>
    </row>
    <row r="1712" spans="1:21" x14ac:dyDescent="0.15">
      <c r="A1712" t="s">
        <v>350</v>
      </c>
      <c r="B1712" t="s">
        <v>351</v>
      </c>
      <c r="D1712">
        <v>28</v>
      </c>
      <c r="E1712" t="s">
        <v>74</v>
      </c>
      <c r="G1712">
        <v>163.69999999999999</v>
      </c>
      <c r="H1712">
        <v>163.30000000000001</v>
      </c>
      <c r="I1712" t="s">
        <v>359</v>
      </c>
      <c r="K1712">
        <f t="shared" si="52"/>
        <v>163.30000000000001</v>
      </c>
      <c r="L1712">
        <f t="shared" si="53"/>
        <v>163.69999999999999</v>
      </c>
      <c r="O1712" s="7">
        <v>44375</v>
      </c>
      <c r="P1712" s="19"/>
      <c r="U1712" t="s">
        <v>361</v>
      </c>
    </row>
    <row r="1713" spans="1:21" x14ac:dyDescent="0.15">
      <c r="A1713" t="s">
        <v>350</v>
      </c>
      <c r="B1713" t="s">
        <v>351</v>
      </c>
      <c r="D1713">
        <v>28</v>
      </c>
      <c r="E1713" t="s">
        <v>74</v>
      </c>
      <c r="G1713">
        <v>162.9</v>
      </c>
      <c r="H1713">
        <v>162.69999999999999</v>
      </c>
      <c r="I1713" t="s">
        <v>359</v>
      </c>
      <c r="K1713">
        <f t="shared" si="52"/>
        <v>162.69999999999999</v>
      </c>
      <c r="L1713">
        <f t="shared" si="53"/>
        <v>162.9</v>
      </c>
      <c r="O1713" s="7">
        <v>44375</v>
      </c>
      <c r="P1713" s="19"/>
      <c r="U1713" t="s">
        <v>361</v>
      </c>
    </row>
    <row r="1714" spans="1:21" x14ac:dyDescent="0.15">
      <c r="A1714" t="s">
        <v>350</v>
      </c>
      <c r="B1714" t="s">
        <v>351</v>
      </c>
      <c r="D1714">
        <v>28</v>
      </c>
      <c r="E1714" t="s">
        <v>75</v>
      </c>
      <c r="G1714">
        <v>160.44999999999999</v>
      </c>
      <c r="H1714">
        <v>160.5</v>
      </c>
      <c r="I1714" t="s">
        <v>373</v>
      </c>
      <c r="K1714">
        <f t="shared" si="52"/>
        <v>160.44999999999999</v>
      </c>
      <c r="L1714">
        <f t="shared" si="53"/>
        <v>160.5</v>
      </c>
      <c r="M1714" t="s">
        <v>293</v>
      </c>
      <c r="O1714" s="7">
        <v>44463</v>
      </c>
      <c r="P1714" s="19" t="s">
        <v>145</v>
      </c>
      <c r="U1714" t="s">
        <v>353</v>
      </c>
    </row>
    <row r="1715" spans="1:21" x14ac:dyDescent="0.15">
      <c r="A1715" t="s">
        <v>350</v>
      </c>
      <c r="B1715" t="s">
        <v>351</v>
      </c>
      <c r="D1715">
        <v>28</v>
      </c>
      <c r="E1715" t="s">
        <v>75</v>
      </c>
      <c r="G1715">
        <v>160.69999999999999</v>
      </c>
      <c r="H1715">
        <v>161</v>
      </c>
      <c r="I1715" t="s">
        <v>373</v>
      </c>
      <c r="K1715">
        <f t="shared" si="52"/>
        <v>160.69999999999999</v>
      </c>
      <c r="L1715">
        <f t="shared" si="53"/>
        <v>161</v>
      </c>
      <c r="M1715" t="s">
        <v>293</v>
      </c>
      <c r="O1715" s="7">
        <v>44504</v>
      </c>
      <c r="P1715" s="19" t="s">
        <v>145</v>
      </c>
      <c r="U1715" t="s">
        <v>353</v>
      </c>
    </row>
    <row r="1716" spans="1:21" x14ac:dyDescent="0.15">
      <c r="A1716" t="s">
        <v>350</v>
      </c>
      <c r="B1716" t="s">
        <v>351</v>
      </c>
      <c r="D1716">
        <v>28</v>
      </c>
      <c r="E1716" t="s">
        <v>75</v>
      </c>
      <c r="G1716">
        <v>160.4</v>
      </c>
      <c r="H1716">
        <v>161.19999999999999</v>
      </c>
      <c r="I1716" t="s">
        <v>357</v>
      </c>
      <c r="K1716">
        <f t="shared" si="52"/>
        <v>160.4</v>
      </c>
      <c r="L1716">
        <f t="shared" si="53"/>
        <v>161.19999999999999</v>
      </c>
      <c r="M1716" t="s">
        <v>293</v>
      </c>
      <c r="O1716" s="7">
        <v>44463</v>
      </c>
      <c r="P1716" s="19" t="s">
        <v>145</v>
      </c>
      <c r="U1716" t="s">
        <v>353</v>
      </c>
    </row>
    <row r="1717" spans="1:21" x14ac:dyDescent="0.15">
      <c r="A1717" t="s">
        <v>350</v>
      </c>
      <c r="B1717" t="s">
        <v>351</v>
      </c>
      <c r="D1717">
        <v>28</v>
      </c>
      <c r="E1717" t="s">
        <v>75</v>
      </c>
      <c r="G1717">
        <v>162.6</v>
      </c>
      <c r="H1717">
        <v>163</v>
      </c>
      <c r="I1717" t="s">
        <v>357</v>
      </c>
      <c r="K1717">
        <f t="shared" si="52"/>
        <v>162.6</v>
      </c>
      <c r="L1717">
        <f t="shared" si="53"/>
        <v>163</v>
      </c>
      <c r="M1717" t="s">
        <v>293</v>
      </c>
      <c r="O1717" s="7">
        <v>44463</v>
      </c>
      <c r="P1717" s="19" t="s">
        <v>145</v>
      </c>
      <c r="U1717" t="s">
        <v>353</v>
      </c>
    </row>
    <row r="1718" spans="1:21" x14ac:dyDescent="0.15">
      <c r="A1718" t="s">
        <v>350</v>
      </c>
      <c r="B1718" t="s">
        <v>351</v>
      </c>
      <c r="D1718">
        <v>28</v>
      </c>
      <c r="E1718" t="s">
        <v>75</v>
      </c>
      <c r="G1718">
        <v>164.58</v>
      </c>
      <c r="H1718">
        <v>164.7</v>
      </c>
      <c r="I1718" t="s">
        <v>352</v>
      </c>
      <c r="K1718">
        <f t="shared" si="52"/>
        <v>164.58</v>
      </c>
      <c r="L1718">
        <f t="shared" si="53"/>
        <v>164.7</v>
      </c>
      <c r="M1718" t="s">
        <v>293</v>
      </c>
      <c r="O1718" s="7">
        <v>44463</v>
      </c>
      <c r="P1718" s="19" t="s">
        <v>145</v>
      </c>
      <c r="U1718" t="s">
        <v>353</v>
      </c>
    </row>
    <row r="1719" spans="1:21" x14ac:dyDescent="0.15">
      <c r="A1719" t="s">
        <v>350</v>
      </c>
      <c r="B1719" t="s">
        <v>351</v>
      </c>
      <c r="D1719">
        <v>28</v>
      </c>
      <c r="E1719" t="s">
        <v>75</v>
      </c>
      <c r="G1719">
        <v>165.17500000000001</v>
      </c>
      <c r="H1719">
        <v>165.2</v>
      </c>
      <c r="I1719" t="s">
        <v>352</v>
      </c>
      <c r="K1719">
        <f t="shared" si="52"/>
        <v>165.17500000000001</v>
      </c>
      <c r="L1719">
        <f t="shared" si="53"/>
        <v>165.2</v>
      </c>
      <c r="M1719" t="s">
        <v>293</v>
      </c>
      <c r="O1719" s="7">
        <v>44463</v>
      </c>
      <c r="P1719" s="19" t="s">
        <v>145</v>
      </c>
      <c r="U1719" t="s">
        <v>353</v>
      </c>
    </row>
    <row r="1720" spans="1:21" x14ac:dyDescent="0.15">
      <c r="A1720" t="s">
        <v>350</v>
      </c>
      <c r="B1720" t="s">
        <v>351</v>
      </c>
      <c r="D1720">
        <v>28</v>
      </c>
      <c r="E1720" t="s">
        <v>75</v>
      </c>
      <c r="G1720">
        <v>166</v>
      </c>
      <c r="H1720">
        <v>166.34</v>
      </c>
      <c r="I1720" t="s">
        <v>352</v>
      </c>
      <c r="K1720">
        <f t="shared" si="52"/>
        <v>166</v>
      </c>
      <c r="L1720">
        <f t="shared" si="53"/>
        <v>166.34</v>
      </c>
      <c r="M1720" t="s">
        <v>293</v>
      </c>
      <c r="O1720" s="7">
        <v>44463</v>
      </c>
      <c r="P1720" s="19" t="s">
        <v>145</v>
      </c>
      <c r="U1720" t="s">
        <v>353</v>
      </c>
    </row>
    <row r="1721" spans="1:21" x14ac:dyDescent="0.15">
      <c r="A1721" t="s">
        <v>350</v>
      </c>
      <c r="B1721" t="s">
        <v>351</v>
      </c>
      <c r="D1721">
        <v>28</v>
      </c>
      <c r="E1721" t="s">
        <v>75</v>
      </c>
      <c r="G1721">
        <v>171</v>
      </c>
      <c r="H1721">
        <v>171.22</v>
      </c>
      <c r="I1721" t="s">
        <v>357</v>
      </c>
      <c r="K1721">
        <f t="shared" si="52"/>
        <v>171</v>
      </c>
      <c r="L1721">
        <f t="shared" si="53"/>
        <v>171.22</v>
      </c>
      <c r="M1721" t="s">
        <v>293</v>
      </c>
      <c r="O1721" s="7">
        <v>44302</v>
      </c>
      <c r="P1721" s="19" t="s">
        <v>145</v>
      </c>
      <c r="U1721" t="s">
        <v>353</v>
      </c>
    </row>
    <row r="1722" spans="1:21" x14ac:dyDescent="0.15">
      <c r="A1722" t="s">
        <v>350</v>
      </c>
      <c r="B1722" t="s">
        <v>351</v>
      </c>
      <c r="D1722">
        <v>28</v>
      </c>
      <c r="E1722" t="s">
        <v>75</v>
      </c>
      <c r="G1722">
        <v>171</v>
      </c>
      <c r="H1722">
        <v>171.22</v>
      </c>
      <c r="I1722" t="s">
        <v>352</v>
      </c>
      <c r="K1722">
        <f t="shared" si="52"/>
        <v>171</v>
      </c>
      <c r="L1722">
        <f t="shared" si="53"/>
        <v>171.22</v>
      </c>
      <c r="M1722" t="s">
        <v>293</v>
      </c>
      <c r="O1722" s="7">
        <v>44302</v>
      </c>
      <c r="P1722" s="19" t="s">
        <v>145</v>
      </c>
      <c r="U1722" t="s">
        <v>353</v>
      </c>
    </row>
    <row r="1723" spans="1:21" x14ac:dyDescent="0.15">
      <c r="A1723" t="s">
        <v>350</v>
      </c>
      <c r="B1723" t="s">
        <v>351</v>
      </c>
      <c r="D1723">
        <v>28</v>
      </c>
      <c r="E1723" t="s">
        <v>75</v>
      </c>
      <c r="G1723">
        <v>172</v>
      </c>
      <c r="H1723">
        <v>172.55</v>
      </c>
      <c r="I1723" t="s">
        <v>352</v>
      </c>
      <c r="K1723">
        <f t="shared" si="52"/>
        <v>172</v>
      </c>
      <c r="L1723">
        <f t="shared" si="53"/>
        <v>172.55</v>
      </c>
      <c r="O1723" s="7">
        <v>44369</v>
      </c>
      <c r="P1723" s="19"/>
      <c r="U1723" t="s">
        <v>379</v>
      </c>
    </row>
    <row r="1724" spans="1:21" x14ac:dyDescent="0.15">
      <c r="A1724" t="s">
        <v>350</v>
      </c>
      <c r="B1724" t="s">
        <v>351</v>
      </c>
      <c r="D1724">
        <v>28</v>
      </c>
      <c r="E1724" t="s">
        <v>75</v>
      </c>
      <c r="G1724">
        <v>173.85</v>
      </c>
      <c r="H1724">
        <v>173.875</v>
      </c>
      <c r="I1724" t="s">
        <v>352</v>
      </c>
      <c r="K1724">
        <f t="shared" si="52"/>
        <v>173.85</v>
      </c>
      <c r="L1724">
        <f t="shared" si="53"/>
        <v>173.875</v>
      </c>
      <c r="M1724" t="s">
        <v>293</v>
      </c>
      <c r="O1724" s="7">
        <v>44371</v>
      </c>
      <c r="P1724" s="19" t="s">
        <v>145</v>
      </c>
      <c r="U1724" t="s">
        <v>371</v>
      </c>
    </row>
    <row r="1725" spans="1:21" x14ac:dyDescent="0.15">
      <c r="A1725" t="s">
        <v>350</v>
      </c>
      <c r="B1725" t="s">
        <v>351</v>
      </c>
      <c r="D1725">
        <v>28</v>
      </c>
      <c r="E1725" t="s">
        <v>75</v>
      </c>
      <c r="G1725">
        <v>174.3</v>
      </c>
      <c r="H1725">
        <v>174.41</v>
      </c>
      <c r="I1725" t="s">
        <v>352</v>
      </c>
      <c r="K1725">
        <f t="shared" si="52"/>
        <v>174.3</v>
      </c>
      <c r="L1725">
        <f t="shared" si="53"/>
        <v>174.41</v>
      </c>
      <c r="M1725" t="s">
        <v>293</v>
      </c>
      <c r="O1725" s="7">
        <v>44371</v>
      </c>
      <c r="P1725" s="19" t="s">
        <v>145</v>
      </c>
      <c r="U1725" t="s">
        <v>353</v>
      </c>
    </row>
    <row r="1726" spans="1:21" x14ac:dyDescent="0.15">
      <c r="A1726" t="s">
        <v>350</v>
      </c>
      <c r="B1726" t="s">
        <v>351</v>
      </c>
      <c r="D1726">
        <v>28</v>
      </c>
      <c r="E1726" t="s">
        <v>75</v>
      </c>
      <c r="G1726">
        <v>174.3</v>
      </c>
      <c r="H1726">
        <v>174.41</v>
      </c>
      <c r="I1726" t="s">
        <v>373</v>
      </c>
      <c r="K1726">
        <f t="shared" si="52"/>
        <v>174.3</v>
      </c>
      <c r="L1726">
        <f t="shared" si="53"/>
        <v>174.41</v>
      </c>
      <c r="M1726" t="s">
        <v>293</v>
      </c>
      <c r="O1726" s="7">
        <v>44371</v>
      </c>
      <c r="P1726" s="19" t="s">
        <v>145</v>
      </c>
      <c r="U1726" t="s">
        <v>353</v>
      </c>
    </row>
    <row r="1727" spans="1:21" x14ac:dyDescent="0.15">
      <c r="A1727" t="s">
        <v>350</v>
      </c>
      <c r="B1727" t="s">
        <v>351</v>
      </c>
      <c r="D1727">
        <v>28</v>
      </c>
      <c r="E1727" t="s">
        <v>75</v>
      </c>
      <c r="G1727">
        <v>174.46</v>
      </c>
      <c r="H1727">
        <v>174.6</v>
      </c>
      <c r="I1727" t="s">
        <v>352</v>
      </c>
      <c r="K1727">
        <f t="shared" si="52"/>
        <v>174.46</v>
      </c>
      <c r="L1727">
        <f t="shared" si="53"/>
        <v>174.6</v>
      </c>
      <c r="M1727" t="s">
        <v>293</v>
      </c>
      <c r="O1727" s="7">
        <v>44371</v>
      </c>
      <c r="P1727" s="19" t="s">
        <v>145</v>
      </c>
      <c r="U1727" t="s">
        <v>353</v>
      </c>
    </row>
    <row r="1728" spans="1:21" x14ac:dyDescent="0.15">
      <c r="A1728" t="s">
        <v>350</v>
      </c>
      <c r="B1728" t="s">
        <v>351</v>
      </c>
      <c r="D1728">
        <v>28</v>
      </c>
      <c r="E1728" t="s">
        <v>75</v>
      </c>
      <c r="G1728">
        <v>174.46</v>
      </c>
      <c r="H1728">
        <v>174.6</v>
      </c>
      <c r="I1728" t="s">
        <v>373</v>
      </c>
      <c r="K1728">
        <f t="shared" si="52"/>
        <v>174.46</v>
      </c>
      <c r="L1728">
        <f t="shared" si="53"/>
        <v>174.6</v>
      </c>
      <c r="M1728" t="s">
        <v>293</v>
      </c>
      <c r="O1728" s="7">
        <v>44371</v>
      </c>
      <c r="P1728" s="19" t="s">
        <v>145</v>
      </c>
      <c r="U1728" t="s">
        <v>353</v>
      </c>
    </row>
    <row r="1729" spans="1:21" x14ac:dyDescent="0.15">
      <c r="A1729" t="s">
        <v>350</v>
      </c>
      <c r="B1729" t="s">
        <v>351</v>
      </c>
      <c r="D1729">
        <v>28</v>
      </c>
      <c r="E1729" t="s">
        <v>75</v>
      </c>
      <c r="G1729">
        <v>176.7</v>
      </c>
      <c r="H1729">
        <v>176.8</v>
      </c>
      <c r="I1729" t="s">
        <v>357</v>
      </c>
      <c r="K1729">
        <f t="shared" ref="K1729:K1792" si="54">MIN(G1729:H1729)</f>
        <v>176.7</v>
      </c>
      <c r="L1729">
        <f t="shared" ref="L1729:L1792" si="55">MAX(G1729:H1729)</f>
        <v>176.8</v>
      </c>
      <c r="M1729" t="s">
        <v>293</v>
      </c>
      <c r="O1729" s="7">
        <v>44302</v>
      </c>
      <c r="P1729" s="19" t="s">
        <v>145</v>
      </c>
      <c r="U1729" t="s">
        <v>353</v>
      </c>
    </row>
    <row r="1730" spans="1:21" x14ac:dyDescent="0.15">
      <c r="A1730" t="s">
        <v>350</v>
      </c>
      <c r="B1730" t="s">
        <v>351</v>
      </c>
      <c r="D1730">
        <v>28</v>
      </c>
      <c r="E1730" t="s">
        <v>75</v>
      </c>
      <c r="G1730">
        <v>176.7</v>
      </c>
      <c r="H1730">
        <v>176.8</v>
      </c>
      <c r="I1730" t="s">
        <v>352</v>
      </c>
      <c r="K1730">
        <f t="shared" si="54"/>
        <v>176.7</v>
      </c>
      <c r="L1730">
        <f t="shared" si="55"/>
        <v>176.8</v>
      </c>
      <c r="O1730" s="7">
        <v>44504</v>
      </c>
      <c r="P1730" s="19"/>
      <c r="U1730" t="s">
        <v>380</v>
      </c>
    </row>
    <row r="1731" spans="1:21" x14ac:dyDescent="0.15">
      <c r="A1731" t="s">
        <v>350</v>
      </c>
      <c r="B1731" t="s">
        <v>351</v>
      </c>
      <c r="D1731">
        <v>28</v>
      </c>
      <c r="E1731" t="s">
        <v>75</v>
      </c>
      <c r="G1731">
        <v>177.4</v>
      </c>
      <c r="H1731">
        <v>177.9</v>
      </c>
      <c r="I1731" t="s">
        <v>352</v>
      </c>
      <c r="K1731">
        <f t="shared" si="54"/>
        <v>177.4</v>
      </c>
      <c r="L1731">
        <f t="shared" si="55"/>
        <v>177.9</v>
      </c>
      <c r="M1731" t="s">
        <v>293</v>
      </c>
      <c r="O1731" s="7">
        <v>44369</v>
      </c>
      <c r="P1731" s="19" t="s">
        <v>145</v>
      </c>
      <c r="U1731" t="s">
        <v>353</v>
      </c>
    </row>
    <row r="1732" spans="1:21" x14ac:dyDescent="0.15">
      <c r="A1732" t="s">
        <v>350</v>
      </c>
      <c r="B1732" t="s">
        <v>351</v>
      </c>
      <c r="D1732">
        <v>28</v>
      </c>
      <c r="E1732" t="s">
        <v>75</v>
      </c>
      <c r="G1732">
        <v>181.3</v>
      </c>
      <c r="H1732">
        <v>181.9</v>
      </c>
      <c r="I1732" t="s">
        <v>352</v>
      </c>
      <c r="K1732">
        <f t="shared" si="54"/>
        <v>181.3</v>
      </c>
      <c r="L1732">
        <f t="shared" si="55"/>
        <v>181.9</v>
      </c>
      <c r="M1732" t="s">
        <v>293</v>
      </c>
      <c r="O1732" s="7">
        <v>44301</v>
      </c>
      <c r="P1732" s="19" t="s">
        <v>145</v>
      </c>
      <c r="U1732" t="s">
        <v>353</v>
      </c>
    </row>
    <row r="1733" spans="1:21" x14ac:dyDescent="0.15">
      <c r="A1733" t="s">
        <v>350</v>
      </c>
      <c r="B1733" t="s">
        <v>351</v>
      </c>
      <c r="D1733">
        <v>28</v>
      </c>
      <c r="E1733" t="s">
        <v>75</v>
      </c>
      <c r="G1733">
        <v>184.4</v>
      </c>
      <c r="H1733">
        <v>184.5</v>
      </c>
      <c r="I1733" t="s">
        <v>352</v>
      </c>
      <c r="K1733">
        <f t="shared" si="54"/>
        <v>184.4</v>
      </c>
      <c r="L1733">
        <f t="shared" si="55"/>
        <v>184.5</v>
      </c>
      <c r="M1733" t="s">
        <v>293</v>
      </c>
      <c r="O1733" s="7">
        <v>44371</v>
      </c>
      <c r="P1733" s="19" t="s">
        <v>145</v>
      </c>
      <c r="U1733" t="s">
        <v>353</v>
      </c>
    </row>
    <row r="1734" spans="1:21" x14ac:dyDescent="0.15">
      <c r="A1734" t="s">
        <v>350</v>
      </c>
      <c r="B1734" t="s">
        <v>351</v>
      </c>
      <c r="D1734">
        <v>28</v>
      </c>
      <c r="E1734" t="s">
        <v>75</v>
      </c>
      <c r="G1734">
        <v>185.4</v>
      </c>
      <c r="H1734">
        <v>185.65</v>
      </c>
      <c r="I1734" t="s">
        <v>374</v>
      </c>
      <c r="K1734">
        <f t="shared" si="54"/>
        <v>185.4</v>
      </c>
      <c r="L1734">
        <f t="shared" si="55"/>
        <v>185.65</v>
      </c>
      <c r="M1734" t="s">
        <v>293</v>
      </c>
      <c r="O1734" s="7">
        <v>44371</v>
      </c>
      <c r="P1734" s="19" t="s">
        <v>145</v>
      </c>
      <c r="U1734" t="s">
        <v>353</v>
      </c>
    </row>
    <row r="1735" spans="1:21" x14ac:dyDescent="0.15">
      <c r="A1735" t="s">
        <v>350</v>
      </c>
      <c r="B1735" t="s">
        <v>351</v>
      </c>
      <c r="D1735">
        <v>28</v>
      </c>
      <c r="E1735" t="s">
        <v>75</v>
      </c>
      <c r="G1735">
        <v>185.62</v>
      </c>
      <c r="H1735" t="s">
        <v>355</v>
      </c>
      <c r="I1735" t="s">
        <v>374</v>
      </c>
      <c r="K1735">
        <f t="shared" si="54"/>
        <v>185.62</v>
      </c>
      <c r="L1735">
        <f t="shared" si="55"/>
        <v>185.62</v>
      </c>
      <c r="O1735" s="7">
        <v>44375</v>
      </c>
      <c r="P1735" s="19"/>
      <c r="U1735" t="s">
        <v>364</v>
      </c>
    </row>
    <row r="1736" spans="1:21" x14ac:dyDescent="0.15">
      <c r="A1736" t="s">
        <v>350</v>
      </c>
      <c r="B1736" t="s">
        <v>351</v>
      </c>
      <c r="D1736">
        <v>28</v>
      </c>
      <c r="E1736" t="s">
        <v>75</v>
      </c>
      <c r="G1736">
        <v>185.9</v>
      </c>
      <c r="H1736">
        <v>186.1</v>
      </c>
      <c r="I1736" t="s">
        <v>373</v>
      </c>
      <c r="K1736">
        <f t="shared" si="54"/>
        <v>185.9</v>
      </c>
      <c r="L1736">
        <f t="shared" si="55"/>
        <v>186.1</v>
      </c>
      <c r="M1736" t="s">
        <v>293</v>
      </c>
      <c r="O1736" s="7">
        <v>44371</v>
      </c>
      <c r="P1736" s="19" t="s">
        <v>145</v>
      </c>
      <c r="U1736" t="s">
        <v>353</v>
      </c>
    </row>
    <row r="1737" spans="1:21" x14ac:dyDescent="0.15">
      <c r="A1737" t="s">
        <v>350</v>
      </c>
      <c r="B1737" t="s">
        <v>351</v>
      </c>
      <c r="D1737">
        <v>28</v>
      </c>
      <c r="E1737" t="s">
        <v>75</v>
      </c>
      <c r="G1737">
        <v>161.1</v>
      </c>
      <c r="H1737">
        <v>161.30000000000001</v>
      </c>
      <c r="I1737" t="s">
        <v>357</v>
      </c>
      <c r="K1737">
        <f t="shared" si="54"/>
        <v>161.1</v>
      </c>
      <c r="L1737">
        <f t="shared" si="55"/>
        <v>161.30000000000001</v>
      </c>
      <c r="M1737" t="s">
        <v>293</v>
      </c>
      <c r="O1737" s="7">
        <v>44463</v>
      </c>
      <c r="P1737" s="19" t="s">
        <v>145</v>
      </c>
      <c r="U1737" t="s">
        <v>353</v>
      </c>
    </row>
    <row r="1738" spans="1:21" x14ac:dyDescent="0.15">
      <c r="A1738" t="s">
        <v>350</v>
      </c>
      <c r="B1738" t="s">
        <v>351</v>
      </c>
      <c r="D1738">
        <v>28</v>
      </c>
      <c r="E1738" t="s">
        <v>75</v>
      </c>
      <c r="G1738">
        <v>180.5</v>
      </c>
      <c r="H1738">
        <v>180.7</v>
      </c>
      <c r="I1738" t="s">
        <v>352</v>
      </c>
      <c r="K1738">
        <f t="shared" si="54"/>
        <v>180.5</v>
      </c>
      <c r="L1738">
        <f t="shared" si="55"/>
        <v>180.7</v>
      </c>
      <c r="M1738" t="s">
        <v>293</v>
      </c>
      <c r="O1738" s="7">
        <v>44301</v>
      </c>
      <c r="P1738" s="19" t="s">
        <v>145</v>
      </c>
      <c r="U1738" t="s">
        <v>353</v>
      </c>
    </row>
    <row r="1739" spans="1:21" x14ac:dyDescent="0.15">
      <c r="A1739" t="s">
        <v>350</v>
      </c>
      <c r="B1739" t="s">
        <v>351</v>
      </c>
      <c r="D1739">
        <v>28</v>
      </c>
      <c r="E1739" t="s">
        <v>75</v>
      </c>
      <c r="G1739">
        <v>180.8</v>
      </c>
      <c r="H1739">
        <v>180.9</v>
      </c>
      <c r="I1739" t="s">
        <v>352</v>
      </c>
      <c r="K1739">
        <f t="shared" si="54"/>
        <v>180.8</v>
      </c>
      <c r="L1739">
        <f t="shared" si="55"/>
        <v>180.9</v>
      </c>
      <c r="M1739" t="s">
        <v>293</v>
      </c>
      <c r="O1739" s="7">
        <v>44301</v>
      </c>
      <c r="P1739" s="19" t="s">
        <v>145</v>
      </c>
      <c r="U1739" t="s">
        <v>353</v>
      </c>
    </row>
    <row r="1740" spans="1:21" x14ac:dyDescent="0.15">
      <c r="A1740" t="s">
        <v>350</v>
      </c>
      <c r="B1740" t="s">
        <v>351</v>
      </c>
      <c r="D1740">
        <v>28</v>
      </c>
      <c r="E1740" t="s">
        <v>75</v>
      </c>
      <c r="G1740">
        <v>182.2</v>
      </c>
      <c r="H1740">
        <v>182.4</v>
      </c>
      <c r="I1740" t="s">
        <v>352</v>
      </c>
      <c r="K1740">
        <f t="shared" si="54"/>
        <v>182.2</v>
      </c>
      <c r="L1740">
        <f t="shared" si="55"/>
        <v>182.4</v>
      </c>
      <c r="M1740" t="s">
        <v>293</v>
      </c>
      <c r="O1740" s="7">
        <v>44301</v>
      </c>
      <c r="P1740" s="19" t="s">
        <v>145</v>
      </c>
      <c r="U1740" t="s">
        <v>353</v>
      </c>
    </row>
    <row r="1741" spans="1:21" x14ac:dyDescent="0.15">
      <c r="A1741" t="s">
        <v>350</v>
      </c>
      <c r="B1741" t="s">
        <v>351</v>
      </c>
      <c r="D1741">
        <v>28</v>
      </c>
      <c r="E1741" t="s">
        <v>75</v>
      </c>
      <c r="G1741">
        <v>182.2</v>
      </c>
      <c r="H1741">
        <v>182.4</v>
      </c>
      <c r="I1741" t="s">
        <v>352</v>
      </c>
      <c r="K1741">
        <f t="shared" si="54"/>
        <v>182.2</v>
      </c>
      <c r="L1741">
        <f t="shared" si="55"/>
        <v>182.4</v>
      </c>
      <c r="O1741" s="7">
        <v>44376</v>
      </c>
      <c r="P1741" s="19"/>
      <c r="U1741" t="s">
        <v>381</v>
      </c>
    </row>
    <row r="1742" spans="1:21" x14ac:dyDescent="0.15">
      <c r="A1742" t="s">
        <v>350</v>
      </c>
      <c r="B1742" t="s">
        <v>351</v>
      </c>
      <c r="D1742">
        <v>28</v>
      </c>
      <c r="E1742" t="s">
        <v>75</v>
      </c>
      <c r="G1742">
        <v>182.5</v>
      </c>
      <c r="H1742">
        <v>182.8</v>
      </c>
      <c r="I1742" t="s">
        <v>352</v>
      </c>
      <c r="K1742">
        <f t="shared" si="54"/>
        <v>182.5</v>
      </c>
      <c r="L1742">
        <f t="shared" si="55"/>
        <v>182.8</v>
      </c>
      <c r="M1742" t="s">
        <v>293</v>
      </c>
      <c r="O1742" s="7">
        <v>44301</v>
      </c>
      <c r="P1742" s="19" t="s">
        <v>145</v>
      </c>
      <c r="U1742" t="s">
        <v>353</v>
      </c>
    </row>
    <row r="1743" spans="1:21" x14ac:dyDescent="0.15">
      <c r="A1743" t="s">
        <v>350</v>
      </c>
      <c r="B1743" t="s">
        <v>351</v>
      </c>
      <c r="D1743">
        <v>28</v>
      </c>
      <c r="E1743" t="s">
        <v>75</v>
      </c>
      <c r="G1743">
        <v>182.5</v>
      </c>
      <c r="H1743">
        <v>182.8</v>
      </c>
      <c r="I1743" t="s">
        <v>352</v>
      </c>
      <c r="K1743">
        <f t="shared" si="54"/>
        <v>182.5</v>
      </c>
      <c r="L1743">
        <f t="shared" si="55"/>
        <v>182.8</v>
      </c>
      <c r="O1743" s="7">
        <v>44376</v>
      </c>
      <c r="P1743" s="19"/>
      <c r="U1743" t="s">
        <v>381</v>
      </c>
    </row>
    <row r="1744" spans="1:21" x14ac:dyDescent="0.15">
      <c r="A1744" t="s">
        <v>350</v>
      </c>
      <c r="B1744" t="s">
        <v>351</v>
      </c>
      <c r="D1744">
        <v>28</v>
      </c>
      <c r="E1744" t="s">
        <v>75</v>
      </c>
      <c r="G1744">
        <v>183</v>
      </c>
      <c r="H1744">
        <v>183.1</v>
      </c>
      <c r="I1744" t="s">
        <v>352</v>
      </c>
      <c r="K1744">
        <f t="shared" si="54"/>
        <v>183</v>
      </c>
      <c r="L1744">
        <f t="shared" si="55"/>
        <v>183.1</v>
      </c>
      <c r="M1744" t="s">
        <v>293</v>
      </c>
      <c r="O1744" s="7">
        <v>44301</v>
      </c>
      <c r="P1744" s="19" t="s">
        <v>145</v>
      </c>
      <c r="U1744" t="s">
        <v>353</v>
      </c>
    </row>
    <row r="1745" spans="1:21" x14ac:dyDescent="0.15">
      <c r="A1745" t="s">
        <v>350</v>
      </c>
      <c r="B1745" t="s">
        <v>351</v>
      </c>
      <c r="D1745">
        <v>28</v>
      </c>
      <c r="E1745" t="s">
        <v>75</v>
      </c>
      <c r="G1745">
        <v>183</v>
      </c>
      <c r="H1745">
        <v>183.1</v>
      </c>
      <c r="I1745" t="s">
        <v>352</v>
      </c>
      <c r="K1745">
        <f t="shared" si="54"/>
        <v>183</v>
      </c>
      <c r="L1745">
        <f t="shared" si="55"/>
        <v>183.1</v>
      </c>
      <c r="O1745" s="7">
        <v>44376</v>
      </c>
      <c r="P1745" s="19"/>
      <c r="U1745" t="s">
        <v>381</v>
      </c>
    </row>
    <row r="1746" spans="1:21" x14ac:dyDescent="0.15">
      <c r="A1746" t="s">
        <v>350</v>
      </c>
      <c r="B1746" t="s">
        <v>351</v>
      </c>
      <c r="D1746">
        <v>28</v>
      </c>
      <c r="E1746" t="s">
        <v>75</v>
      </c>
      <c r="G1746">
        <v>184.7</v>
      </c>
      <c r="H1746">
        <v>184.8</v>
      </c>
      <c r="I1746" t="s">
        <v>352</v>
      </c>
      <c r="K1746">
        <f t="shared" si="54"/>
        <v>184.7</v>
      </c>
      <c r="L1746">
        <f t="shared" si="55"/>
        <v>184.8</v>
      </c>
      <c r="M1746" t="s">
        <v>293</v>
      </c>
      <c r="O1746" s="7">
        <v>44371</v>
      </c>
      <c r="P1746" s="19" t="s">
        <v>145</v>
      </c>
      <c r="U1746" t="s">
        <v>353</v>
      </c>
    </row>
    <row r="1747" spans="1:21" x14ac:dyDescent="0.15">
      <c r="A1747" t="s">
        <v>350</v>
      </c>
      <c r="B1747" t="s">
        <v>351</v>
      </c>
      <c r="D1747">
        <v>28</v>
      </c>
      <c r="E1747" t="s">
        <v>75</v>
      </c>
      <c r="G1747">
        <v>185</v>
      </c>
      <c r="H1747">
        <v>185.3</v>
      </c>
      <c r="I1747" t="s">
        <v>352</v>
      </c>
      <c r="K1747">
        <f t="shared" si="54"/>
        <v>185</v>
      </c>
      <c r="L1747">
        <f t="shared" si="55"/>
        <v>185.3</v>
      </c>
      <c r="M1747" t="s">
        <v>293</v>
      </c>
      <c r="O1747" s="7">
        <v>44371</v>
      </c>
      <c r="P1747" s="19" t="s">
        <v>145</v>
      </c>
      <c r="U1747" t="s">
        <v>353</v>
      </c>
    </row>
    <row r="1748" spans="1:21" x14ac:dyDescent="0.15">
      <c r="A1748" t="s">
        <v>350</v>
      </c>
      <c r="B1748" t="s">
        <v>351</v>
      </c>
      <c r="D1748">
        <v>28</v>
      </c>
      <c r="E1748" t="s">
        <v>75</v>
      </c>
      <c r="G1748">
        <v>186.9</v>
      </c>
      <c r="H1748">
        <v>187.1</v>
      </c>
      <c r="I1748" t="s">
        <v>352</v>
      </c>
      <c r="K1748">
        <f t="shared" si="54"/>
        <v>186.9</v>
      </c>
      <c r="L1748">
        <f t="shared" si="55"/>
        <v>187.1</v>
      </c>
      <c r="M1748" t="s">
        <v>293</v>
      </c>
      <c r="O1748" s="7">
        <v>44308</v>
      </c>
      <c r="P1748" s="19" t="s">
        <v>145</v>
      </c>
      <c r="U1748" t="s">
        <v>353</v>
      </c>
    </row>
    <row r="1749" spans="1:21" x14ac:dyDescent="0.15">
      <c r="A1749" t="s">
        <v>350</v>
      </c>
      <c r="B1749" t="s">
        <v>351</v>
      </c>
      <c r="D1749">
        <v>7</v>
      </c>
      <c r="E1749" t="s">
        <v>76</v>
      </c>
      <c r="F1749" t="s">
        <v>77</v>
      </c>
      <c r="G1749">
        <v>193.18</v>
      </c>
      <c r="H1749">
        <v>193.23</v>
      </c>
      <c r="J1749" t="s">
        <v>23</v>
      </c>
      <c r="K1749">
        <f t="shared" si="54"/>
        <v>193.18</v>
      </c>
      <c r="L1749">
        <f t="shared" si="55"/>
        <v>193.23</v>
      </c>
      <c r="M1749" t="s">
        <v>28</v>
      </c>
      <c r="O1749" s="7">
        <v>44355</v>
      </c>
      <c r="P1749" s="19"/>
      <c r="U1749" t="s">
        <v>382</v>
      </c>
    </row>
    <row r="1750" spans="1:21" x14ac:dyDescent="0.15">
      <c r="A1750" t="s">
        <v>350</v>
      </c>
      <c r="B1750" t="s">
        <v>351</v>
      </c>
      <c r="D1750">
        <v>7</v>
      </c>
      <c r="E1750" t="s">
        <v>74</v>
      </c>
      <c r="G1750">
        <v>191.35</v>
      </c>
      <c r="H1750">
        <v>191.1</v>
      </c>
      <c r="I1750" t="s">
        <v>362</v>
      </c>
      <c r="K1750">
        <f t="shared" si="54"/>
        <v>191.1</v>
      </c>
      <c r="L1750">
        <f t="shared" si="55"/>
        <v>191.35</v>
      </c>
      <c r="M1750" t="s">
        <v>293</v>
      </c>
      <c r="O1750" s="7">
        <v>44356</v>
      </c>
      <c r="P1750" s="19" t="s">
        <v>145</v>
      </c>
      <c r="U1750" t="s">
        <v>353</v>
      </c>
    </row>
    <row r="1751" spans="1:21" x14ac:dyDescent="0.15">
      <c r="A1751" t="s">
        <v>350</v>
      </c>
      <c r="B1751" t="s">
        <v>351</v>
      </c>
      <c r="D1751">
        <v>7</v>
      </c>
      <c r="E1751" t="s">
        <v>74</v>
      </c>
      <c r="G1751">
        <v>190.66</v>
      </c>
      <c r="H1751">
        <v>190.63499999999999</v>
      </c>
      <c r="I1751" t="s">
        <v>359</v>
      </c>
      <c r="K1751">
        <f t="shared" si="54"/>
        <v>190.63499999999999</v>
      </c>
      <c r="L1751">
        <f t="shared" si="55"/>
        <v>190.66</v>
      </c>
      <c r="M1751" t="s">
        <v>293</v>
      </c>
      <c r="O1751" s="7">
        <v>44356</v>
      </c>
      <c r="P1751" s="19" t="s">
        <v>145</v>
      </c>
      <c r="U1751" t="s">
        <v>353</v>
      </c>
    </row>
    <row r="1752" spans="1:21" x14ac:dyDescent="0.15">
      <c r="A1752" t="s">
        <v>350</v>
      </c>
      <c r="B1752" t="s">
        <v>351</v>
      </c>
      <c r="D1752">
        <v>7</v>
      </c>
      <c r="E1752" t="s">
        <v>74</v>
      </c>
      <c r="G1752">
        <v>190.4</v>
      </c>
      <c r="H1752">
        <v>190.375</v>
      </c>
      <c r="I1752" t="s">
        <v>359</v>
      </c>
      <c r="K1752">
        <f t="shared" si="54"/>
        <v>190.375</v>
      </c>
      <c r="L1752">
        <f t="shared" si="55"/>
        <v>190.4</v>
      </c>
      <c r="M1752" t="s">
        <v>293</v>
      </c>
      <c r="O1752" s="7">
        <v>44356</v>
      </c>
      <c r="P1752" s="19" t="s">
        <v>145</v>
      </c>
      <c r="U1752" t="s">
        <v>353</v>
      </c>
    </row>
    <row r="1753" spans="1:21" x14ac:dyDescent="0.15">
      <c r="A1753" t="s">
        <v>350</v>
      </c>
      <c r="B1753" t="s">
        <v>351</v>
      </c>
      <c r="D1753">
        <v>7</v>
      </c>
      <c r="E1753" t="s">
        <v>74</v>
      </c>
      <c r="G1753">
        <v>189.74</v>
      </c>
      <c r="H1753">
        <v>189.715</v>
      </c>
      <c r="I1753" t="s">
        <v>359</v>
      </c>
      <c r="K1753">
        <f t="shared" si="54"/>
        <v>189.715</v>
      </c>
      <c r="L1753">
        <f t="shared" si="55"/>
        <v>189.74</v>
      </c>
      <c r="M1753" t="s">
        <v>293</v>
      </c>
      <c r="O1753" s="7">
        <v>44356</v>
      </c>
      <c r="P1753" s="19" t="s">
        <v>145</v>
      </c>
      <c r="U1753" t="s">
        <v>353</v>
      </c>
    </row>
    <row r="1754" spans="1:21" x14ac:dyDescent="0.15">
      <c r="A1754" t="s">
        <v>350</v>
      </c>
      <c r="B1754" t="s">
        <v>351</v>
      </c>
      <c r="D1754">
        <v>7</v>
      </c>
      <c r="E1754" t="s">
        <v>74</v>
      </c>
      <c r="G1754">
        <v>183.47499999999999</v>
      </c>
      <c r="H1754">
        <v>183.375</v>
      </c>
      <c r="I1754" t="s">
        <v>368</v>
      </c>
      <c r="K1754">
        <f t="shared" si="54"/>
        <v>183.375</v>
      </c>
      <c r="L1754">
        <f t="shared" si="55"/>
        <v>183.47499999999999</v>
      </c>
      <c r="M1754" t="s">
        <v>293</v>
      </c>
      <c r="O1754" s="7">
        <v>44354</v>
      </c>
      <c r="P1754" s="19" t="s">
        <v>145</v>
      </c>
      <c r="U1754" t="s">
        <v>353</v>
      </c>
    </row>
    <row r="1755" spans="1:21" x14ac:dyDescent="0.15">
      <c r="A1755" t="s">
        <v>350</v>
      </c>
      <c r="B1755" t="s">
        <v>351</v>
      </c>
      <c r="D1755">
        <v>7</v>
      </c>
      <c r="E1755" t="s">
        <v>74</v>
      </c>
      <c r="G1755">
        <v>180.07499999999999</v>
      </c>
      <c r="H1755">
        <v>179.375</v>
      </c>
      <c r="I1755" t="s">
        <v>383</v>
      </c>
      <c r="K1755">
        <f t="shared" si="54"/>
        <v>179.375</v>
      </c>
      <c r="L1755">
        <f t="shared" si="55"/>
        <v>180.07499999999999</v>
      </c>
      <c r="M1755" t="s">
        <v>293</v>
      </c>
      <c r="O1755" s="7">
        <v>44350</v>
      </c>
      <c r="P1755" s="19" t="s">
        <v>145</v>
      </c>
      <c r="U1755" t="s">
        <v>353</v>
      </c>
    </row>
    <row r="1756" spans="1:21" x14ac:dyDescent="0.15">
      <c r="A1756" t="s">
        <v>350</v>
      </c>
      <c r="B1756" t="s">
        <v>351</v>
      </c>
      <c r="D1756">
        <v>7</v>
      </c>
      <c r="E1756" t="s">
        <v>74</v>
      </c>
      <c r="G1756">
        <v>179.05</v>
      </c>
      <c r="H1756">
        <v>178.9</v>
      </c>
      <c r="I1756" t="s">
        <v>360</v>
      </c>
      <c r="K1756">
        <f t="shared" si="54"/>
        <v>178.9</v>
      </c>
      <c r="L1756">
        <f t="shared" si="55"/>
        <v>179.05</v>
      </c>
      <c r="M1756" t="s">
        <v>293</v>
      </c>
      <c r="O1756" s="7">
        <v>44354</v>
      </c>
      <c r="P1756" s="19" t="s">
        <v>145</v>
      </c>
      <c r="U1756" t="s">
        <v>353</v>
      </c>
    </row>
    <row r="1757" spans="1:21" x14ac:dyDescent="0.15">
      <c r="A1757" t="s">
        <v>350</v>
      </c>
      <c r="B1757" t="s">
        <v>351</v>
      </c>
      <c r="D1757">
        <v>7</v>
      </c>
      <c r="E1757" t="s">
        <v>74</v>
      </c>
      <c r="G1757">
        <v>172.05</v>
      </c>
      <c r="H1757">
        <v>172.01</v>
      </c>
      <c r="I1757" t="s">
        <v>360</v>
      </c>
      <c r="K1757">
        <f t="shared" si="54"/>
        <v>172.01</v>
      </c>
      <c r="L1757">
        <f t="shared" si="55"/>
        <v>172.05</v>
      </c>
      <c r="M1757" t="s">
        <v>293</v>
      </c>
      <c r="O1757" s="7">
        <v>44350</v>
      </c>
      <c r="P1757" s="19" t="s">
        <v>145</v>
      </c>
      <c r="U1757" t="s">
        <v>353</v>
      </c>
    </row>
    <row r="1758" spans="1:21" x14ac:dyDescent="0.15">
      <c r="A1758" t="s">
        <v>350</v>
      </c>
      <c r="B1758" t="s">
        <v>351</v>
      </c>
      <c r="D1758">
        <v>7</v>
      </c>
      <c r="E1758" t="s">
        <v>74</v>
      </c>
      <c r="G1758">
        <v>170.5</v>
      </c>
      <c r="H1758">
        <v>170.6</v>
      </c>
      <c r="I1758" t="s">
        <v>360</v>
      </c>
      <c r="K1758">
        <f t="shared" si="54"/>
        <v>170.5</v>
      </c>
      <c r="L1758">
        <f t="shared" si="55"/>
        <v>170.6</v>
      </c>
      <c r="M1758" t="s">
        <v>293</v>
      </c>
      <c r="O1758" s="7">
        <v>44355</v>
      </c>
      <c r="P1758" s="19" t="s">
        <v>145</v>
      </c>
      <c r="U1758" t="s">
        <v>353</v>
      </c>
    </row>
    <row r="1759" spans="1:21" x14ac:dyDescent="0.15">
      <c r="A1759" t="s">
        <v>350</v>
      </c>
      <c r="B1759" t="s">
        <v>351</v>
      </c>
      <c r="D1759">
        <v>7</v>
      </c>
      <c r="E1759" t="s">
        <v>74</v>
      </c>
      <c r="G1759">
        <v>170.5</v>
      </c>
      <c r="H1759">
        <v>170.6</v>
      </c>
      <c r="I1759" t="s">
        <v>359</v>
      </c>
      <c r="K1759">
        <f t="shared" si="54"/>
        <v>170.5</v>
      </c>
      <c r="L1759">
        <f t="shared" si="55"/>
        <v>170.6</v>
      </c>
      <c r="M1759" t="s">
        <v>293</v>
      </c>
      <c r="O1759" s="7">
        <v>44354</v>
      </c>
      <c r="P1759" s="19" t="s">
        <v>145</v>
      </c>
      <c r="U1759" t="s">
        <v>353</v>
      </c>
    </row>
    <row r="1760" spans="1:21" x14ac:dyDescent="0.15">
      <c r="A1760" t="s">
        <v>350</v>
      </c>
      <c r="B1760" t="s">
        <v>351</v>
      </c>
      <c r="D1760">
        <v>7</v>
      </c>
      <c r="E1760" t="s">
        <v>75</v>
      </c>
      <c r="G1760">
        <v>180.59</v>
      </c>
      <c r="H1760">
        <v>180.61500000000001</v>
      </c>
      <c r="I1760" t="s">
        <v>352</v>
      </c>
      <c r="K1760">
        <f t="shared" si="54"/>
        <v>180.59</v>
      </c>
      <c r="L1760">
        <f t="shared" si="55"/>
        <v>180.61500000000001</v>
      </c>
      <c r="M1760" t="s">
        <v>293</v>
      </c>
      <c r="O1760" s="7">
        <v>44356</v>
      </c>
      <c r="P1760" s="19" t="s">
        <v>145</v>
      </c>
      <c r="U1760" t="s">
        <v>353</v>
      </c>
    </row>
    <row r="1761" spans="1:21" x14ac:dyDescent="0.15">
      <c r="A1761" t="s">
        <v>350</v>
      </c>
      <c r="B1761" t="s">
        <v>351</v>
      </c>
      <c r="D1761">
        <v>7</v>
      </c>
      <c r="E1761" t="s">
        <v>75</v>
      </c>
      <c r="G1761">
        <v>180.6</v>
      </c>
      <c r="H1761" t="s">
        <v>355</v>
      </c>
      <c r="I1761" t="s">
        <v>352</v>
      </c>
      <c r="K1761">
        <f t="shared" si="54"/>
        <v>180.6</v>
      </c>
      <c r="L1761">
        <f t="shared" si="55"/>
        <v>180.6</v>
      </c>
      <c r="O1761" s="7">
        <v>44357</v>
      </c>
      <c r="P1761" s="19"/>
      <c r="U1761" t="s">
        <v>384</v>
      </c>
    </row>
    <row r="1762" spans="1:21" x14ac:dyDescent="0.15">
      <c r="A1762" t="s">
        <v>350</v>
      </c>
      <c r="B1762" t="s">
        <v>351</v>
      </c>
      <c r="D1762">
        <v>7</v>
      </c>
      <c r="E1762" t="s">
        <v>75</v>
      </c>
      <c r="G1762">
        <v>184.45</v>
      </c>
      <c r="H1762">
        <v>184.6</v>
      </c>
      <c r="I1762" t="s">
        <v>373</v>
      </c>
      <c r="K1762">
        <f t="shared" si="54"/>
        <v>184.45</v>
      </c>
      <c r="L1762">
        <f t="shared" si="55"/>
        <v>184.6</v>
      </c>
      <c r="M1762" t="s">
        <v>293</v>
      </c>
      <c r="O1762" s="7">
        <v>44350</v>
      </c>
      <c r="P1762" s="19" t="s">
        <v>145</v>
      </c>
      <c r="U1762" t="s">
        <v>353</v>
      </c>
    </row>
    <row r="1763" spans="1:21" x14ac:dyDescent="0.15">
      <c r="A1763" t="s">
        <v>350</v>
      </c>
      <c r="B1763" t="s">
        <v>351</v>
      </c>
      <c r="D1763">
        <v>7</v>
      </c>
      <c r="E1763" t="s">
        <v>75</v>
      </c>
      <c r="G1763">
        <v>222.2</v>
      </c>
      <c r="H1763">
        <v>222.3</v>
      </c>
      <c r="I1763" t="s">
        <v>373</v>
      </c>
      <c r="K1763">
        <f t="shared" si="54"/>
        <v>222.2</v>
      </c>
      <c r="L1763">
        <f t="shared" si="55"/>
        <v>222.3</v>
      </c>
      <c r="M1763" t="s">
        <v>293</v>
      </c>
      <c r="O1763" s="7">
        <v>44330</v>
      </c>
      <c r="P1763" s="19" t="s">
        <v>145</v>
      </c>
      <c r="U1763" t="s">
        <v>353</v>
      </c>
    </row>
    <row r="1764" spans="1:21" x14ac:dyDescent="0.15">
      <c r="A1764" t="s">
        <v>350</v>
      </c>
      <c r="B1764" t="s">
        <v>351</v>
      </c>
      <c r="D1764">
        <v>7</v>
      </c>
      <c r="E1764" t="s">
        <v>75</v>
      </c>
      <c r="G1764">
        <v>227.6</v>
      </c>
      <c r="H1764">
        <v>228.75</v>
      </c>
      <c r="I1764" t="s">
        <v>352</v>
      </c>
      <c r="K1764">
        <f t="shared" si="54"/>
        <v>227.6</v>
      </c>
      <c r="L1764">
        <f t="shared" si="55"/>
        <v>228.75</v>
      </c>
      <c r="M1764" t="s">
        <v>293</v>
      </c>
      <c r="O1764" s="7">
        <v>44334</v>
      </c>
      <c r="P1764" s="19" t="s">
        <v>145</v>
      </c>
      <c r="U1764" t="s">
        <v>353</v>
      </c>
    </row>
    <row r="1765" spans="1:21" x14ac:dyDescent="0.15">
      <c r="A1765" t="s">
        <v>350</v>
      </c>
      <c r="B1765" t="s">
        <v>351</v>
      </c>
      <c r="D1765">
        <v>7</v>
      </c>
      <c r="E1765" t="s">
        <v>75</v>
      </c>
      <c r="G1765">
        <v>228.27</v>
      </c>
      <c r="H1765" t="s">
        <v>355</v>
      </c>
      <c r="I1765" t="s">
        <v>352</v>
      </c>
      <c r="K1765">
        <f t="shared" si="54"/>
        <v>228.27</v>
      </c>
      <c r="L1765">
        <f t="shared" si="55"/>
        <v>228.27</v>
      </c>
      <c r="O1765" s="7">
        <v>44351</v>
      </c>
      <c r="P1765" s="19"/>
      <c r="U1765" t="s">
        <v>384</v>
      </c>
    </row>
    <row r="1766" spans="1:21" x14ac:dyDescent="0.15">
      <c r="A1766" t="s">
        <v>350</v>
      </c>
      <c r="B1766" t="s">
        <v>351</v>
      </c>
      <c r="D1766">
        <v>7</v>
      </c>
      <c r="E1766" t="s">
        <v>75</v>
      </c>
      <c r="G1766">
        <v>229</v>
      </c>
      <c r="H1766">
        <v>229.28</v>
      </c>
      <c r="I1766" t="s">
        <v>374</v>
      </c>
      <c r="K1766">
        <f t="shared" si="54"/>
        <v>229</v>
      </c>
      <c r="L1766">
        <f t="shared" si="55"/>
        <v>229.28</v>
      </c>
      <c r="M1766" t="s">
        <v>293</v>
      </c>
      <c r="O1766" s="7">
        <v>44334</v>
      </c>
      <c r="P1766" s="19" t="s">
        <v>145</v>
      </c>
      <c r="U1766" t="s">
        <v>353</v>
      </c>
    </row>
    <row r="1767" spans="1:21" x14ac:dyDescent="0.15">
      <c r="A1767" t="s">
        <v>350</v>
      </c>
      <c r="B1767" t="s">
        <v>351</v>
      </c>
      <c r="D1767">
        <v>7</v>
      </c>
      <c r="E1767" t="s">
        <v>75</v>
      </c>
      <c r="G1767">
        <v>229.18</v>
      </c>
      <c r="H1767" t="s">
        <v>355</v>
      </c>
      <c r="J1767" t="s">
        <v>23</v>
      </c>
      <c r="K1767">
        <f t="shared" si="54"/>
        <v>229.18</v>
      </c>
      <c r="L1767">
        <f t="shared" si="55"/>
        <v>229.18</v>
      </c>
      <c r="O1767" s="7">
        <v>44443</v>
      </c>
      <c r="P1767" s="19"/>
      <c r="U1767" t="s">
        <v>376</v>
      </c>
    </row>
    <row r="1768" spans="1:21" x14ac:dyDescent="0.15">
      <c r="A1768" t="s">
        <v>350</v>
      </c>
      <c r="B1768" t="s">
        <v>351</v>
      </c>
      <c r="D1768">
        <v>7</v>
      </c>
      <c r="E1768" t="s">
        <v>75</v>
      </c>
      <c r="G1768">
        <v>229.25</v>
      </c>
      <c r="H1768">
        <v>229.7</v>
      </c>
      <c r="I1768" t="s">
        <v>352</v>
      </c>
      <c r="K1768">
        <f t="shared" si="54"/>
        <v>229.25</v>
      </c>
      <c r="L1768">
        <f t="shared" si="55"/>
        <v>229.7</v>
      </c>
      <c r="M1768" t="s">
        <v>293</v>
      </c>
      <c r="O1768" s="7">
        <v>44398</v>
      </c>
      <c r="P1768" s="19" t="s">
        <v>145</v>
      </c>
      <c r="U1768" t="s">
        <v>353</v>
      </c>
    </row>
    <row r="1769" spans="1:21" x14ac:dyDescent="0.15">
      <c r="A1769" t="s">
        <v>350</v>
      </c>
      <c r="B1769" t="s">
        <v>351</v>
      </c>
      <c r="D1769">
        <v>7</v>
      </c>
      <c r="E1769" t="s">
        <v>75</v>
      </c>
      <c r="G1769">
        <v>229.53</v>
      </c>
      <c r="H1769" t="s">
        <v>355</v>
      </c>
      <c r="I1769" t="s">
        <v>352</v>
      </c>
      <c r="K1769">
        <f t="shared" si="54"/>
        <v>229.53</v>
      </c>
      <c r="L1769">
        <f t="shared" si="55"/>
        <v>229.53</v>
      </c>
      <c r="O1769" s="7">
        <v>44443</v>
      </c>
      <c r="P1769" s="19"/>
      <c r="U1769" t="s">
        <v>364</v>
      </c>
    </row>
    <row r="1770" spans="1:21" x14ac:dyDescent="0.15">
      <c r="A1770" t="s">
        <v>350</v>
      </c>
      <c r="B1770" t="s">
        <v>351</v>
      </c>
      <c r="D1770">
        <v>7</v>
      </c>
      <c r="E1770" t="s">
        <v>75</v>
      </c>
      <c r="G1770">
        <v>229.9</v>
      </c>
      <c r="H1770">
        <v>230.1</v>
      </c>
      <c r="I1770" t="s">
        <v>373</v>
      </c>
      <c r="K1770">
        <f t="shared" si="54"/>
        <v>229.9</v>
      </c>
      <c r="L1770">
        <f t="shared" si="55"/>
        <v>230.1</v>
      </c>
      <c r="M1770" t="s">
        <v>293</v>
      </c>
      <c r="O1770" s="7">
        <v>44504</v>
      </c>
      <c r="P1770" s="19" t="s">
        <v>145</v>
      </c>
      <c r="U1770" t="s">
        <v>353</v>
      </c>
    </row>
    <row r="1771" spans="1:21" x14ac:dyDescent="0.15">
      <c r="A1771" t="s">
        <v>350</v>
      </c>
      <c r="B1771" t="s">
        <v>351</v>
      </c>
      <c r="D1771">
        <v>7</v>
      </c>
      <c r="E1771" t="s">
        <v>75</v>
      </c>
      <c r="G1771">
        <v>230.3</v>
      </c>
      <c r="H1771">
        <v>230.98</v>
      </c>
      <c r="I1771" t="s">
        <v>352</v>
      </c>
      <c r="K1771">
        <f t="shared" si="54"/>
        <v>230.3</v>
      </c>
      <c r="L1771">
        <f t="shared" si="55"/>
        <v>230.98</v>
      </c>
      <c r="M1771" t="s">
        <v>293</v>
      </c>
      <c r="O1771" s="7">
        <v>44504</v>
      </c>
      <c r="P1771" s="19" t="s">
        <v>145</v>
      </c>
      <c r="U1771" t="s">
        <v>353</v>
      </c>
    </row>
    <row r="1772" spans="1:21" x14ac:dyDescent="0.15">
      <c r="A1772" t="s">
        <v>350</v>
      </c>
      <c r="B1772" t="s">
        <v>351</v>
      </c>
      <c r="D1772">
        <v>7</v>
      </c>
      <c r="E1772" t="s">
        <v>75</v>
      </c>
      <c r="G1772">
        <v>231.1</v>
      </c>
      <c r="H1772">
        <v>231.7</v>
      </c>
      <c r="I1772" t="s">
        <v>352</v>
      </c>
      <c r="K1772">
        <f t="shared" si="54"/>
        <v>231.1</v>
      </c>
      <c r="L1772">
        <f t="shared" si="55"/>
        <v>231.7</v>
      </c>
      <c r="M1772" t="s">
        <v>293</v>
      </c>
      <c r="O1772" s="7">
        <v>44504</v>
      </c>
      <c r="P1772" s="19" t="s">
        <v>145</v>
      </c>
      <c r="U1772" t="s">
        <v>353</v>
      </c>
    </row>
    <row r="1773" spans="1:21" x14ac:dyDescent="0.15">
      <c r="A1773" t="s">
        <v>350</v>
      </c>
      <c r="B1773" t="s">
        <v>351</v>
      </c>
      <c r="D1773">
        <v>7</v>
      </c>
      <c r="E1773" t="s">
        <v>75</v>
      </c>
      <c r="G1773">
        <v>231.7</v>
      </c>
      <c r="H1773">
        <v>232</v>
      </c>
      <c r="I1773" t="s">
        <v>374</v>
      </c>
      <c r="K1773">
        <f t="shared" si="54"/>
        <v>231.7</v>
      </c>
      <c r="L1773">
        <f t="shared" si="55"/>
        <v>232</v>
      </c>
      <c r="M1773" t="s">
        <v>293</v>
      </c>
      <c r="O1773" s="7">
        <v>44504</v>
      </c>
      <c r="P1773" s="19" t="s">
        <v>145</v>
      </c>
      <c r="U1773" t="s">
        <v>353</v>
      </c>
    </row>
    <row r="1774" spans="1:21" x14ac:dyDescent="0.15">
      <c r="A1774" t="s">
        <v>350</v>
      </c>
      <c r="B1774" t="s">
        <v>351</v>
      </c>
      <c r="D1774">
        <v>7</v>
      </c>
      <c r="E1774" t="s">
        <v>75</v>
      </c>
      <c r="G1774">
        <v>232</v>
      </c>
      <c r="H1774">
        <v>232.1</v>
      </c>
      <c r="I1774" t="s">
        <v>352</v>
      </c>
      <c r="K1774">
        <f t="shared" si="54"/>
        <v>232</v>
      </c>
      <c r="L1774">
        <f t="shared" si="55"/>
        <v>232.1</v>
      </c>
      <c r="M1774" t="s">
        <v>293</v>
      </c>
      <c r="O1774" s="7">
        <v>44504</v>
      </c>
      <c r="P1774" s="19" t="s">
        <v>145</v>
      </c>
      <c r="U1774" t="s">
        <v>353</v>
      </c>
    </row>
    <row r="1775" spans="1:21" x14ac:dyDescent="0.15">
      <c r="A1775" t="s">
        <v>350</v>
      </c>
      <c r="B1775" t="s">
        <v>351</v>
      </c>
      <c r="D1775">
        <v>7</v>
      </c>
      <c r="E1775" t="s">
        <v>75</v>
      </c>
      <c r="G1775">
        <v>244.3</v>
      </c>
      <c r="H1775">
        <v>245.3</v>
      </c>
      <c r="I1775" t="s">
        <v>352</v>
      </c>
      <c r="K1775">
        <f t="shared" si="54"/>
        <v>244.3</v>
      </c>
      <c r="L1775">
        <f t="shared" si="55"/>
        <v>245.3</v>
      </c>
      <c r="M1775" t="s">
        <v>293</v>
      </c>
      <c r="O1775" s="7">
        <v>44299</v>
      </c>
      <c r="P1775" s="19" t="s">
        <v>145</v>
      </c>
      <c r="U1775" t="s">
        <v>353</v>
      </c>
    </row>
    <row r="1776" spans="1:21" x14ac:dyDescent="0.15">
      <c r="A1776" t="s">
        <v>350</v>
      </c>
      <c r="B1776" t="s">
        <v>351</v>
      </c>
      <c r="D1776">
        <v>7</v>
      </c>
      <c r="E1776" t="s">
        <v>75</v>
      </c>
      <c r="G1776">
        <v>245.45</v>
      </c>
      <c r="H1776">
        <v>247.6</v>
      </c>
      <c r="I1776" t="s">
        <v>352</v>
      </c>
      <c r="K1776">
        <f t="shared" si="54"/>
        <v>245.45</v>
      </c>
      <c r="L1776">
        <f t="shared" si="55"/>
        <v>247.6</v>
      </c>
      <c r="M1776" t="s">
        <v>293</v>
      </c>
      <c r="O1776" s="7">
        <v>44327</v>
      </c>
      <c r="P1776" s="19" t="s">
        <v>145</v>
      </c>
      <c r="U1776" t="s">
        <v>353</v>
      </c>
    </row>
    <row r="1777" spans="1:21" x14ac:dyDescent="0.15">
      <c r="A1777" t="s">
        <v>350</v>
      </c>
      <c r="B1777" t="s">
        <v>351</v>
      </c>
      <c r="D1777">
        <v>7</v>
      </c>
      <c r="E1777" t="s">
        <v>75</v>
      </c>
      <c r="G1777">
        <v>246.52500000000001</v>
      </c>
      <c r="H1777" t="s">
        <v>355</v>
      </c>
      <c r="I1777" t="s">
        <v>352</v>
      </c>
      <c r="K1777">
        <f t="shared" si="54"/>
        <v>246.52500000000001</v>
      </c>
      <c r="L1777">
        <f t="shared" si="55"/>
        <v>246.52500000000001</v>
      </c>
      <c r="O1777" s="7">
        <v>44333</v>
      </c>
      <c r="P1777" s="19"/>
      <c r="U1777" t="s">
        <v>364</v>
      </c>
    </row>
    <row r="1778" spans="1:21" x14ac:dyDescent="0.15">
      <c r="A1778" t="s">
        <v>350</v>
      </c>
      <c r="B1778" t="s">
        <v>351</v>
      </c>
      <c r="D1778">
        <v>7</v>
      </c>
      <c r="E1778" t="s">
        <v>75</v>
      </c>
      <c r="G1778">
        <v>246.5</v>
      </c>
      <c r="H1778" t="s">
        <v>355</v>
      </c>
      <c r="I1778" t="s">
        <v>352</v>
      </c>
      <c r="K1778">
        <f t="shared" si="54"/>
        <v>246.5</v>
      </c>
      <c r="L1778">
        <f t="shared" si="55"/>
        <v>246.5</v>
      </c>
      <c r="O1778" s="7">
        <v>44333</v>
      </c>
      <c r="P1778" s="19"/>
      <c r="U1778" t="s">
        <v>370</v>
      </c>
    </row>
    <row r="1779" spans="1:21" x14ac:dyDescent="0.15">
      <c r="A1779" t="s">
        <v>350</v>
      </c>
      <c r="B1779" t="s">
        <v>351</v>
      </c>
      <c r="D1779">
        <v>7</v>
      </c>
      <c r="E1779" t="s">
        <v>75</v>
      </c>
      <c r="G1779">
        <v>249.8</v>
      </c>
      <c r="H1779">
        <v>250.1</v>
      </c>
      <c r="I1779" t="s">
        <v>352</v>
      </c>
      <c r="K1779">
        <f t="shared" si="54"/>
        <v>249.8</v>
      </c>
      <c r="L1779">
        <f t="shared" si="55"/>
        <v>250.1</v>
      </c>
      <c r="M1779" t="s">
        <v>293</v>
      </c>
      <c r="O1779" s="7">
        <v>44330</v>
      </c>
      <c r="P1779" s="19" t="s">
        <v>145</v>
      </c>
      <c r="U1779" t="s">
        <v>353</v>
      </c>
    </row>
    <row r="1780" spans="1:21" x14ac:dyDescent="0.15">
      <c r="A1780" t="s">
        <v>350</v>
      </c>
      <c r="B1780" t="s">
        <v>351</v>
      </c>
      <c r="D1780">
        <v>7</v>
      </c>
      <c r="E1780" t="s">
        <v>75</v>
      </c>
      <c r="G1780">
        <v>250.2</v>
      </c>
      <c r="H1780">
        <v>250.3</v>
      </c>
      <c r="I1780" t="s">
        <v>352</v>
      </c>
      <c r="K1780">
        <f t="shared" si="54"/>
        <v>250.2</v>
      </c>
      <c r="L1780">
        <f t="shared" si="55"/>
        <v>250.3</v>
      </c>
      <c r="M1780" t="s">
        <v>293</v>
      </c>
      <c r="O1780" s="7">
        <v>44330</v>
      </c>
      <c r="P1780" s="19" t="s">
        <v>145</v>
      </c>
      <c r="U1780" t="s">
        <v>353</v>
      </c>
    </row>
    <row r="1781" spans="1:21" x14ac:dyDescent="0.15">
      <c r="A1781" t="s">
        <v>350</v>
      </c>
      <c r="B1781" t="s">
        <v>351</v>
      </c>
      <c r="D1781">
        <v>7</v>
      </c>
      <c r="E1781" t="s">
        <v>74</v>
      </c>
      <c r="G1781">
        <v>246.05</v>
      </c>
      <c r="H1781">
        <v>245.58</v>
      </c>
      <c r="I1781" t="s">
        <v>368</v>
      </c>
      <c r="K1781">
        <f t="shared" si="54"/>
        <v>245.58</v>
      </c>
      <c r="L1781">
        <f t="shared" si="55"/>
        <v>246.05</v>
      </c>
      <c r="M1781" t="s">
        <v>293</v>
      </c>
      <c r="O1781" s="7">
        <v>44333</v>
      </c>
      <c r="P1781" s="19" t="s">
        <v>145</v>
      </c>
      <c r="U1781" t="s">
        <v>353</v>
      </c>
    </row>
    <row r="1782" spans="1:21" x14ac:dyDescent="0.15">
      <c r="A1782" t="s">
        <v>350</v>
      </c>
      <c r="B1782" t="s">
        <v>351</v>
      </c>
      <c r="D1782">
        <v>7</v>
      </c>
      <c r="E1782" t="s">
        <v>74</v>
      </c>
      <c r="G1782">
        <v>238.05</v>
      </c>
      <c r="H1782">
        <v>237.4</v>
      </c>
      <c r="I1782" t="s">
        <v>359</v>
      </c>
      <c r="K1782">
        <f t="shared" si="54"/>
        <v>237.4</v>
      </c>
      <c r="L1782">
        <f t="shared" si="55"/>
        <v>238.05</v>
      </c>
      <c r="M1782" t="s">
        <v>293</v>
      </c>
      <c r="O1782" s="7">
        <v>44299</v>
      </c>
      <c r="P1782" s="19" t="s">
        <v>145</v>
      </c>
      <c r="U1782" t="s">
        <v>353</v>
      </c>
    </row>
    <row r="1783" spans="1:21" x14ac:dyDescent="0.15">
      <c r="A1783" t="s">
        <v>350</v>
      </c>
      <c r="B1783" t="s">
        <v>351</v>
      </c>
      <c r="D1783">
        <v>7</v>
      </c>
      <c r="E1783" t="s">
        <v>74</v>
      </c>
      <c r="G1783">
        <v>231.1</v>
      </c>
      <c r="H1783">
        <v>229.9</v>
      </c>
      <c r="I1783" t="s">
        <v>359</v>
      </c>
      <c r="K1783">
        <f t="shared" si="54"/>
        <v>229.9</v>
      </c>
      <c r="L1783">
        <f t="shared" si="55"/>
        <v>231.1</v>
      </c>
      <c r="M1783" t="s">
        <v>293</v>
      </c>
      <c r="O1783" s="7">
        <v>44350</v>
      </c>
      <c r="P1783" s="19" t="s">
        <v>145</v>
      </c>
      <c r="U1783" t="s">
        <v>353</v>
      </c>
    </row>
    <row r="1784" spans="1:21" x14ac:dyDescent="0.15">
      <c r="A1784" t="s">
        <v>350</v>
      </c>
      <c r="B1784" t="s">
        <v>351</v>
      </c>
      <c r="D1784">
        <v>7</v>
      </c>
      <c r="E1784" t="s">
        <v>74</v>
      </c>
      <c r="G1784">
        <v>222.5</v>
      </c>
      <c r="H1784">
        <v>221.2</v>
      </c>
      <c r="I1784" t="s">
        <v>359</v>
      </c>
      <c r="K1784">
        <f t="shared" si="54"/>
        <v>221.2</v>
      </c>
      <c r="L1784">
        <f t="shared" si="55"/>
        <v>222.5</v>
      </c>
      <c r="M1784" t="s">
        <v>293</v>
      </c>
      <c r="O1784" s="7">
        <v>44341</v>
      </c>
      <c r="P1784" s="19" t="s">
        <v>145</v>
      </c>
      <c r="U1784" t="s">
        <v>353</v>
      </c>
    </row>
    <row r="1785" spans="1:21" x14ac:dyDescent="0.15">
      <c r="A1785" t="s">
        <v>350</v>
      </c>
      <c r="B1785" t="s">
        <v>351</v>
      </c>
      <c r="D1785">
        <v>7</v>
      </c>
      <c r="E1785" t="s">
        <v>74</v>
      </c>
      <c r="G1785">
        <v>222.01</v>
      </c>
      <c r="H1785" t="s">
        <v>355</v>
      </c>
      <c r="I1785" t="s">
        <v>363</v>
      </c>
      <c r="K1785">
        <f t="shared" si="54"/>
        <v>222.01</v>
      </c>
      <c r="L1785">
        <f t="shared" si="55"/>
        <v>222.01</v>
      </c>
      <c r="O1785" s="7">
        <v>44443</v>
      </c>
      <c r="P1785" s="19"/>
      <c r="U1785" t="s">
        <v>356</v>
      </c>
    </row>
    <row r="1786" spans="1:21" x14ac:dyDescent="0.15">
      <c r="A1786" t="s">
        <v>350</v>
      </c>
      <c r="B1786" t="s">
        <v>351</v>
      </c>
      <c r="D1786">
        <v>7</v>
      </c>
      <c r="E1786" t="s">
        <v>74</v>
      </c>
      <c r="G1786">
        <v>222.5</v>
      </c>
      <c r="H1786">
        <v>222.15</v>
      </c>
      <c r="I1786" t="s">
        <v>362</v>
      </c>
      <c r="K1786">
        <f t="shared" si="54"/>
        <v>222.15</v>
      </c>
      <c r="L1786">
        <f t="shared" si="55"/>
        <v>222.5</v>
      </c>
      <c r="M1786" t="s">
        <v>293</v>
      </c>
      <c r="O1786" s="7">
        <v>44342</v>
      </c>
      <c r="P1786" s="19" t="s">
        <v>145</v>
      </c>
      <c r="U1786" t="s">
        <v>353</v>
      </c>
    </row>
    <row r="1787" spans="1:21" x14ac:dyDescent="0.15">
      <c r="A1787" t="s">
        <v>350</v>
      </c>
      <c r="B1787" t="s">
        <v>351</v>
      </c>
      <c r="D1787">
        <v>7</v>
      </c>
      <c r="E1787" t="s">
        <v>74</v>
      </c>
      <c r="G1787">
        <v>220.5</v>
      </c>
      <c r="H1787">
        <v>219.9</v>
      </c>
      <c r="I1787" t="s">
        <v>359</v>
      </c>
      <c r="K1787">
        <f t="shared" si="54"/>
        <v>219.9</v>
      </c>
      <c r="L1787">
        <f t="shared" si="55"/>
        <v>220.5</v>
      </c>
      <c r="M1787" t="s">
        <v>293</v>
      </c>
      <c r="O1787" s="7">
        <v>44398</v>
      </c>
      <c r="P1787" s="19" t="s">
        <v>145</v>
      </c>
      <c r="U1787" t="s">
        <v>353</v>
      </c>
    </row>
    <row r="1788" spans="1:21" x14ac:dyDescent="0.15">
      <c r="A1788" t="s">
        <v>350</v>
      </c>
      <c r="B1788" t="s">
        <v>351</v>
      </c>
      <c r="D1788">
        <v>7</v>
      </c>
      <c r="E1788" t="s">
        <v>74</v>
      </c>
      <c r="G1788">
        <v>216.1</v>
      </c>
      <c r="H1788">
        <v>215.2</v>
      </c>
      <c r="I1788" t="s">
        <v>359</v>
      </c>
      <c r="K1788">
        <f t="shared" si="54"/>
        <v>215.2</v>
      </c>
      <c r="L1788">
        <f t="shared" si="55"/>
        <v>216.1</v>
      </c>
      <c r="M1788" t="s">
        <v>293</v>
      </c>
      <c r="O1788" s="7">
        <v>44350</v>
      </c>
      <c r="P1788" s="19" t="s">
        <v>145</v>
      </c>
      <c r="U1788" t="s">
        <v>353</v>
      </c>
    </row>
    <row r="1789" spans="1:21" x14ac:dyDescent="0.15">
      <c r="A1789" t="s">
        <v>350</v>
      </c>
      <c r="B1789" t="s">
        <v>351</v>
      </c>
      <c r="D1789">
        <v>7</v>
      </c>
      <c r="E1789" t="s">
        <v>74</v>
      </c>
      <c r="G1789">
        <v>215.2</v>
      </c>
      <c r="H1789" t="s">
        <v>355</v>
      </c>
      <c r="J1789" t="s">
        <v>23</v>
      </c>
      <c r="K1789">
        <f t="shared" si="54"/>
        <v>215.2</v>
      </c>
      <c r="L1789">
        <f t="shared" si="55"/>
        <v>215.2</v>
      </c>
      <c r="O1789" s="7">
        <v>44351</v>
      </c>
      <c r="P1789" s="19"/>
      <c r="U1789" t="s">
        <v>385</v>
      </c>
    </row>
    <row r="1790" spans="1:21" x14ac:dyDescent="0.15">
      <c r="A1790" t="s">
        <v>350</v>
      </c>
      <c r="B1790" t="s">
        <v>351</v>
      </c>
      <c r="D1790">
        <v>7</v>
      </c>
      <c r="E1790" t="s">
        <v>74</v>
      </c>
      <c r="G1790">
        <v>213.55</v>
      </c>
      <c r="H1790">
        <v>213.25</v>
      </c>
      <c r="I1790" t="s">
        <v>362</v>
      </c>
      <c r="K1790">
        <f t="shared" si="54"/>
        <v>213.25</v>
      </c>
      <c r="L1790">
        <f t="shared" si="55"/>
        <v>213.55</v>
      </c>
      <c r="M1790" t="s">
        <v>293</v>
      </c>
      <c r="O1790" s="7">
        <v>44344</v>
      </c>
      <c r="P1790" s="19" t="s">
        <v>145</v>
      </c>
      <c r="U1790" t="s">
        <v>353</v>
      </c>
    </row>
    <row r="1791" spans="1:21" x14ac:dyDescent="0.15">
      <c r="A1791" t="s">
        <v>350</v>
      </c>
      <c r="B1791" t="s">
        <v>351</v>
      </c>
      <c r="D1791">
        <v>7</v>
      </c>
      <c r="E1791" t="s">
        <v>74</v>
      </c>
      <c r="G1791">
        <v>212.9</v>
      </c>
      <c r="H1791">
        <v>210.6</v>
      </c>
      <c r="I1791" t="s">
        <v>359</v>
      </c>
      <c r="K1791">
        <f t="shared" si="54"/>
        <v>210.6</v>
      </c>
      <c r="L1791">
        <f t="shared" si="55"/>
        <v>212.9</v>
      </c>
      <c r="M1791" t="s">
        <v>293</v>
      </c>
      <c r="O1791" s="7">
        <v>44348</v>
      </c>
      <c r="P1791" s="19" t="s">
        <v>145</v>
      </c>
      <c r="U1791" t="s">
        <v>353</v>
      </c>
    </row>
    <row r="1792" spans="1:21" x14ac:dyDescent="0.15">
      <c r="A1792" t="s">
        <v>350</v>
      </c>
      <c r="B1792" t="s">
        <v>351</v>
      </c>
      <c r="D1792">
        <v>7</v>
      </c>
      <c r="E1792" t="s">
        <v>74</v>
      </c>
      <c r="G1792">
        <v>212.8</v>
      </c>
      <c r="H1792" t="s">
        <v>355</v>
      </c>
      <c r="I1792" t="s">
        <v>359</v>
      </c>
      <c r="K1792">
        <f t="shared" si="54"/>
        <v>212.8</v>
      </c>
      <c r="L1792">
        <f t="shared" si="55"/>
        <v>212.8</v>
      </c>
      <c r="O1792" s="7">
        <v>44473</v>
      </c>
      <c r="P1792" s="19"/>
      <c r="U1792" t="s">
        <v>370</v>
      </c>
    </row>
    <row r="1793" spans="1:21" x14ac:dyDescent="0.15">
      <c r="A1793" t="s">
        <v>350</v>
      </c>
      <c r="B1793" t="s">
        <v>351</v>
      </c>
      <c r="D1793">
        <v>7</v>
      </c>
      <c r="E1793" t="s">
        <v>74</v>
      </c>
      <c r="G1793">
        <v>211.02</v>
      </c>
      <c r="H1793">
        <v>210.65</v>
      </c>
      <c r="I1793" t="s">
        <v>368</v>
      </c>
      <c r="K1793">
        <f t="shared" ref="K1793:K1856" si="56">MIN(G1793:H1793)</f>
        <v>210.65</v>
      </c>
      <c r="L1793">
        <f t="shared" ref="L1793:L1856" si="57">MAX(G1793:H1793)</f>
        <v>211.02</v>
      </c>
      <c r="M1793" t="s">
        <v>293</v>
      </c>
      <c r="O1793" s="7">
        <v>44348</v>
      </c>
      <c r="P1793" s="19" t="s">
        <v>145</v>
      </c>
      <c r="U1793" t="s">
        <v>353</v>
      </c>
    </row>
    <row r="1794" spans="1:21" x14ac:dyDescent="0.15">
      <c r="A1794" t="s">
        <v>350</v>
      </c>
      <c r="B1794" t="s">
        <v>351</v>
      </c>
      <c r="D1794">
        <v>48</v>
      </c>
      <c r="E1794" t="s">
        <v>74</v>
      </c>
      <c r="G1794">
        <v>111.6</v>
      </c>
      <c r="H1794">
        <v>111.24</v>
      </c>
      <c r="I1794" t="s">
        <v>360</v>
      </c>
      <c r="K1794">
        <f t="shared" si="56"/>
        <v>111.24</v>
      </c>
      <c r="L1794">
        <f t="shared" si="57"/>
        <v>111.6</v>
      </c>
      <c r="M1794" t="s">
        <v>320</v>
      </c>
      <c r="O1794" s="7">
        <v>44351</v>
      </c>
      <c r="P1794" s="19"/>
      <c r="U1794" t="s">
        <v>386</v>
      </c>
    </row>
    <row r="1795" spans="1:21" x14ac:dyDescent="0.15">
      <c r="A1795" t="s">
        <v>350</v>
      </c>
      <c r="B1795" t="s">
        <v>351</v>
      </c>
      <c r="D1795">
        <v>48</v>
      </c>
      <c r="E1795" t="s">
        <v>74</v>
      </c>
      <c r="G1795">
        <v>111.5</v>
      </c>
      <c r="H1795">
        <v>111.125</v>
      </c>
      <c r="I1795" t="s">
        <v>360</v>
      </c>
      <c r="K1795">
        <f t="shared" si="56"/>
        <v>111.125</v>
      </c>
      <c r="L1795">
        <f t="shared" si="57"/>
        <v>111.5</v>
      </c>
      <c r="M1795" t="s">
        <v>320</v>
      </c>
      <c r="O1795" s="7">
        <v>44351</v>
      </c>
      <c r="P1795" s="19"/>
      <c r="U1795" t="s">
        <v>386</v>
      </c>
    </row>
    <row r="1796" spans="1:21" x14ac:dyDescent="0.15">
      <c r="A1796" t="s">
        <v>350</v>
      </c>
      <c r="B1796" t="s">
        <v>351</v>
      </c>
      <c r="D1796">
        <v>48</v>
      </c>
      <c r="E1796" t="s">
        <v>75</v>
      </c>
      <c r="G1796">
        <v>108.25</v>
      </c>
      <c r="H1796">
        <v>108.3</v>
      </c>
      <c r="I1796" t="s">
        <v>357</v>
      </c>
      <c r="K1796">
        <f t="shared" si="56"/>
        <v>108.25</v>
      </c>
      <c r="L1796">
        <f t="shared" si="57"/>
        <v>108.3</v>
      </c>
      <c r="M1796" t="s">
        <v>28</v>
      </c>
      <c r="O1796" s="7">
        <v>44351</v>
      </c>
      <c r="P1796" s="19"/>
      <c r="U1796" t="s">
        <v>358</v>
      </c>
    </row>
    <row r="1797" spans="1:21" x14ac:dyDescent="0.15">
      <c r="A1797" t="s">
        <v>350</v>
      </c>
      <c r="B1797" t="s">
        <v>351</v>
      </c>
      <c r="D1797">
        <v>48</v>
      </c>
      <c r="E1797" t="s">
        <v>75</v>
      </c>
      <c r="G1797">
        <v>111.3</v>
      </c>
      <c r="H1797">
        <v>111.5</v>
      </c>
      <c r="I1797" t="s">
        <v>357</v>
      </c>
      <c r="K1797">
        <f t="shared" si="56"/>
        <v>111.3</v>
      </c>
      <c r="L1797">
        <f t="shared" si="57"/>
        <v>111.5</v>
      </c>
      <c r="M1797" t="s">
        <v>320</v>
      </c>
      <c r="O1797" s="7">
        <v>44351</v>
      </c>
      <c r="P1797" s="19"/>
      <c r="U1797" t="s">
        <v>386</v>
      </c>
    </row>
    <row r="1798" spans="1:21" x14ac:dyDescent="0.15">
      <c r="A1798" t="s">
        <v>350</v>
      </c>
      <c r="B1798" t="s">
        <v>351</v>
      </c>
      <c r="D1798">
        <v>33</v>
      </c>
      <c r="E1798" t="s">
        <v>75</v>
      </c>
      <c r="G1798">
        <v>60.8</v>
      </c>
      <c r="H1798">
        <v>60.9</v>
      </c>
      <c r="I1798" t="s">
        <v>357</v>
      </c>
      <c r="K1798">
        <f t="shared" si="56"/>
        <v>60.8</v>
      </c>
      <c r="L1798">
        <f t="shared" si="57"/>
        <v>60.9</v>
      </c>
      <c r="M1798" t="s">
        <v>28</v>
      </c>
      <c r="O1798" s="7">
        <v>44345</v>
      </c>
      <c r="P1798" s="19"/>
      <c r="U1798" t="s">
        <v>358</v>
      </c>
    </row>
    <row r="1799" spans="1:21" x14ac:dyDescent="0.15">
      <c r="A1799" t="s">
        <v>350</v>
      </c>
      <c r="B1799" t="s">
        <v>351</v>
      </c>
      <c r="D1799">
        <v>33</v>
      </c>
      <c r="E1799" t="s">
        <v>75</v>
      </c>
      <c r="G1799">
        <v>62.84</v>
      </c>
      <c r="H1799">
        <v>63.08</v>
      </c>
      <c r="I1799" t="s">
        <v>357</v>
      </c>
      <c r="K1799">
        <f t="shared" si="56"/>
        <v>62.84</v>
      </c>
      <c r="L1799">
        <f t="shared" si="57"/>
        <v>63.08</v>
      </c>
      <c r="M1799" t="s">
        <v>320</v>
      </c>
      <c r="O1799" s="7">
        <v>44345</v>
      </c>
      <c r="P1799" s="19"/>
      <c r="U1799" t="s">
        <v>387</v>
      </c>
    </row>
    <row r="1800" spans="1:21" x14ac:dyDescent="0.15">
      <c r="A1800" t="s">
        <v>350</v>
      </c>
      <c r="B1800" t="s">
        <v>351</v>
      </c>
      <c r="D1800">
        <v>33</v>
      </c>
      <c r="E1800" t="s">
        <v>75</v>
      </c>
      <c r="G1800">
        <v>63.8</v>
      </c>
      <c r="H1800">
        <v>64</v>
      </c>
      <c r="I1800" t="s">
        <v>357</v>
      </c>
      <c r="K1800">
        <f t="shared" si="56"/>
        <v>63.8</v>
      </c>
      <c r="L1800">
        <f t="shared" si="57"/>
        <v>64</v>
      </c>
      <c r="M1800" t="s">
        <v>320</v>
      </c>
      <c r="O1800" s="7">
        <v>44345</v>
      </c>
      <c r="P1800" s="19"/>
      <c r="U1800" t="s">
        <v>388</v>
      </c>
    </row>
    <row r="1801" spans="1:21" x14ac:dyDescent="0.15">
      <c r="A1801" t="s">
        <v>350</v>
      </c>
      <c r="B1801" t="s">
        <v>351</v>
      </c>
      <c r="D1801">
        <v>33</v>
      </c>
      <c r="E1801" t="s">
        <v>75</v>
      </c>
      <c r="G1801">
        <v>69.900000000000006</v>
      </c>
      <c r="H1801">
        <v>70</v>
      </c>
      <c r="I1801" t="s">
        <v>357</v>
      </c>
      <c r="K1801">
        <f t="shared" si="56"/>
        <v>69.900000000000006</v>
      </c>
      <c r="L1801">
        <f t="shared" si="57"/>
        <v>70</v>
      </c>
      <c r="O1801" s="7">
        <v>44407</v>
      </c>
      <c r="P1801" s="19"/>
      <c r="U1801" t="s">
        <v>389</v>
      </c>
    </row>
    <row r="1802" spans="1:21" x14ac:dyDescent="0.15">
      <c r="A1802" t="s">
        <v>350</v>
      </c>
      <c r="B1802" t="s">
        <v>351</v>
      </c>
      <c r="D1802">
        <v>33</v>
      </c>
      <c r="E1802" t="s">
        <v>75</v>
      </c>
      <c r="G1802">
        <v>72.974999999999994</v>
      </c>
      <c r="H1802">
        <v>73.099999999999994</v>
      </c>
      <c r="I1802" t="s">
        <v>357</v>
      </c>
      <c r="K1802">
        <f t="shared" si="56"/>
        <v>72.974999999999994</v>
      </c>
      <c r="L1802">
        <f t="shared" si="57"/>
        <v>73.099999999999994</v>
      </c>
      <c r="M1802" t="s">
        <v>320</v>
      </c>
      <c r="O1802" s="7">
        <v>44407</v>
      </c>
      <c r="P1802" s="19"/>
      <c r="U1802" t="s">
        <v>388</v>
      </c>
    </row>
    <row r="1803" spans="1:21" x14ac:dyDescent="0.15">
      <c r="A1803" t="s">
        <v>350</v>
      </c>
      <c r="B1803" t="s">
        <v>351</v>
      </c>
      <c r="D1803">
        <v>33</v>
      </c>
      <c r="E1803" t="s">
        <v>74</v>
      </c>
      <c r="G1803">
        <v>74.099999999999994</v>
      </c>
      <c r="H1803">
        <v>73.900000000000006</v>
      </c>
      <c r="I1803" t="s">
        <v>360</v>
      </c>
      <c r="K1803">
        <f t="shared" si="56"/>
        <v>73.900000000000006</v>
      </c>
      <c r="L1803">
        <f t="shared" si="57"/>
        <v>74.099999999999994</v>
      </c>
      <c r="M1803" t="s">
        <v>320</v>
      </c>
      <c r="O1803" s="7">
        <v>44407</v>
      </c>
      <c r="P1803" s="19"/>
      <c r="U1803" t="s">
        <v>388</v>
      </c>
    </row>
    <row r="1804" spans="1:21" x14ac:dyDescent="0.15">
      <c r="A1804" t="s">
        <v>350</v>
      </c>
      <c r="B1804" t="s">
        <v>351</v>
      </c>
      <c r="D1804">
        <v>33</v>
      </c>
      <c r="E1804" t="s">
        <v>74</v>
      </c>
      <c r="G1804">
        <v>70.98</v>
      </c>
      <c r="H1804" t="s">
        <v>390</v>
      </c>
      <c r="I1804" t="s">
        <v>360</v>
      </c>
      <c r="K1804">
        <f t="shared" si="56"/>
        <v>70.98</v>
      </c>
      <c r="L1804">
        <f t="shared" si="57"/>
        <v>70.98</v>
      </c>
      <c r="M1804" t="s">
        <v>28</v>
      </c>
      <c r="O1804" s="7">
        <v>44407</v>
      </c>
      <c r="P1804" s="19"/>
      <c r="U1804" t="s">
        <v>358</v>
      </c>
    </row>
    <row r="1805" spans="1:21" x14ac:dyDescent="0.15">
      <c r="A1805" t="s">
        <v>350</v>
      </c>
      <c r="B1805" t="s">
        <v>351</v>
      </c>
      <c r="D1805">
        <v>33</v>
      </c>
      <c r="E1805" t="s">
        <v>74</v>
      </c>
      <c r="G1805">
        <v>70.150000000000006</v>
      </c>
      <c r="H1805">
        <v>70.099999999999994</v>
      </c>
      <c r="I1805" t="s">
        <v>360</v>
      </c>
      <c r="K1805">
        <f t="shared" si="56"/>
        <v>70.099999999999994</v>
      </c>
      <c r="L1805">
        <f t="shared" si="57"/>
        <v>70.150000000000006</v>
      </c>
      <c r="M1805" t="s">
        <v>320</v>
      </c>
      <c r="O1805" s="7">
        <v>44407</v>
      </c>
      <c r="P1805" s="19"/>
      <c r="U1805" t="s">
        <v>388</v>
      </c>
    </row>
    <row r="1806" spans="1:21" x14ac:dyDescent="0.15">
      <c r="A1806" t="s">
        <v>350</v>
      </c>
      <c r="B1806" t="s">
        <v>351</v>
      </c>
      <c r="D1806">
        <v>33</v>
      </c>
      <c r="E1806" t="s">
        <v>74</v>
      </c>
      <c r="G1806">
        <v>69.900000000000006</v>
      </c>
      <c r="H1806">
        <v>69.7</v>
      </c>
      <c r="I1806" t="s">
        <v>360</v>
      </c>
      <c r="K1806">
        <f t="shared" si="56"/>
        <v>69.7</v>
      </c>
      <c r="L1806">
        <f t="shared" si="57"/>
        <v>69.900000000000006</v>
      </c>
      <c r="O1806" s="7">
        <v>44407</v>
      </c>
      <c r="P1806" s="19"/>
      <c r="U1806" t="s">
        <v>389</v>
      </c>
    </row>
    <row r="1807" spans="1:21" x14ac:dyDescent="0.15">
      <c r="A1807" t="s">
        <v>350</v>
      </c>
      <c r="B1807" t="s">
        <v>351</v>
      </c>
      <c r="D1807">
        <v>33</v>
      </c>
      <c r="E1807" t="s">
        <v>74</v>
      </c>
      <c r="G1807">
        <v>68.224999999999994</v>
      </c>
      <c r="H1807">
        <v>68.150000000000006</v>
      </c>
      <c r="I1807" t="s">
        <v>360</v>
      </c>
      <c r="K1807">
        <f t="shared" si="56"/>
        <v>68.150000000000006</v>
      </c>
      <c r="L1807">
        <f t="shared" si="57"/>
        <v>68.224999999999994</v>
      </c>
      <c r="M1807" t="s">
        <v>320</v>
      </c>
      <c r="O1807" s="7">
        <v>44345</v>
      </c>
      <c r="P1807" s="19"/>
      <c r="U1807" t="s">
        <v>388</v>
      </c>
    </row>
    <row r="1808" spans="1:21" x14ac:dyDescent="0.15">
      <c r="A1808" t="s">
        <v>350</v>
      </c>
      <c r="B1808" t="s">
        <v>351</v>
      </c>
      <c r="D1808">
        <v>33</v>
      </c>
      <c r="E1808" t="s">
        <v>74</v>
      </c>
      <c r="G1808">
        <v>68.209999999999994</v>
      </c>
      <c r="H1808" t="s">
        <v>355</v>
      </c>
      <c r="I1808" t="s">
        <v>360</v>
      </c>
      <c r="K1808">
        <f t="shared" si="56"/>
        <v>68.209999999999994</v>
      </c>
      <c r="L1808">
        <f t="shared" si="57"/>
        <v>68.209999999999994</v>
      </c>
      <c r="O1808" s="7">
        <v>44345</v>
      </c>
      <c r="P1808" s="19"/>
      <c r="U1808" t="s">
        <v>370</v>
      </c>
    </row>
    <row r="1809" spans="1:21" x14ac:dyDescent="0.15">
      <c r="A1809" t="s">
        <v>350</v>
      </c>
      <c r="B1809" t="s">
        <v>351</v>
      </c>
      <c r="D1809">
        <v>33</v>
      </c>
      <c r="E1809" t="s">
        <v>74</v>
      </c>
      <c r="G1809">
        <v>67.2</v>
      </c>
      <c r="H1809">
        <v>67.150000000000006</v>
      </c>
      <c r="I1809" t="s">
        <v>360</v>
      </c>
      <c r="K1809">
        <f t="shared" si="56"/>
        <v>67.150000000000006</v>
      </c>
      <c r="L1809">
        <f t="shared" si="57"/>
        <v>67.2</v>
      </c>
      <c r="O1809" s="7">
        <v>44345</v>
      </c>
      <c r="P1809" s="19"/>
      <c r="U1809" t="s">
        <v>389</v>
      </c>
    </row>
    <row r="1810" spans="1:21" x14ac:dyDescent="0.15">
      <c r="A1810" t="s">
        <v>350</v>
      </c>
      <c r="B1810" t="s">
        <v>351</v>
      </c>
      <c r="D1810">
        <v>33</v>
      </c>
      <c r="E1810" t="s">
        <v>74</v>
      </c>
      <c r="G1810">
        <v>60.4</v>
      </c>
      <c r="H1810">
        <v>60.2</v>
      </c>
      <c r="I1810" t="s">
        <v>360</v>
      </c>
      <c r="K1810">
        <f t="shared" si="56"/>
        <v>60.2</v>
      </c>
      <c r="L1810">
        <f t="shared" si="57"/>
        <v>60.4</v>
      </c>
      <c r="M1810" t="s">
        <v>320</v>
      </c>
      <c r="O1810" s="7">
        <v>44435</v>
      </c>
      <c r="P1810" s="19"/>
      <c r="U1810" t="s">
        <v>388</v>
      </c>
    </row>
    <row r="1811" spans="1:21" x14ac:dyDescent="0.15">
      <c r="A1811" t="s">
        <v>350</v>
      </c>
      <c r="B1811" t="s">
        <v>351</v>
      </c>
      <c r="D1811">
        <v>33</v>
      </c>
      <c r="E1811" t="s">
        <v>74</v>
      </c>
      <c r="G1811">
        <v>58.6</v>
      </c>
      <c r="H1811">
        <v>58.4</v>
      </c>
      <c r="I1811" t="s">
        <v>360</v>
      </c>
      <c r="K1811">
        <f t="shared" si="56"/>
        <v>58.4</v>
      </c>
      <c r="L1811">
        <f t="shared" si="57"/>
        <v>58.6</v>
      </c>
      <c r="M1811" t="s">
        <v>320</v>
      </c>
      <c r="O1811" s="7">
        <v>44435</v>
      </c>
      <c r="P1811" s="19"/>
      <c r="U1811" t="s">
        <v>388</v>
      </c>
    </row>
    <row r="1812" spans="1:21" x14ac:dyDescent="0.15">
      <c r="A1812" t="s">
        <v>350</v>
      </c>
      <c r="B1812" t="s">
        <v>351</v>
      </c>
      <c r="D1812">
        <v>33</v>
      </c>
      <c r="E1812" t="s">
        <v>74</v>
      </c>
      <c r="G1812">
        <v>50.2</v>
      </c>
      <c r="H1812">
        <v>50.174999999999997</v>
      </c>
      <c r="I1812" t="s">
        <v>360</v>
      </c>
      <c r="K1812">
        <f t="shared" si="56"/>
        <v>50.174999999999997</v>
      </c>
      <c r="L1812">
        <f t="shared" si="57"/>
        <v>50.2</v>
      </c>
      <c r="M1812" t="s">
        <v>28</v>
      </c>
      <c r="O1812" s="7">
        <v>44435</v>
      </c>
      <c r="P1812" s="19"/>
      <c r="U1812" t="s">
        <v>358</v>
      </c>
    </row>
    <row r="1813" spans="1:21" x14ac:dyDescent="0.15">
      <c r="A1813" s="12" t="s">
        <v>436</v>
      </c>
      <c r="B1813" t="s">
        <v>351</v>
      </c>
      <c r="D1813">
        <v>7</v>
      </c>
      <c r="E1813" t="s">
        <v>75</v>
      </c>
      <c r="G1813">
        <v>222.94</v>
      </c>
      <c r="H1813">
        <v>227.6</v>
      </c>
      <c r="J1813" t="s">
        <v>23</v>
      </c>
      <c r="K1813">
        <f t="shared" si="56"/>
        <v>222.94</v>
      </c>
      <c r="L1813">
        <f t="shared" si="57"/>
        <v>227.6</v>
      </c>
      <c r="M1813" t="s">
        <v>143</v>
      </c>
      <c r="O1813" s="7">
        <v>44438</v>
      </c>
      <c r="P1813" s="19" t="s">
        <v>145</v>
      </c>
    </row>
    <row r="1814" spans="1:21" x14ac:dyDescent="0.15">
      <c r="A1814" s="12" t="s">
        <v>436</v>
      </c>
      <c r="B1814" t="s">
        <v>351</v>
      </c>
      <c r="D1814">
        <v>7</v>
      </c>
      <c r="E1814" t="s">
        <v>76</v>
      </c>
      <c r="F1814" t="s">
        <v>216</v>
      </c>
      <c r="G1814">
        <v>226.69</v>
      </c>
      <c r="H1814">
        <v>227.05</v>
      </c>
      <c r="J1814" t="s">
        <v>23</v>
      </c>
      <c r="K1814">
        <f t="shared" si="56"/>
        <v>226.69</v>
      </c>
      <c r="L1814">
        <f t="shared" si="57"/>
        <v>227.05</v>
      </c>
      <c r="M1814" s="20" t="s">
        <v>28</v>
      </c>
      <c r="O1814" s="7">
        <v>44438</v>
      </c>
      <c r="P1814" s="19"/>
    </row>
    <row r="1815" spans="1:21" x14ac:dyDescent="0.15">
      <c r="A1815" s="12" t="s">
        <v>436</v>
      </c>
      <c r="B1815" t="s">
        <v>351</v>
      </c>
      <c r="D1815">
        <v>7</v>
      </c>
      <c r="E1815" t="s">
        <v>76</v>
      </c>
      <c r="F1815" t="s">
        <v>79</v>
      </c>
      <c r="G1815">
        <v>226.8</v>
      </c>
      <c r="H1815">
        <v>227.11500000000001</v>
      </c>
      <c r="J1815" t="s">
        <v>23</v>
      </c>
      <c r="K1815">
        <f t="shared" si="56"/>
        <v>226.8</v>
      </c>
      <c r="L1815">
        <f t="shared" si="57"/>
        <v>227.11500000000001</v>
      </c>
      <c r="M1815" s="20" t="s">
        <v>28</v>
      </c>
      <c r="O1815" s="7">
        <v>44438</v>
      </c>
      <c r="P1815" s="19"/>
    </row>
    <row r="1816" spans="1:21" x14ac:dyDescent="0.15">
      <c r="A1816" s="12" t="s">
        <v>436</v>
      </c>
      <c r="B1816" t="s">
        <v>351</v>
      </c>
      <c r="D1816">
        <v>7</v>
      </c>
      <c r="E1816" t="s">
        <v>74</v>
      </c>
      <c r="G1816">
        <v>253.27</v>
      </c>
      <c r="H1816">
        <v>250.1</v>
      </c>
      <c r="J1816" t="s">
        <v>23</v>
      </c>
      <c r="K1816">
        <f t="shared" si="56"/>
        <v>250.1</v>
      </c>
      <c r="L1816">
        <f t="shared" si="57"/>
        <v>253.27</v>
      </c>
      <c r="M1816" t="s">
        <v>143</v>
      </c>
      <c r="O1816" s="7">
        <v>44344</v>
      </c>
      <c r="P1816" s="19" t="s">
        <v>145</v>
      </c>
    </row>
    <row r="1817" spans="1:21" x14ac:dyDescent="0.15">
      <c r="A1817" s="12" t="s">
        <v>436</v>
      </c>
      <c r="B1817" t="s">
        <v>351</v>
      </c>
      <c r="D1817">
        <v>7</v>
      </c>
      <c r="E1817" t="s">
        <v>76</v>
      </c>
      <c r="F1817" t="s">
        <v>89</v>
      </c>
      <c r="G1817">
        <v>252.77</v>
      </c>
      <c r="H1817">
        <v>252.32499999999999</v>
      </c>
      <c r="J1817" t="s">
        <v>23</v>
      </c>
      <c r="K1817">
        <f t="shared" si="56"/>
        <v>252.32499999999999</v>
      </c>
      <c r="L1817">
        <f t="shared" si="57"/>
        <v>252.77</v>
      </c>
      <c r="M1817" s="20" t="s">
        <v>28</v>
      </c>
      <c r="O1817" s="7">
        <v>44344</v>
      </c>
      <c r="P1817" s="19"/>
    </row>
    <row r="1818" spans="1:21" x14ac:dyDescent="0.15">
      <c r="A1818" s="12" t="s">
        <v>436</v>
      </c>
      <c r="B1818" t="s">
        <v>351</v>
      </c>
      <c r="D1818">
        <v>7</v>
      </c>
      <c r="E1818" t="s">
        <v>76</v>
      </c>
      <c r="F1818" t="s">
        <v>86</v>
      </c>
      <c r="G1818">
        <v>252.6</v>
      </c>
      <c r="H1818">
        <v>252.43299999999999</v>
      </c>
      <c r="J1818" t="s">
        <v>23</v>
      </c>
      <c r="K1818">
        <f t="shared" si="56"/>
        <v>252.43299999999999</v>
      </c>
      <c r="L1818">
        <f t="shared" si="57"/>
        <v>252.6</v>
      </c>
      <c r="M1818" s="20" t="s">
        <v>28</v>
      </c>
      <c r="O1818" s="7">
        <v>44344</v>
      </c>
      <c r="P1818" s="19"/>
    </row>
    <row r="1819" spans="1:21" x14ac:dyDescent="0.15">
      <c r="A1819" s="12" t="s">
        <v>436</v>
      </c>
      <c r="B1819" t="s">
        <v>351</v>
      </c>
      <c r="D1819">
        <v>7</v>
      </c>
      <c r="E1819" t="s">
        <v>76</v>
      </c>
      <c r="F1819" t="s">
        <v>170</v>
      </c>
      <c r="G1819">
        <v>252.62</v>
      </c>
      <c r="H1819">
        <v>252.328</v>
      </c>
      <c r="J1819" t="s">
        <v>23</v>
      </c>
      <c r="K1819">
        <f t="shared" si="56"/>
        <v>252.328</v>
      </c>
      <c r="L1819">
        <f t="shared" si="57"/>
        <v>252.62</v>
      </c>
      <c r="M1819" s="20" t="s">
        <v>28</v>
      </c>
      <c r="O1819" s="7">
        <v>44344</v>
      </c>
      <c r="P1819" s="19"/>
    </row>
    <row r="1820" spans="1:21" x14ac:dyDescent="0.15">
      <c r="A1820" s="12" t="s">
        <v>436</v>
      </c>
      <c r="B1820" t="s">
        <v>351</v>
      </c>
      <c r="D1820">
        <v>7</v>
      </c>
      <c r="E1820" t="s">
        <v>76</v>
      </c>
      <c r="F1820" t="s">
        <v>80</v>
      </c>
      <c r="G1820">
        <v>251.86699999999999</v>
      </c>
      <c r="H1820">
        <v>252.63900000000001</v>
      </c>
      <c r="J1820" t="s">
        <v>23</v>
      </c>
      <c r="K1820">
        <f t="shared" si="56"/>
        <v>251.86699999999999</v>
      </c>
      <c r="L1820">
        <f t="shared" si="57"/>
        <v>252.63900000000001</v>
      </c>
      <c r="M1820" s="20" t="s">
        <v>28</v>
      </c>
      <c r="O1820" s="7">
        <v>44344</v>
      </c>
      <c r="P1820" s="19"/>
    </row>
    <row r="1821" spans="1:21" x14ac:dyDescent="0.15">
      <c r="A1821" s="12" t="s">
        <v>436</v>
      </c>
      <c r="B1821" t="s">
        <v>351</v>
      </c>
      <c r="D1821">
        <v>7</v>
      </c>
      <c r="E1821" t="s">
        <v>76</v>
      </c>
      <c r="F1821" t="s">
        <v>77</v>
      </c>
      <c r="G1821">
        <v>251.62200000000001</v>
      </c>
      <c r="H1821">
        <v>251.27099999999999</v>
      </c>
      <c r="J1821" t="s">
        <v>23</v>
      </c>
      <c r="K1821">
        <f t="shared" si="56"/>
        <v>251.27099999999999</v>
      </c>
      <c r="L1821">
        <f t="shared" si="57"/>
        <v>251.62200000000001</v>
      </c>
      <c r="M1821" s="20" t="s">
        <v>28</v>
      </c>
      <c r="O1821" s="7">
        <v>44344</v>
      </c>
      <c r="P1821" s="19"/>
    </row>
    <row r="1822" spans="1:21" x14ac:dyDescent="0.15">
      <c r="A1822" t="s">
        <v>287</v>
      </c>
      <c r="B1822" t="s">
        <v>391</v>
      </c>
      <c r="D1822">
        <v>7</v>
      </c>
      <c r="E1822" t="s">
        <v>75</v>
      </c>
      <c r="G1822" s="13">
        <v>119.1</v>
      </c>
      <c r="H1822" s="13">
        <v>120.19</v>
      </c>
      <c r="I1822" t="s">
        <v>96</v>
      </c>
      <c r="K1822">
        <f t="shared" si="56"/>
        <v>119.1</v>
      </c>
      <c r="L1822">
        <f t="shared" si="57"/>
        <v>120.19</v>
      </c>
      <c r="M1822" t="s">
        <v>99</v>
      </c>
      <c r="O1822" s="21">
        <v>44362</v>
      </c>
    </row>
    <row r="1823" spans="1:21" x14ac:dyDescent="0.15">
      <c r="A1823" t="s">
        <v>287</v>
      </c>
      <c r="B1823" t="s">
        <v>391</v>
      </c>
      <c r="D1823">
        <v>6</v>
      </c>
      <c r="E1823" t="s">
        <v>74</v>
      </c>
      <c r="G1823" s="13">
        <v>300.24</v>
      </c>
      <c r="H1823" s="13">
        <v>300.64</v>
      </c>
      <c r="I1823" t="s">
        <v>92</v>
      </c>
      <c r="K1823">
        <f t="shared" si="56"/>
        <v>300.24</v>
      </c>
      <c r="L1823">
        <f t="shared" si="57"/>
        <v>300.64</v>
      </c>
      <c r="M1823" t="s">
        <v>25</v>
      </c>
      <c r="O1823" s="7">
        <v>44378</v>
      </c>
    </row>
    <row r="1824" spans="1:21" x14ac:dyDescent="0.15">
      <c r="A1824" t="s">
        <v>287</v>
      </c>
      <c r="B1824" t="s">
        <v>391</v>
      </c>
      <c r="D1824">
        <v>6</v>
      </c>
      <c r="E1824" t="s">
        <v>74</v>
      </c>
      <c r="G1824" s="13">
        <v>300.5</v>
      </c>
      <c r="H1824" s="13">
        <v>300.25</v>
      </c>
      <c r="I1824" t="s">
        <v>93</v>
      </c>
      <c r="K1824">
        <f t="shared" si="56"/>
        <v>300.25</v>
      </c>
      <c r="L1824">
        <f t="shared" si="57"/>
        <v>300.5</v>
      </c>
      <c r="M1824" t="s">
        <v>25</v>
      </c>
      <c r="O1824" s="7">
        <v>44378</v>
      </c>
    </row>
    <row r="1825" spans="1:15" x14ac:dyDescent="0.15">
      <c r="A1825" t="s">
        <v>287</v>
      </c>
      <c r="B1825" t="s">
        <v>391</v>
      </c>
      <c r="D1825">
        <v>6</v>
      </c>
      <c r="E1825" t="s">
        <v>75</v>
      </c>
      <c r="G1825" s="13">
        <v>296.7</v>
      </c>
      <c r="H1825" s="13">
        <v>296.85000000000002</v>
      </c>
      <c r="I1825" t="s">
        <v>94</v>
      </c>
      <c r="K1825">
        <f t="shared" si="56"/>
        <v>296.7</v>
      </c>
      <c r="L1825">
        <f t="shared" si="57"/>
        <v>296.85000000000002</v>
      </c>
      <c r="M1825" t="s">
        <v>99</v>
      </c>
      <c r="O1825" s="7">
        <v>44380</v>
      </c>
    </row>
    <row r="1826" spans="1:15" x14ac:dyDescent="0.15">
      <c r="A1826" t="s">
        <v>287</v>
      </c>
      <c r="B1826" t="s">
        <v>391</v>
      </c>
      <c r="D1826">
        <v>6</v>
      </c>
      <c r="E1826" t="s">
        <v>75</v>
      </c>
      <c r="G1826" s="13">
        <v>296.7</v>
      </c>
      <c r="H1826" s="13">
        <v>296.85000000000002</v>
      </c>
      <c r="I1826" t="s">
        <v>22</v>
      </c>
      <c r="K1826">
        <f t="shared" si="56"/>
        <v>296.7</v>
      </c>
      <c r="L1826">
        <f t="shared" si="57"/>
        <v>296.85000000000002</v>
      </c>
      <c r="M1826" t="s">
        <v>99</v>
      </c>
      <c r="O1826" s="7">
        <v>44380</v>
      </c>
    </row>
    <row r="1827" spans="1:15" x14ac:dyDescent="0.15">
      <c r="A1827" t="s">
        <v>287</v>
      </c>
      <c r="B1827" t="s">
        <v>391</v>
      </c>
      <c r="D1827">
        <v>6</v>
      </c>
      <c r="E1827" t="s">
        <v>75</v>
      </c>
      <c r="G1827" s="13">
        <v>297.46499999999997</v>
      </c>
      <c r="H1827" s="13">
        <v>300</v>
      </c>
      <c r="I1827" t="s">
        <v>94</v>
      </c>
      <c r="K1827">
        <f t="shared" si="56"/>
        <v>297.46499999999997</v>
      </c>
      <c r="L1827">
        <f t="shared" si="57"/>
        <v>300</v>
      </c>
      <c r="M1827" t="s">
        <v>25</v>
      </c>
      <c r="O1827" s="7">
        <v>44380</v>
      </c>
    </row>
    <row r="1828" spans="1:15" x14ac:dyDescent="0.15">
      <c r="A1828" t="s">
        <v>287</v>
      </c>
      <c r="B1828" t="s">
        <v>391</v>
      </c>
      <c r="D1828">
        <v>6</v>
      </c>
      <c r="E1828" t="s">
        <v>75</v>
      </c>
      <c r="G1828" s="13">
        <v>300.60000000000002</v>
      </c>
      <c r="H1828" s="13">
        <v>301.57</v>
      </c>
      <c r="I1828" t="s">
        <v>94</v>
      </c>
      <c r="K1828">
        <f t="shared" si="56"/>
        <v>300.60000000000002</v>
      </c>
      <c r="L1828">
        <f t="shared" si="57"/>
        <v>301.57</v>
      </c>
      <c r="M1828" t="s">
        <v>25</v>
      </c>
      <c r="O1828" s="7">
        <v>44380</v>
      </c>
    </row>
    <row r="1829" spans="1:15" x14ac:dyDescent="0.15">
      <c r="A1829" t="s">
        <v>287</v>
      </c>
      <c r="B1829" t="s">
        <v>391</v>
      </c>
      <c r="D1829">
        <v>7</v>
      </c>
      <c r="E1829" t="s">
        <v>75</v>
      </c>
      <c r="G1829" s="13">
        <v>99.935000000000002</v>
      </c>
      <c r="H1829" s="13">
        <v>100.05</v>
      </c>
      <c r="I1829" t="s">
        <v>94</v>
      </c>
      <c r="K1829">
        <f t="shared" si="56"/>
        <v>99.935000000000002</v>
      </c>
      <c r="L1829">
        <f t="shared" si="57"/>
        <v>100.05</v>
      </c>
      <c r="M1829" t="s">
        <v>99</v>
      </c>
      <c r="O1829" s="7">
        <v>44372</v>
      </c>
    </row>
    <row r="1830" spans="1:15" x14ac:dyDescent="0.15">
      <c r="A1830" t="s">
        <v>287</v>
      </c>
      <c r="B1830" t="s">
        <v>391</v>
      </c>
      <c r="D1830">
        <v>7</v>
      </c>
      <c r="E1830" t="s">
        <v>75</v>
      </c>
      <c r="G1830" s="13">
        <v>104.9</v>
      </c>
      <c r="H1830" s="13">
        <v>105.09</v>
      </c>
      <c r="I1830" t="s">
        <v>94</v>
      </c>
      <c r="K1830">
        <f t="shared" si="56"/>
        <v>104.9</v>
      </c>
      <c r="L1830">
        <f t="shared" si="57"/>
        <v>105.09</v>
      </c>
      <c r="M1830" t="s">
        <v>99</v>
      </c>
      <c r="O1830" s="7">
        <v>44372</v>
      </c>
    </row>
    <row r="1831" spans="1:15" x14ac:dyDescent="0.15">
      <c r="A1831" t="s">
        <v>287</v>
      </c>
      <c r="B1831" t="s">
        <v>391</v>
      </c>
      <c r="D1831">
        <v>7</v>
      </c>
      <c r="E1831" t="s">
        <v>75</v>
      </c>
      <c r="G1831" s="13">
        <v>105.435</v>
      </c>
      <c r="H1831" s="13">
        <v>105.625</v>
      </c>
      <c r="I1831" t="s">
        <v>22</v>
      </c>
      <c r="K1831">
        <f t="shared" si="56"/>
        <v>105.435</v>
      </c>
      <c r="L1831">
        <f t="shared" si="57"/>
        <v>105.625</v>
      </c>
      <c r="M1831" t="s">
        <v>99</v>
      </c>
      <c r="O1831" s="7">
        <v>44372</v>
      </c>
    </row>
    <row r="1832" spans="1:15" x14ac:dyDescent="0.15">
      <c r="A1832" t="s">
        <v>287</v>
      </c>
      <c r="B1832" t="s">
        <v>391</v>
      </c>
      <c r="D1832">
        <v>7</v>
      </c>
      <c r="E1832" t="s">
        <v>75</v>
      </c>
      <c r="G1832" s="13">
        <v>114.21</v>
      </c>
      <c r="H1832" s="13">
        <v>114.29</v>
      </c>
      <c r="J1832" t="s">
        <v>23</v>
      </c>
      <c r="K1832">
        <f t="shared" si="56"/>
        <v>114.21</v>
      </c>
      <c r="L1832">
        <f t="shared" si="57"/>
        <v>114.29</v>
      </c>
      <c r="M1832" t="s">
        <v>25</v>
      </c>
      <c r="O1832" s="7">
        <v>44368</v>
      </c>
    </row>
    <row r="1833" spans="1:15" x14ac:dyDescent="0.15">
      <c r="A1833" t="s">
        <v>287</v>
      </c>
      <c r="B1833" t="s">
        <v>391</v>
      </c>
      <c r="D1833">
        <v>7</v>
      </c>
      <c r="E1833" t="s">
        <v>75</v>
      </c>
      <c r="G1833" s="13">
        <v>127.495</v>
      </c>
      <c r="H1833" s="13">
        <v>128.80000000000001</v>
      </c>
      <c r="I1833" t="s">
        <v>94</v>
      </c>
      <c r="K1833">
        <f t="shared" si="56"/>
        <v>127.495</v>
      </c>
      <c r="L1833">
        <f t="shared" si="57"/>
        <v>128.80000000000001</v>
      </c>
      <c r="M1833" t="s">
        <v>99</v>
      </c>
      <c r="O1833" s="7">
        <v>44371</v>
      </c>
    </row>
    <row r="1834" spans="1:15" x14ac:dyDescent="0.15">
      <c r="A1834" t="s">
        <v>287</v>
      </c>
      <c r="B1834" t="s">
        <v>391</v>
      </c>
      <c r="D1834">
        <v>7</v>
      </c>
      <c r="E1834" t="s">
        <v>75</v>
      </c>
      <c r="G1834" s="13">
        <v>131.69999999999999</v>
      </c>
      <c r="H1834" s="13">
        <v>132.69</v>
      </c>
      <c r="I1834" t="s">
        <v>94</v>
      </c>
      <c r="K1834">
        <f t="shared" si="56"/>
        <v>131.69999999999999</v>
      </c>
      <c r="L1834">
        <f t="shared" si="57"/>
        <v>132.69</v>
      </c>
      <c r="M1834" t="s">
        <v>99</v>
      </c>
      <c r="O1834" s="7">
        <v>44371</v>
      </c>
    </row>
    <row r="1835" spans="1:15" x14ac:dyDescent="0.15">
      <c r="A1835" t="s">
        <v>287</v>
      </c>
      <c r="B1835" t="s">
        <v>391</v>
      </c>
      <c r="D1835">
        <v>7</v>
      </c>
      <c r="E1835" t="s">
        <v>75</v>
      </c>
      <c r="G1835" s="13">
        <v>132.69</v>
      </c>
      <c r="H1835" s="13">
        <v>132.69999999999999</v>
      </c>
      <c r="I1835" t="s">
        <v>94</v>
      </c>
      <c r="K1835">
        <f t="shared" si="56"/>
        <v>132.69</v>
      </c>
      <c r="L1835">
        <f t="shared" si="57"/>
        <v>132.69999999999999</v>
      </c>
      <c r="M1835" t="s">
        <v>99</v>
      </c>
      <c r="O1835" s="7">
        <v>44371</v>
      </c>
    </row>
    <row r="1836" spans="1:15" x14ac:dyDescent="0.15">
      <c r="A1836" t="s">
        <v>287</v>
      </c>
      <c r="B1836" t="s">
        <v>391</v>
      </c>
      <c r="D1836">
        <v>7</v>
      </c>
      <c r="E1836" t="s">
        <v>75</v>
      </c>
      <c r="G1836" s="13">
        <v>132.69999999999999</v>
      </c>
      <c r="H1836" s="13">
        <v>133.77500000000001</v>
      </c>
      <c r="I1836" t="s">
        <v>94</v>
      </c>
      <c r="K1836">
        <f t="shared" si="56"/>
        <v>132.69999999999999</v>
      </c>
      <c r="L1836">
        <f t="shared" si="57"/>
        <v>133.77500000000001</v>
      </c>
      <c r="M1836" t="s">
        <v>99</v>
      </c>
      <c r="O1836" s="7">
        <v>44371</v>
      </c>
    </row>
    <row r="1837" spans="1:15" x14ac:dyDescent="0.15">
      <c r="A1837" t="s">
        <v>287</v>
      </c>
      <c r="B1837" t="s">
        <v>391</v>
      </c>
      <c r="D1837">
        <v>7</v>
      </c>
      <c r="E1837" t="s">
        <v>75</v>
      </c>
      <c r="G1837" s="13">
        <v>140</v>
      </c>
      <c r="H1837" s="13">
        <v>140.065</v>
      </c>
      <c r="I1837" t="s">
        <v>187</v>
      </c>
      <c r="K1837">
        <f t="shared" si="56"/>
        <v>140</v>
      </c>
      <c r="L1837">
        <f t="shared" si="57"/>
        <v>140.065</v>
      </c>
      <c r="M1837" t="s">
        <v>99</v>
      </c>
      <c r="O1837" s="7">
        <v>44379</v>
      </c>
    </row>
    <row r="1838" spans="1:15" x14ac:dyDescent="0.15">
      <c r="A1838" t="s">
        <v>287</v>
      </c>
      <c r="B1838" t="s">
        <v>391</v>
      </c>
      <c r="D1838">
        <v>7</v>
      </c>
      <c r="E1838" t="s">
        <v>75</v>
      </c>
      <c r="G1838" s="13">
        <v>141</v>
      </c>
      <c r="H1838" s="13">
        <v>141.86500000000001</v>
      </c>
      <c r="I1838" t="s">
        <v>94</v>
      </c>
      <c r="K1838">
        <f t="shared" si="56"/>
        <v>141</v>
      </c>
      <c r="L1838">
        <f t="shared" si="57"/>
        <v>141.86500000000001</v>
      </c>
      <c r="M1838" t="s">
        <v>99</v>
      </c>
      <c r="O1838" s="7">
        <v>44379</v>
      </c>
    </row>
    <row r="1839" spans="1:15" x14ac:dyDescent="0.15">
      <c r="A1839" t="s">
        <v>287</v>
      </c>
      <c r="B1839" t="s">
        <v>391</v>
      </c>
      <c r="D1839">
        <v>7</v>
      </c>
      <c r="E1839" t="s">
        <v>75</v>
      </c>
      <c r="G1839" s="13">
        <v>142.1</v>
      </c>
      <c r="H1839" s="13">
        <v>142.26499999999999</v>
      </c>
      <c r="I1839" t="s">
        <v>94</v>
      </c>
      <c r="K1839">
        <f t="shared" si="56"/>
        <v>142.1</v>
      </c>
      <c r="L1839">
        <f t="shared" si="57"/>
        <v>142.26499999999999</v>
      </c>
      <c r="M1839" t="s">
        <v>99</v>
      </c>
      <c r="O1839" s="7">
        <v>44379</v>
      </c>
    </row>
    <row r="1840" spans="1:15" x14ac:dyDescent="0.15">
      <c r="A1840" t="s">
        <v>287</v>
      </c>
      <c r="B1840" t="s">
        <v>391</v>
      </c>
      <c r="D1840">
        <v>7</v>
      </c>
      <c r="E1840" t="s">
        <v>75</v>
      </c>
      <c r="G1840" s="13">
        <v>142.46</v>
      </c>
      <c r="H1840" s="13">
        <v>142.935</v>
      </c>
      <c r="I1840" t="s">
        <v>187</v>
      </c>
      <c r="K1840">
        <f t="shared" si="56"/>
        <v>142.46</v>
      </c>
      <c r="L1840">
        <f t="shared" si="57"/>
        <v>142.935</v>
      </c>
      <c r="M1840" t="s">
        <v>99</v>
      </c>
      <c r="O1840" s="7">
        <v>44379</v>
      </c>
    </row>
    <row r="1841" spans="1:21" x14ac:dyDescent="0.15">
      <c r="A1841" t="s">
        <v>287</v>
      </c>
      <c r="B1841" t="s">
        <v>391</v>
      </c>
      <c r="D1841">
        <v>7</v>
      </c>
      <c r="E1841" t="s">
        <v>75</v>
      </c>
      <c r="G1841" s="13">
        <v>142.69999999999999</v>
      </c>
      <c r="H1841" s="13">
        <v>142.935</v>
      </c>
      <c r="I1841" t="s">
        <v>96</v>
      </c>
      <c r="K1841">
        <f t="shared" si="56"/>
        <v>142.69999999999999</v>
      </c>
      <c r="L1841">
        <f t="shared" si="57"/>
        <v>142.935</v>
      </c>
      <c r="M1841" t="s">
        <v>99</v>
      </c>
      <c r="O1841" s="7">
        <v>44379</v>
      </c>
    </row>
    <row r="1842" spans="1:21" x14ac:dyDescent="0.15">
      <c r="A1842" t="s">
        <v>287</v>
      </c>
      <c r="B1842" t="s">
        <v>391</v>
      </c>
      <c r="D1842">
        <v>7</v>
      </c>
      <c r="E1842" t="s">
        <v>75</v>
      </c>
      <c r="G1842" s="13">
        <v>142.69999999999999</v>
      </c>
      <c r="H1842" s="13">
        <v>142.935</v>
      </c>
      <c r="I1842" t="s">
        <v>94</v>
      </c>
      <c r="K1842">
        <f t="shared" si="56"/>
        <v>142.69999999999999</v>
      </c>
      <c r="L1842">
        <f t="shared" si="57"/>
        <v>142.935</v>
      </c>
      <c r="M1842" t="s">
        <v>99</v>
      </c>
      <c r="O1842" s="7">
        <v>44379</v>
      </c>
    </row>
    <row r="1843" spans="1:21" x14ac:dyDescent="0.15">
      <c r="A1843" t="s">
        <v>287</v>
      </c>
      <c r="B1843" t="s">
        <v>391</v>
      </c>
      <c r="D1843">
        <v>7</v>
      </c>
      <c r="E1843" t="s">
        <v>75</v>
      </c>
      <c r="G1843" s="13">
        <v>143.26</v>
      </c>
      <c r="H1843" s="13">
        <v>143.35</v>
      </c>
      <c r="J1843" t="s">
        <v>23</v>
      </c>
      <c r="K1843">
        <f t="shared" si="56"/>
        <v>143.26</v>
      </c>
      <c r="L1843">
        <f t="shared" si="57"/>
        <v>143.35</v>
      </c>
      <c r="M1843" t="s">
        <v>25</v>
      </c>
      <c r="O1843" s="7">
        <v>44375</v>
      </c>
    </row>
    <row r="1844" spans="1:21" x14ac:dyDescent="0.15">
      <c r="A1844" t="s">
        <v>287</v>
      </c>
      <c r="B1844" t="s">
        <v>391</v>
      </c>
      <c r="D1844">
        <v>7</v>
      </c>
      <c r="E1844" t="s">
        <v>75</v>
      </c>
      <c r="G1844" s="13">
        <v>143.35</v>
      </c>
      <c r="H1844" s="13">
        <v>143.46</v>
      </c>
      <c r="I1844" t="s">
        <v>94</v>
      </c>
      <c r="K1844">
        <f t="shared" si="56"/>
        <v>143.35</v>
      </c>
      <c r="L1844">
        <f t="shared" si="57"/>
        <v>143.46</v>
      </c>
      <c r="M1844" t="s">
        <v>99</v>
      </c>
      <c r="O1844" s="7">
        <v>44379</v>
      </c>
    </row>
    <row r="1845" spans="1:21" x14ac:dyDescent="0.15">
      <c r="A1845" t="s">
        <v>287</v>
      </c>
      <c r="B1845" t="s">
        <v>391</v>
      </c>
      <c r="D1845">
        <v>7</v>
      </c>
      <c r="E1845" t="s">
        <v>75</v>
      </c>
      <c r="G1845" s="13">
        <v>143.83500000000001</v>
      </c>
      <c r="H1845" s="13">
        <v>143.9</v>
      </c>
      <c r="I1845" t="s">
        <v>94</v>
      </c>
      <c r="K1845">
        <f t="shared" si="56"/>
        <v>143.83500000000001</v>
      </c>
      <c r="L1845">
        <f t="shared" si="57"/>
        <v>143.9</v>
      </c>
      <c r="M1845" t="s">
        <v>99</v>
      </c>
      <c r="O1845" s="7">
        <v>44379</v>
      </c>
    </row>
    <row r="1846" spans="1:21" x14ac:dyDescent="0.15">
      <c r="A1846" t="s">
        <v>287</v>
      </c>
      <c r="B1846" t="s">
        <v>391</v>
      </c>
      <c r="D1846">
        <v>7</v>
      </c>
      <c r="E1846" t="s">
        <v>75</v>
      </c>
      <c r="G1846" s="13">
        <v>144.65</v>
      </c>
      <c r="H1846" s="13">
        <v>144.69999999999999</v>
      </c>
      <c r="I1846" t="s">
        <v>94</v>
      </c>
      <c r="K1846">
        <f t="shared" si="56"/>
        <v>144.65</v>
      </c>
      <c r="L1846">
        <f t="shared" si="57"/>
        <v>144.69999999999999</v>
      </c>
      <c r="M1846" t="s">
        <v>99</v>
      </c>
      <c r="O1846" s="7">
        <v>44379</v>
      </c>
    </row>
    <row r="1847" spans="1:21" x14ac:dyDescent="0.15">
      <c r="A1847" t="s">
        <v>287</v>
      </c>
      <c r="B1847" t="s">
        <v>391</v>
      </c>
      <c r="D1847">
        <v>7</v>
      </c>
      <c r="E1847" t="s">
        <v>74</v>
      </c>
      <c r="G1847" s="13">
        <v>143.57499999999999</v>
      </c>
      <c r="H1847" s="13">
        <v>143.44999999999999</v>
      </c>
      <c r="J1847" t="s">
        <v>23</v>
      </c>
      <c r="K1847">
        <f t="shared" si="56"/>
        <v>143.44999999999999</v>
      </c>
      <c r="L1847">
        <f t="shared" si="57"/>
        <v>143.57499999999999</v>
      </c>
      <c r="M1847" t="s">
        <v>25</v>
      </c>
      <c r="O1847" s="7">
        <v>44375</v>
      </c>
    </row>
    <row r="1848" spans="1:21" x14ac:dyDescent="0.15">
      <c r="A1848" t="s">
        <v>287</v>
      </c>
      <c r="B1848" t="s">
        <v>391</v>
      </c>
      <c r="D1848">
        <v>7</v>
      </c>
      <c r="E1848" t="s">
        <v>74</v>
      </c>
      <c r="G1848" s="13">
        <v>127.8</v>
      </c>
      <c r="H1848" s="13">
        <v>127.5</v>
      </c>
      <c r="I1848" t="s">
        <v>91</v>
      </c>
      <c r="K1848">
        <f t="shared" si="56"/>
        <v>127.5</v>
      </c>
      <c r="L1848">
        <f t="shared" si="57"/>
        <v>127.8</v>
      </c>
      <c r="M1848" t="s">
        <v>99</v>
      </c>
      <c r="O1848" s="7">
        <v>44371</v>
      </c>
    </row>
    <row r="1849" spans="1:21" x14ac:dyDescent="0.15">
      <c r="A1849" t="s">
        <v>287</v>
      </c>
      <c r="B1849" t="s">
        <v>391</v>
      </c>
      <c r="D1849">
        <v>7</v>
      </c>
      <c r="E1849" t="s">
        <v>74</v>
      </c>
      <c r="G1849" s="13">
        <v>105.76</v>
      </c>
      <c r="H1849" s="13">
        <v>105.7</v>
      </c>
      <c r="I1849" t="s">
        <v>93</v>
      </c>
      <c r="K1849">
        <f t="shared" si="56"/>
        <v>105.7</v>
      </c>
      <c r="L1849">
        <f t="shared" si="57"/>
        <v>105.76</v>
      </c>
      <c r="M1849" t="s">
        <v>99</v>
      </c>
      <c r="O1849" s="7">
        <v>44372</v>
      </c>
    </row>
    <row r="1850" spans="1:21" x14ac:dyDescent="0.15">
      <c r="A1850" t="s">
        <v>287</v>
      </c>
      <c r="B1850" t="s">
        <v>391</v>
      </c>
      <c r="D1850">
        <v>7</v>
      </c>
      <c r="E1850" t="s">
        <v>74</v>
      </c>
      <c r="G1850" s="13">
        <v>105.76</v>
      </c>
      <c r="H1850" s="13">
        <v>105.7</v>
      </c>
      <c r="I1850" t="s">
        <v>92</v>
      </c>
      <c r="K1850">
        <f t="shared" si="56"/>
        <v>105.7</v>
      </c>
      <c r="L1850">
        <f t="shared" si="57"/>
        <v>105.76</v>
      </c>
      <c r="M1850" t="s">
        <v>99</v>
      </c>
      <c r="O1850" s="7">
        <v>44372</v>
      </c>
    </row>
    <row r="1851" spans="1:21" x14ac:dyDescent="0.15">
      <c r="A1851" t="s">
        <v>287</v>
      </c>
      <c r="B1851" t="s">
        <v>391</v>
      </c>
      <c r="D1851">
        <v>7</v>
      </c>
      <c r="E1851" t="s">
        <v>74</v>
      </c>
      <c r="G1851" s="13">
        <v>105.62</v>
      </c>
      <c r="H1851" s="13">
        <v>105.6</v>
      </c>
      <c r="I1851" t="s">
        <v>93</v>
      </c>
      <c r="K1851">
        <f t="shared" si="56"/>
        <v>105.6</v>
      </c>
      <c r="L1851">
        <f t="shared" si="57"/>
        <v>105.62</v>
      </c>
      <c r="M1851" t="s">
        <v>99</v>
      </c>
      <c r="O1851" s="7">
        <v>44372</v>
      </c>
    </row>
    <row r="1852" spans="1:21" x14ac:dyDescent="0.15">
      <c r="A1852" t="s">
        <v>287</v>
      </c>
      <c r="B1852" t="s">
        <v>391</v>
      </c>
      <c r="D1852">
        <v>7</v>
      </c>
      <c r="E1852" t="s">
        <v>74</v>
      </c>
      <c r="G1852" s="13">
        <v>105.62</v>
      </c>
      <c r="H1852" s="13">
        <v>105.6</v>
      </c>
      <c r="I1852" t="s">
        <v>92</v>
      </c>
      <c r="K1852">
        <f t="shared" si="56"/>
        <v>105.6</v>
      </c>
      <c r="L1852">
        <f t="shared" si="57"/>
        <v>105.62</v>
      </c>
      <c r="M1852" t="s">
        <v>99</v>
      </c>
      <c r="O1852" s="7">
        <v>44372</v>
      </c>
    </row>
    <row r="1853" spans="1:21" x14ac:dyDescent="0.15">
      <c r="A1853" t="s">
        <v>287</v>
      </c>
      <c r="B1853" t="s">
        <v>391</v>
      </c>
      <c r="D1853">
        <v>7</v>
      </c>
      <c r="E1853" t="s">
        <v>76</v>
      </c>
      <c r="F1853" t="s">
        <v>170</v>
      </c>
      <c r="G1853" s="13">
        <v>103.925</v>
      </c>
      <c r="H1853" s="13">
        <v>103.905</v>
      </c>
      <c r="K1853">
        <f t="shared" si="56"/>
        <v>103.905</v>
      </c>
      <c r="L1853">
        <f t="shared" si="57"/>
        <v>103.925</v>
      </c>
      <c r="M1853" t="s">
        <v>392</v>
      </c>
      <c r="O1853" s="7">
        <v>44371</v>
      </c>
      <c r="U1853" t="s">
        <v>393</v>
      </c>
    </row>
    <row r="1854" spans="1:21" x14ac:dyDescent="0.15">
      <c r="A1854" t="s">
        <v>287</v>
      </c>
      <c r="B1854" t="s">
        <v>391</v>
      </c>
      <c r="D1854">
        <v>7</v>
      </c>
      <c r="E1854" t="s">
        <v>74</v>
      </c>
      <c r="G1854" s="13">
        <v>103.6</v>
      </c>
      <c r="H1854" s="13">
        <v>103.01</v>
      </c>
      <c r="I1854" t="s">
        <v>92</v>
      </c>
      <c r="K1854">
        <f t="shared" si="56"/>
        <v>103.01</v>
      </c>
      <c r="L1854">
        <f t="shared" si="57"/>
        <v>103.6</v>
      </c>
      <c r="M1854" t="s">
        <v>99</v>
      </c>
      <c r="O1854" s="7">
        <v>44372</v>
      </c>
    </row>
    <row r="1855" spans="1:21" x14ac:dyDescent="0.15">
      <c r="A1855" t="s">
        <v>287</v>
      </c>
      <c r="B1855" t="s">
        <v>391</v>
      </c>
      <c r="D1855">
        <v>7</v>
      </c>
      <c r="E1855" t="s">
        <v>74</v>
      </c>
      <c r="G1855" s="13">
        <v>102.45</v>
      </c>
      <c r="H1855" s="13">
        <v>102.29</v>
      </c>
      <c r="I1855" t="s">
        <v>92</v>
      </c>
      <c r="K1855">
        <f t="shared" si="56"/>
        <v>102.29</v>
      </c>
      <c r="L1855">
        <f t="shared" si="57"/>
        <v>102.45</v>
      </c>
      <c r="M1855" t="s">
        <v>99</v>
      </c>
      <c r="O1855" s="7">
        <v>44372</v>
      </c>
    </row>
    <row r="1856" spans="1:21" x14ac:dyDescent="0.15">
      <c r="A1856" t="s">
        <v>287</v>
      </c>
      <c r="B1856" t="s">
        <v>391</v>
      </c>
      <c r="D1856">
        <v>7</v>
      </c>
      <c r="E1856" t="s">
        <v>74</v>
      </c>
      <c r="G1856" s="13">
        <v>100.2</v>
      </c>
      <c r="H1856" s="13">
        <v>99.9</v>
      </c>
      <c r="I1856" t="s">
        <v>92</v>
      </c>
      <c r="K1856">
        <f t="shared" si="56"/>
        <v>99.9</v>
      </c>
      <c r="L1856">
        <f t="shared" si="57"/>
        <v>100.2</v>
      </c>
      <c r="M1856" t="s">
        <v>99</v>
      </c>
      <c r="O1856" s="7">
        <v>44372</v>
      </c>
    </row>
    <row r="1857" spans="1:15" x14ac:dyDescent="0.15">
      <c r="A1857" t="s">
        <v>287</v>
      </c>
      <c r="B1857" t="s">
        <v>391</v>
      </c>
      <c r="D1857">
        <v>31</v>
      </c>
      <c r="E1857" t="s">
        <v>75</v>
      </c>
      <c r="G1857" s="13">
        <v>6</v>
      </c>
      <c r="H1857" s="13">
        <v>6.45</v>
      </c>
      <c r="I1857" t="s">
        <v>94</v>
      </c>
      <c r="K1857">
        <f t="shared" ref="K1857:K1920" si="58">MIN(G1857:H1857)</f>
        <v>6</v>
      </c>
      <c r="L1857">
        <f t="shared" ref="L1857:L1920" si="59">MAX(G1857:H1857)</f>
        <v>6.45</v>
      </c>
      <c r="M1857" t="s">
        <v>99</v>
      </c>
      <c r="O1857" s="7">
        <v>44372</v>
      </c>
    </row>
    <row r="1858" spans="1:15" x14ac:dyDescent="0.15">
      <c r="A1858" t="s">
        <v>287</v>
      </c>
      <c r="B1858" t="s">
        <v>391</v>
      </c>
      <c r="D1858">
        <v>31</v>
      </c>
      <c r="E1858" t="s">
        <v>75</v>
      </c>
      <c r="G1858" s="13">
        <v>6.9050000000000002</v>
      </c>
      <c r="H1858" s="13">
        <v>7.125</v>
      </c>
      <c r="I1858" t="s">
        <v>22</v>
      </c>
      <c r="K1858">
        <f t="shared" si="58"/>
        <v>6.9050000000000002</v>
      </c>
      <c r="L1858">
        <f t="shared" si="59"/>
        <v>7.125</v>
      </c>
      <c r="M1858" t="s">
        <v>99</v>
      </c>
      <c r="O1858" s="7">
        <v>44372</v>
      </c>
    </row>
    <row r="1859" spans="1:15" x14ac:dyDescent="0.15">
      <c r="A1859" t="s">
        <v>287</v>
      </c>
      <c r="B1859" t="s">
        <v>391</v>
      </c>
      <c r="D1859">
        <v>32</v>
      </c>
      <c r="E1859" t="s">
        <v>75</v>
      </c>
      <c r="G1859" s="13">
        <v>33.085000000000001</v>
      </c>
      <c r="H1859" s="13">
        <v>33.11</v>
      </c>
      <c r="J1859" t="s">
        <v>23</v>
      </c>
      <c r="K1859">
        <f t="shared" si="58"/>
        <v>33.085000000000001</v>
      </c>
      <c r="L1859">
        <f t="shared" si="59"/>
        <v>33.11</v>
      </c>
      <c r="M1859" t="s">
        <v>25</v>
      </c>
      <c r="O1859" s="7">
        <v>44369</v>
      </c>
    </row>
    <row r="1860" spans="1:15" x14ac:dyDescent="0.15">
      <c r="A1860" t="s">
        <v>287</v>
      </c>
      <c r="B1860" t="s">
        <v>391</v>
      </c>
      <c r="D1860">
        <v>32</v>
      </c>
      <c r="E1860" t="s">
        <v>75</v>
      </c>
      <c r="G1860" s="13">
        <v>37.1</v>
      </c>
      <c r="H1860" s="13">
        <v>38.25</v>
      </c>
      <c r="I1860" t="s">
        <v>94</v>
      </c>
      <c r="K1860">
        <f t="shared" si="58"/>
        <v>37.1</v>
      </c>
      <c r="L1860">
        <f t="shared" si="59"/>
        <v>38.25</v>
      </c>
      <c r="M1860" t="s">
        <v>99</v>
      </c>
      <c r="O1860" s="7">
        <v>44373</v>
      </c>
    </row>
    <row r="1861" spans="1:15" x14ac:dyDescent="0.15">
      <c r="A1861" t="s">
        <v>287</v>
      </c>
      <c r="B1861" t="s">
        <v>391</v>
      </c>
      <c r="D1861">
        <v>32</v>
      </c>
      <c r="E1861" t="s">
        <v>75</v>
      </c>
      <c r="G1861" s="13">
        <v>37.1</v>
      </c>
      <c r="H1861" s="13">
        <v>38.25</v>
      </c>
      <c r="I1861" t="s">
        <v>94</v>
      </c>
      <c r="K1861">
        <f t="shared" si="58"/>
        <v>37.1</v>
      </c>
      <c r="L1861">
        <f t="shared" si="59"/>
        <v>38.25</v>
      </c>
      <c r="M1861" t="s">
        <v>99</v>
      </c>
      <c r="O1861" s="7">
        <v>44373</v>
      </c>
    </row>
    <row r="1862" spans="1:15" x14ac:dyDescent="0.15">
      <c r="A1862" t="s">
        <v>287</v>
      </c>
      <c r="B1862" t="s">
        <v>391</v>
      </c>
      <c r="D1862">
        <v>32</v>
      </c>
      <c r="E1862" t="s">
        <v>75</v>
      </c>
      <c r="G1862" s="13">
        <v>40.215000000000003</v>
      </c>
      <c r="H1862" s="13">
        <v>41.05</v>
      </c>
      <c r="I1862" t="s">
        <v>94</v>
      </c>
      <c r="K1862">
        <f t="shared" si="58"/>
        <v>40.215000000000003</v>
      </c>
      <c r="L1862">
        <f t="shared" si="59"/>
        <v>41.05</v>
      </c>
      <c r="M1862" t="s">
        <v>99</v>
      </c>
      <c r="O1862" s="7">
        <v>44373</v>
      </c>
    </row>
    <row r="1863" spans="1:15" x14ac:dyDescent="0.15">
      <c r="A1863" t="s">
        <v>287</v>
      </c>
      <c r="B1863" t="s">
        <v>391</v>
      </c>
      <c r="D1863">
        <v>32</v>
      </c>
      <c r="E1863" t="s">
        <v>75</v>
      </c>
      <c r="G1863" s="13">
        <v>51.9</v>
      </c>
      <c r="H1863" s="13">
        <v>51.98</v>
      </c>
      <c r="I1863" t="s">
        <v>96</v>
      </c>
      <c r="K1863">
        <f t="shared" si="58"/>
        <v>51.9</v>
      </c>
      <c r="L1863">
        <f t="shared" si="59"/>
        <v>51.98</v>
      </c>
      <c r="M1863" t="s">
        <v>25</v>
      </c>
      <c r="O1863" s="7">
        <v>44370</v>
      </c>
    </row>
    <row r="1864" spans="1:15" x14ac:dyDescent="0.15">
      <c r="A1864" t="s">
        <v>287</v>
      </c>
      <c r="B1864" t="s">
        <v>391</v>
      </c>
      <c r="D1864">
        <v>32</v>
      </c>
      <c r="E1864" t="s">
        <v>75</v>
      </c>
      <c r="G1864" s="13">
        <v>52.814999999999998</v>
      </c>
      <c r="H1864" s="13">
        <v>53.3</v>
      </c>
      <c r="I1864" t="s">
        <v>96</v>
      </c>
      <c r="K1864">
        <f t="shared" si="58"/>
        <v>52.814999999999998</v>
      </c>
      <c r="L1864">
        <f t="shared" si="59"/>
        <v>53.3</v>
      </c>
      <c r="M1864" t="s">
        <v>99</v>
      </c>
      <c r="O1864" s="7">
        <v>44373</v>
      </c>
    </row>
    <row r="1865" spans="1:15" x14ac:dyDescent="0.15">
      <c r="A1865" t="s">
        <v>287</v>
      </c>
      <c r="B1865" t="s">
        <v>391</v>
      </c>
      <c r="D1865">
        <v>32</v>
      </c>
      <c r="E1865" t="s">
        <v>75</v>
      </c>
      <c r="G1865" s="13">
        <v>54.48</v>
      </c>
      <c r="H1865" s="13">
        <v>55</v>
      </c>
      <c r="I1865" t="s">
        <v>94</v>
      </c>
      <c r="K1865">
        <f t="shared" si="58"/>
        <v>54.48</v>
      </c>
      <c r="L1865">
        <f t="shared" si="59"/>
        <v>55</v>
      </c>
      <c r="M1865" t="s">
        <v>99</v>
      </c>
      <c r="O1865" s="7">
        <v>44373</v>
      </c>
    </row>
    <row r="1866" spans="1:15" x14ac:dyDescent="0.15">
      <c r="A1866" t="s">
        <v>287</v>
      </c>
      <c r="B1866" t="s">
        <v>391</v>
      </c>
      <c r="D1866">
        <v>32</v>
      </c>
      <c r="E1866" t="s">
        <v>75</v>
      </c>
      <c r="G1866" s="13">
        <v>55</v>
      </c>
      <c r="H1866" s="13">
        <v>55.38</v>
      </c>
      <c r="I1866" t="s">
        <v>94</v>
      </c>
      <c r="K1866">
        <f t="shared" si="58"/>
        <v>55</v>
      </c>
      <c r="L1866">
        <f t="shared" si="59"/>
        <v>55.38</v>
      </c>
      <c r="M1866" t="s">
        <v>25</v>
      </c>
      <c r="O1866" s="7">
        <v>44425</v>
      </c>
    </row>
    <row r="1867" spans="1:15" x14ac:dyDescent="0.15">
      <c r="A1867" t="s">
        <v>287</v>
      </c>
      <c r="B1867" t="s">
        <v>391</v>
      </c>
      <c r="D1867">
        <v>32</v>
      </c>
      <c r="E1867" t="s">
        <v>75</v>
      </c>
      <c r="G1867" s="13">
        <v>57.06</v>
      </c>
      <c r="H1867" s="13">
        <v>57.104999999999997</v>
      </c>
      <c r="J1867" t="s">
        <v>23</v>
      </c>
      <c r="K1867">
        <f t="shared" si="58"/>
        <v>57.06</v>
      </c>
      <c r="L1867">
        <f t="shared" si="59"/>
        <v>57.104999999999997</v>
      </c>
      <c r="M1867" t="s">
        <v>25</v>
      </c>
      <c r="O1867" s="7">
        <v>44371</v>
      </c>
    </row>
    <row r="1868" spans="1:15" x14ac:dyDescent="0.15">
      <c r="A1868" t="s">
        <v>287</v>
      </c>
      <c r="B1868" t="s">
        <v>391</v>
      </c>
      <c r="D1868">
        <v>32</v>
      </c>
      <c r="E1868" t="s">
        <v>75</v>
      </c>
      <c r="G1868" s="22">
        <v>57.104999999999997</v>
      </c>
      <c r="H1868" s="22">
        <v>57.48</v>
      </c>
      <c r="I1868" t="s">
        <v>96</v>
      </c>
      <c r="K1868">
        <f t="shared" si="58"/>
        <v>57.104999999999997</v>
      </c>
      <c r="L1868">
        <f t="shared" si="59"/>
        <v>57.48</v>
      </c>
      <c r="M1868" t="s">
        <v>99</v>
      </c>
      <c r="O1868" s="7">
        <v>44373</v>
      </c>
    </row>
    <row r="1869" spans="1:15" x14ac:dyDescent="0.15">
      <c r="A1869" t="s">
        <v>287</v>
      </c>
      <c r="B1869" t="s">
        <v>391</v>
      </c>
      <c r="D1869">
        <v>32</v>
      </c>
      <c r="E1869" t="s">
        <v>75</v>
      </c>
      <c r="G1869" s="13">
        <v>57.5</v>
      </c>
      <c r="H1869" s="13">
        <v>58.3</v>
      </c>
      <c r="I1869" t="s">
        <v>96</v>
      </c>
      <c r="K1869">
        <f t="shared" si="58"/>
        <v>57.5</v>
      </c>
      <c r="L1869">
        <f t="shared" si="59"/>
        <v>58.3</v>
      </c>
      <c r="M1869" t="s">
        <v>25</v>
      </c>
      <c r="O1869" s="7">
        <v>44370</v>
      </c>
    </row>
    <row r="1870" spans="1:15" x14ac:dyDescent="0.15">
      <c r="A1870" t="s">
        <v>287</v>
      </c>
      <c r="B1870" t="s">
        <v>391</v>
      </c>
      <c r="D1870">
        <v>32</v>
      </c>
      <c r="E1870" t="s">
        <v>75</v>
      </c>
      <c r="G1870" s="13">
        <v>60.7</v>
      </c>
      <c r="H1870" s="13">
        <v>60.765000000000001</v>
      </c>
      <c r="I1870" t="s">
        <v>94</v>
      </c>
      <c r="K1870">
        <f t="shared" si="58"/>
        <v>60.7</v>
      </c>
      <c r="L1870">
        <f t="shared" si="59"/>
        <v>60.765000000000001</v>
      </c>
      <c r="M1870" t="s">
        <v>99</v>
      </c>
      <c r="O1870" s="7">
        <v>44373</v>
      </c>
    </row>
    <row r="1871" spans="1:15" x14ac:dyDescent="0.15">
      <c r="A1871" t="s">
        <v>287</v>
      </c>
      <c r="B1871" t="s">
        <v>391</v>
      </c>
      <c r="D1871">
        <v>32</v>
      </c>
      <c r="E1871" t="s">
        <v>74</v>
      </c>
      <c r="G1871" s="13">
        <v>59.3</v>
      </c>
      <c r="H1871" s="13">
        <v>59.2</v>
      </c>
      <c r="I1871" t="s">
        <v>91</v>
      </c>
      <c r="K1871">
        <f t="shared" si="58"/>
        <v>59.2</v>
      </c>
      <c r="L1871">
        <f t="shared" si="59"/>
        <v>59.3</v>
      </c>
      <c r="M1871" t="s">
        <v>99</v>
      </c>
      <c r="O1871" s="7">
        <v>44373</v>
      </c>
    </row>
    <row r="1872" spans="1:15" x14ac:dyDescent="0.15">
      <c r="A1872" t="s">
        <v>287</v>
      </c>
      <c r="B1872" t="s">
        <v>391</v>
      </c>
      <c r="D1872">
        <v>32</v>
      </c>
      <c r="E1872" t="s">
        <v>74</v>
      </c>
      <c r="G1872" s="13">
        <v>59.3</v>
      </c>
      <c r="H1872" s="13">
        <v>59.2</v>
      </c>
      <c r="I1872" t="s">
        <v>92</v>
      </c>
      <c r="K1872">
        <f t="shared" si="58"/>
        <v>59.2</v>
      </c>
      <c r="L1872">
        <f t="shared" si="59"/>
        <v>59.3</v>
      </c>
      <c r="M1872" t="s">
        <v>99</v>
      </c>
      <c r="O1872" s="7">
        <v>44373</v>
      </c>
    </row>
    <row r="1873" spans="1:21" x14ac:dyDescent="0.15">
      <c r="A1873" t="s">
        <v>287</v>
      </c>
      <c r="B1873" t="s">
        <v>391</v>
      </c>
      <c r="D1873">
        <v>32</v>
      </c>
      <c r="E1873" t="s">
        <v>74</v>
      </c>
      <c r="G1873" s="13">
        <v>59.18</v>
      </c>
      <c r="H1873" s="13">
        <v>59.12</v>
      </c>
      <c r="I1873" t="s">
        <v>91</v>
      </c>
      <c r="K1873">
        <f t="shared" si="58"/>
        <v>59.12</v>
      </c>
      <c r="L1873">
        <f t="shared" si="59"/>
        <v>59.18</v>
      </c>
      <c r="M1873" t="s">
        <v>99</v>
      </c>
      <c r="O1873" s="7">
        <v>44373</v>
      </c>
    </row>
    <row r="1874" spans="1:21" x14ac:dyDescent="0.15">
      <c r="A1874" t="s">
        <v>287</v>
      </c>
      <c r="B1874" t="s">
        <v>391</v>
      </c>
      <c r="D1874">
        <v>32</v>
      </c>
      <c r="E1874" t="s">
        <v>74</v>
      </c>
      <c r="G1874" s="13">
        <v>56.45</v>
      </c>
      <c r="H1874" s="13">
        <v>56.2</v>
      </c>
      <c r="I1874" t="s">
        <v>91</v>
      </c>
      <c r="K1874">
        <f t="shared" si="58"/>
        <v>56.2</v>
      </c>
      <c r="L1874">
        <f t="shared" si="59"/>
        <v>56.45</v>
      </c>
      <c r="M1874" t="s">
        <v>99</v>
      </c>
      <c r="O1874" s="7">
        <v>44373</v>
      </c>
    </row>
    <row r="1875" spans="1:21" x14ac:dyDescent="0.15">
      <c r="A1875" t="s">
        <v>287</v>
      </c>
      <c r="B1875" t="s">
        <v>391</v>
      </c>
      <c r="D1875">
        <v>32</v>
      </c>
      <c r="E1875" t="s">
        <v>74</v>
      </c>
      <c r="G1875" s="13">
        <v>56.45</v>
      </c>
      <c r="H1875" s="13">
        <v>56.2</v>
      </c>
      <c r="I1875" t="s">
        <v>92</v>
      </c>
      <c r="K1875">
        <f t="shared" si="58"/>
        <v>56.2</v>
      </c>
      <c r="L1875">
        <f t="shared" si="59"/>
        <v>56.45</v>
      </c>
      <c r="M1875" t="s">
        <v>99</v>
      </c>
      <c r="O1875" s="7">
        <v>44373</v>
      </c>
    </row>
    <row r="1876" spans="1:21" x14ac:dyDescent="0.15">
      <c r="A1876" t="s">
        <v>287</v>
      </c>
      <c r="B1876" t="s">
        <v>391</v>
      </c>
      <c r="D1876">
        <v>32</v>
      </c>
      <c r="E1876" t="s">
        <v>74</v>
      </c>
      <c r="G1876" s="13">
        <v>30.925000000000001</v>
      </c>
      <c r="H1876" s="13">
        <v>30.9</v>
      </c>
      <c r="J1876" t="s">
        <v>23</v>
      </c>
      <c r="K1876">
        <f t="shared" si="58"/>
        <v>30.9</v>
      </c>
      <c r="L1876">
        <f t="shared" si="59"/>
        <v>30.925000000000001</v>
      </c>
      <c r="M1876" t="s">
        <v>25</v>
      </c>
      <c r="O1876" s="7">
        <v>44369</v>
      </c>
    </row>
    <row r="1877" spans="1:21" x14ac:dyDescent="0.15">
      <c r="A1877" t="s">
        <v>287</v>
      </c>
      <c r="B1877" t="s">
        <v>391</v>
      </c>
      <c r="D1877">
        <v>32</v>
      </c>
      <c r="E1877" t="s">
        <v>76</v>
      </c>
      <c r="F1877" t="s">
        <v>166</v>
      </c>
      <c r="G1877" s="13">
        <v>48</v>
      </c>
      <c r="H1877" s="13">
        <v>47.87</v>
      </c>
      <c r="J1877" t="s">
        <v>23</v>
      </c>
      <c r="K1877">
        <f t="shared" si="58"/>
        <v>47.87</v>
      </c>
      <c r="L1877">
        <f t="shared" si="59"/>
        <v>48</v>
      </c>
      <c r="M1877" t="s">
        <v>25</v>
      </c>
      <c r="O1877" s="7">
        <v>44425</v>
      </c>
      <c r="U1877" t="s">
        <v>394</v>
      </c>
    </row>
    <row r="1878" spans="1:21" x14ac:dyDescent="0.15">
      <c r="A1878" t="s">
        <v>287</v>
      </c>
      <c r="B1878" t="s">
        <v>391</v>
      </c>
      <c r="D1878">
        <v>6</v>
      </c>
      <c r="E1878" t="s">
        <v>75</v>
      </c>
      <c r="G1878" s="13">
        <v>296.14999999999998</v>
      </c>
      <c r="H1878" s="13">
        <v>296.35500000000002</v>
      </c>
      <c r="I1878" t="s">
        <v>94</v>
      </c>
      <c r="K1878">
        <f t="shared" si="58"/>
        <v>296.14999999999998</v>
      </c>
      <c r="L1878">
        <f t="shared" si="59"/>
        <v>296.35500000000002</v>
      </c>
      <c r="M1878" t="s">
        <v>25</v>
      </c>
      <c r="O1878" s="7">
        <v>44462</v>
      </c>
    </row>
    <row r="1879" spans="1:21" x14ac:dyDescent="0.15">
      <c r="A1879" t="s">
        <v>287</v>
      </c>
      <c r="B1879" t="s">
        <v>391</v>
      </c>
      <c r="D1879">
        <v>6</v>
      </c>
      <c r="E1879" t="s">
        <v>75</v>
      </c>
      <c r="G1879" s="13">
        <v>296.25</v>
      </c>
      <c r="H1879" s="13">
        <v>296.33999999999997</v>
      </c>
      <c r="I1879" t="s">
        <v>98</v>
      </c>
      <c r="K1879">
        <f t="shared" si="58"/>
        <v>296.25</v>
      </c>
      <c r="L1879">
        <f t="shared" si="59"/>
        <v>296.33999999999997</v>
      </c>
      <c r="M1879" t="s">
        <v>25</v>
      </c>
      <c r="O1879" s="7">
        <v>44462</v>
      </c>
      <c r="U1879" t="s">
        <v>395</v>
      </c>
    </row>
    <row r="1880" spans="1:21" x14ac:dyDescent="0.15">
      <c r="A1880" t="s">
        <v>287</v>
      </c>
      <c r="B1880" t="s">
        <v>391</v>
      </c>
      <c r="D1880">
        <v>6</v>
      </c>
      <c r="E1880" t="s">
        <v>74</v>
      </c>
      <c r="G1880" s="13">
        <v>308.33499999999998</v>
      </c>
      <c r="H1880" s="13">
        <v>308.27499999999998</v>
      </c>
      <c r="J1880" t="s">
        <v>23</v>
      </c>
      <c r="K1880">
        <f t="shared" si="58"/>
        <v>308.27499999999998</v>
      </c>
      <c r="L1880">
        <f t="shared" si="59"/>
        <v>308.33499999999998</v>
      </c>
      <c r="M1880" t="s">
        <v>100</v>
      </c>
      <c r="O1880" s="7">
        <v>44462</v>
      </c>
    </row>
    <row r="1881" spans="1:21" x14ac:dyDescent="0.15">
      <c r="A1881" t="s">
        <v>287</v>
      </c>
      <c r="B1881" t="s">
        <v>391</v>
      </c>
      <c r="D1881">
        <v>7</v>
      </c>
      <c r="E1881" t="s">
        <v>75</v>
      </c>
      <c r="G1881" s="13">
        <v>139.05500000000001</v>
      </c>
      <c r="H1881" s="13">
        <v>140</v>
      </c>
      <c r="I1881" t="s">
        <v>187</v>
      </c>
      <c r="K1881">
        <f t="shared" si="58"/>
        <v>139.05500000000001</v>
      </c>
      <c r="L1881">
        <f t="shared" si="59"/>
        <v>140</v>
      </c>
      <c r="M1881" t="s">
        <v>99</v>
      </c>
      <c r="O1881" s="7">
        <v>44434</v>
      </c>
    </row>
    <row r="1882" spans="1:21" x14ac:dyDescent="0.15">
      <c r="A1882" t="s">
        <v>287</v>
      </c>
      <c r="B1882" t="s">
        <v>391</v>
      </c>
      <c r="D1882">
        <v>7</v>
      </c>
      <c r="E1882" t="s">
        <v>75</v>
      </c>
      <c r="G1882" s="13">
        <v>139.05500000000001</v>
      </c>
      <c r="H1882" s="13">
        <v>140.18</v>
      </c>
      <c r="I1882" t="s">
        <v>94</v>
      </c>
      <c r="K1882">
        <f t="shared" si="58"/>
        <v>139.05500000000001</v>
      </c>
      <c r="L1882">
        <f t="shared" si="59"/>
        <v>140.18</v>
      </c>
      <c r="M1882" t="s">
        <v>99</v>
      </c>
      <c r="O1882" s="7">
        <v>44434</v>
      </c>
    </row>
    <row r="1883" spans="1:21" x14ac:dyDescent="0.15">
      <c r="A1883" s="24" t="s">
        <v>350</v>
      </c>
      <c r="B1883" t="s">
        <v>391</v>
      </c>
      <c r="D1883">
        <v>31</v>
      </c>
      <c r="E1883" t="s">
        <v>76</v>
      </c>
      <c r="F1883" t="s">
        <v>85</v>
      </c>
      <c r="G1883">
        <v>75.765000000000001</v>
      </c>
      <c r="H1883">
        <v>76</v>
      </c>
      <c r="J1883" t="s">
        <v>23</v>
      </c>
      <c r="K1883">
        <f t="shared" si="58"/>
        <v>75.765000000000001</v>
      </c>
      <c r="L1883">
        <f t="shared" si="59"/>
        <v>76</v>
      </c>
      <c r="M1883" t="s">
        <v>28</v>
      </c>
      <c r="O1883" s="7">
        <v>44417</v>
      </c>
    </row>
    <row r="1884" spans="1:21" x14ac:dyDescent="0.15">
      <c r="A1884" s="24" t="s">
        <v>350</v>
      </c>
      <c r="B1884" t="s">
        <v>391</v>
      </c>
      <c r="D1884">
        <v>31</v>
      </c>
      <c r="E1884" t="s">
        <v>76</v>
      </c>
      <c r="F1884" t="s">
        <v>81</v>
      </c>
      <c r="G1884">
        <v>76</v>
      </c>
      <c r="H1884">
        <v>75.489999999999995</v>
      </c>
      <c r="J1884" t="s">
        <v>23</v>
      </c>
      <c r="K1884">
        <f t="shared" si="58"/>
        <v>75.489999999999995</v>
      </c>
      <c r="L1884">
        <f t="shared" si="59"/>
        <v>76</v>
      </c>
      <c r="M1884" t="s">
        <v>143</v>
      </c>
      <c r="O1884" s="7">
        <v>44409</v>
      </c>
      <c r="P1884" s="19" t="s">
        <v>145</v>
      </c>
    </row>
    <row r="1885" spans="1:21" x14ac:dyDescent="0.15">
      <c r="A1885" s="24" t="s">
        <v>350</v>
      </c>
      <c r="B1885" t="s">
        <v>391</v>
      </c>
      <c r="D1885">
        <v>7</v>
      </c>
      <c r="E1885" t="s">
        <v>76</v>
      </c>
      <c r="F1885" t="s">
        <v>269</v>
      </c>
      <c r="G1885">
        <v>164.875</v>
      </c>
      <c r="H1885">
        <v>165.39</v>
      </c>
      <c r="J1885" t="s">
        <v>23</v>
      </c>
      <c r="K1885">
        <f t="shared" si="58"/>
        <v>164.875</v>
      </c>
      <c r="L1885">
        <f t="shared" si="59"/>
        <v>165.39</v>
      </c>
      <c r="M1885" t="s">
        <v>143</v>
      </c>
      <c r="O1885" s="7">
        <v>44409</v>
      </c>
    </row>
    <row r="1886" spans="1:21" x14ac:dyDescent="0.15">
      <c r="A1886" s="24" t="s">
        <v>350</v>
      </c>
      <c r="B1886" t="s">
        <v>391</v>
      </c>
      <c r="D1886">
        <v>7</v>
      </c>
      <c r="E1886" t="s">
        <v>76</v>
      </c>
      <c r="F1886" t="s">
        <v>289</v>
      </c>
      <c r="G1886">
        <v>165.38499999999999</v>
      </c>
      <c r="H1886">
        <v>165.72499999999999</v>
      </c>
      <c r="J1886" t="s">
        <v>23</v>
      </c>
      <c r="K1886">
        <f t="shared" si="58"/>
        <v>165.38499999999999</v>
      </c>
      <c r="L1886">
        <f t="shared" si="59"/>
        <v>165.72499999999999</v>
      </c>
      <c r="M1886" t="s">
        <v>28</v>
      </c>
      <c r="O1886" s="7">
        <v>44417</v>
      </c>
    </row>
    <row r="1887" spans="1:21" x14ac:dyDescent="0.15">
      <c r="A1887" s="24" t="s">
        <v>350</v>
      </c>
      <c r="B1887" t="s">
        <v>391</v>
      </c>
      <c r="D1887">
        <v>7</v>
      </c>
      <c r="E1887" t="s">
        <v>74</v>
      </c>
      <c r="G1887">
        <v>166.6</v>
      </c>
      <c r="H1887">
        <v>154.69999999999999</v>
      </c>
      <c r="J1887" t="s">
        <v>23</v>
      </c>
      <c r="K1887">
        <f t="shared" si="58"/>
        <v>154.69999999999999</v>
      </c>
      <c r="L1887">
        <f t="shared" si="59"/>
        <v>166.6</v>
      </c>
      <c r="M1887" t="s">
        <v>143</v>
      </c>
      <c r="O1887" s="7">
        <v>44442</v>
      </c>
      <c r="P1887" s="19" t="s">
        <v>145</v>
      </c>
    </row>
    <row r="1888" spans="1:21" x14ac:dyDescent="0.15">
      <c r="A1888" s="24" t="s">
        <v>350</v>
      </c>
      <c r="B1888" t="s">
        <v>391</v>
      </c>
      <c r="D1888">
        <v>7</v>
      </c>
      <c r="E1888" t="s">
        <v>76</v>
      </c>
      <c r="F1888" t="s">
        <v>167</v>
      </c>
      <c r="G1888">
        <v>165.6</v>
      </c>
      <c r="H1888">
        <v>165.2</v>
      </c>
      <c r="J1888" t="s">
        <v>23</v>
      </c>
      <c r="K1888">
        <f t="shared" si="58"/>
        <v>165.2</v>
      </c>
      <c r="L1888">
        <f t="shared" si="59"/>
        <v>165.6</v>
      </c>
      <c r="M1888" t="s">
        <v>28</v>
      </c>
      <c r="O1888" s="7">
        <v>44442</v>
      </c>
    </row>
    <row r="1889" spans="1:18" x14ac:dyDescent="0.15">
      <c r="A1889" s="24" t="s">
        <v>350</v>
      </c>
      <c r="B1889" t="s">
        <v>391</v>
      </c>
      <c r="D1889">
        <v>7</v>
      </c>
      <c r="E1889" t="s">
        <v>76</v>
      </c>
      <c r="F1889" t="s">
        <v>270</v>
      </c>
      <c r="G1889">
        <v>165.15</v>
      </c>
      <c r="H1889">
        <v>164.87</v>
      </c>
      <c r="J1889" t="s">
        <v>23</v>
      </c>
      <c r="K1889">
        <f t="shared" si="58"/>
        <v>164.87</v>
      </c>
      <c r="L1889">
        <f t="shared" si="59"/>
        <v>165.15</v>
      </c>
      <c r="M1889" t="s">
        <v>28</v>
      </c>
      <c r="O1889" s="7">
        <v>44442</v>
      </c>
    </row>
    <row r="1890" spans="1:18" x14ac:dyDescent="0.15">
      <c r="A1890" s="24" t="s">
        <v>350</v>
      </c>
      <c r="B1890" t="s">
        <v>391</v>
      </c>
      <c r="D1890">
        <v>7</v>
      </c>
      <c r="E1890" t="s">
        <v>76</v>
      </c>
      <c r="F1890" t="s">
        <v>80</v>
      </c>
      <c r="G1890">
        <v>161.88999999999999</v>
      </c>
      <c r="H1890">
        <v>161.58500000000001</v>
      </c>
      <c r="J1890" t="s">
        <v>23</v>
      </c>
      <c r="K1890">
        <f t="shared" si="58"/>
        <v>161.58500000000001</v>
      </c>
      <c r="L1890">
        <f t="shared" si="59"/>
        <v>161.88999999999999</v>
      </c>
      <c r="M1890" t="s">
        <v>28</v>
      </c>
      <c r="O1890" s="7">
        <v>44442</v>
      </c>
    </row>
    <row r="1891" spans="1:18" x14ac:dyDescent="0.15">
      <c r="A1891" s="24" t="s">
        <v>350</v>
      </c>
      <c r="B1891" t="s">
        <v>391</v>
      </c>
      <c r="D1891">
        <v>7</v>
      </c>
      <c r="E1891" t="s">
        <v>76</v>
      </c>
      <c r="F1891" t="s">
        <v>77</v>
      </c>
      <c r="G1891">
        <v>161.61099999999999</v>
      </c>
      <c r="H1891">
        <v>161.351</v>
      </c>
      <c r="J1891" t="s">
        <v>23</v>
      </c>
      <c r="K1891">
        <f t="shared" si="58"/>
        <v>161.351</v>
      </c>
      <c r="L1891">
        <f t="shared" si="59"/>
        <v>161.61099999999999</v>
      </c>
      <c r="M1891" t="s">
        <v>28</v>
      </c>
      <c r="O1891" s="7">
        <v>44442</v>
      </c>
    </row>
    <row r="1892" spans="1:18" x14ac:dyDescent="0.15">
      <c r="A1892" s="24" t="s">
        <v>350</v>
      </c>
      <c r="B1892" t="s">
        <v>391</v>
      </c>
      <c r="D1892">
        <v>7</v>
      </c>
      <c r="E1892" t="s">
        <v>76</v>
      </c>
      <c r="F1892" t="s">
        <v>80</v>
      </c>
      <c r="G1892">
        <v>157.73099999999999</v>
      </c>
      <c r="H1892">
        <v>157.483</v>
      </c>
      <c r="J1892" t="s">
        <v>23</v>
      </c>
      <c r="K1892">
        <f t="shared" si="58"/>
        <v>157.483</v>
      </c>
      <c r="L1892">
        <f t="shared" si="59"/>
        <v>157.73099999999999</v>
      </c>
      <c r="M1892" t="s">
        <v>28</v>
      </c>
      <c r="O1892" s="7">
        <v>44442</v>
      </c>
    </row>
    <row r="1893" spans="1:18" x14ac:dyDescent="0.15">
      <c r="A1893" s="24" t="s">
        <v>350</v>
      </c>
      <c r="B1893" t="s">
        <v>391</v>
      </c>
      <c r="D1893">
        <v>7</v>
      </c>
      <c r="E1893" t="s">
        <v>76</v>
      </c>
      <c r="F1893" t="s">
        <v>77</v>
      </c>
      <c r="G1893">
        <v>157.91499999999999</v>
      </c>
      <c r="H1893">
        <v>157.483</v>
      </c>
      <c r="J1893" t="s">
        <v>23</v>
      </c>
      <c r="K1893">
        <f t="shared" si="58"/>
        <v>157.483</v>
      </c>
      <c r="L1893">
        <f t="shared" si="59"/>
        <v>157.91499999999999</v>
      </c>
      <c r="M1893" t="s">
        <v>28</v>
      </c>
      <c r="O1893" s="7">
        <v>44442</v>
      </c>
    </row>
    <row r="1894" spans="1:18" x14ac:dyDescent="0.15">
      <c r="A1894" s="24" t="s">
        <v>350</v>
      </c>
      <c r="B1894" t="s">
        <v>391</v>
      </c>
      <c r="D1894">
        <v>31</v>
      </c>
      <c r="E1894" t="s">
        <v>76</v>
      </c>
      <c r="F1894" t="s">
        <v>166</v>
      </c>
      <c r="G1894">
        <v>75.515000000000001</v>
      </c>
      <c r="H1894">
        <v>75.165000000000006</v>
      </c>
      <c r="J1894" t="s">
        <v>23</v>
      </c>
      <c r="K1894">
        <f t="shared" si="58"/>
        <v>75.165000000000006</v>
      </c>
      <c r="L1894">
        <f t="shared" si="59"/>
        <v>75.515000000000001</v>
      </c>
      <c r="M1894" t="s">
        <v>28</v>
      </c>
      <c r="O1894" s="7">
        <v>44424</v>
      </c>
    </row>
    <row r="1895" spans="1:18" x14ac:dyDescent="0.15">
      <c r="A1895" s="24" t="s">
        <v>350</v>
      </c>
      <c r="B1895" t="s">
        <v>391</v>
      </c>
      <c r="D1895">
        <v>31</v>
      </c>
      <c r="E1895" t="s">
        <v>76</v>
      </c>
      <c r="F1895" t="s">
        <v>396</v>
      </c>
      <c r="G1895">
        <v>75.31</v>
      </c>
      <c r="H1895">
        <v>75.72</v>
      </c>
      <c r="J1895" t="s">
        <v>23</v>
      </c>
      <c r="K1895">
        <f t="shared" si="58"/>
        <v>75.31</v>
      </c>
      <c r="L1895">
        <f t="shared" si="59"/>
        <v>75.72</v>
      </c>
      <c r="M1895" t="s">
        <v>143</v>
      </c>
      <c r="O1895" s="7">
        <v>44403</v>
      </c>
      <c r="P1895" s="19" t="s">
        <v>145</v>
      </c>
    </row>
    <row r="1896" spans="1:18" x14ac:dyDescent="0.15">
      <c r="A1896" s="24" t="s">
        <v>350</v>
      </c>
      <c r="B1896" t="s">
        <v>391</v>
      </c>
      <c r="D1896">
        <v>32</v>
      </c>
      <c r="E1896" t="s">
        <v>74</v>
      </c>
      <c r="G1896" s="23">
        <v>45</v>
      </c>
      <c r="H1896" s="23">
        <v>39.700000000000003</v>
      </c>
      <c r="J1896" t="s">
        <v>23</v>
      </c>
      <c r="K1896">
        <f t="shared" si="58"/>
        <v>39.700000000000003</v>
      </c>
      <c r="L1896">
        <f t="shared" si="59"/>
        <v>45</v>
      </c>
      <c r="M1896" t="s">
        <v>143</v>
      </c>
      <c r="O1896" s="7">
        <v>44407</v>
      </c>
      <c r="P1896" s="19" t="s">
        <v>145</v>
      </c>
    </row>
    <row r="1897" spans="1:18" x14ac:dyDescent="0.15">
      <c r="A1897" s="24" t="s">
        <v>350</v>
      </c>
      <c r="B1897" t="s">
        <v>391</v>
      </c>
      <c r="D1897">
        <v>32</v>
      </c>
      <c r="E1897" t="s">
        <v>76</v>
      </c>
      <c r="F1897" t="s">
        <v>77</v>
      </c>
      <c r="G1897">
        <v>45.22</v>
      </c>
      <c r="H1897">
        <v>44.86</v>
      </c>
      <c r="J1897" t="s">
        <v>23</v>
      </c>
      <c r="K1897">
        <f t="shared" si="58"/>
        <v>44.86</v>
      </c>
      <c r="L1897">
        <f t="shared" si="59"/>
        <v>45.22</v>
      </c>
      <c r="M1897" t="s">
        <v>28</v>
      </c>
      <c r="O1897" s="7">
        <v>44407</v>
      </c>
    </row>
    <row r="1898" spans="1:18" x14ac:dyDescent="0.15">
      <c r="A1898" s="24" t="s">
        <v>350</v>
      </c>
      <c r="B1898" t="s">
        <v>391</v>
      </c>
      <c r="D1898">
        <v>32</v>
      </c>
      <c r="E1898" t="s">
        <v>76</v>
      </c>
      <c r="F1898" t="s">
        <v>80</v>
      </c>
      <c r="G1898">
        <v>42.68</v>
      </c>
      <c r="H1898">
        <v>42.39</v>
      </c>
      <c r="J1898" t="s">
        <v>23</v>
      </c>
      <c r="K1898">
        <f t="shared" si="58"/>
        <v>42.39</v>
      </c>
      <c r="L1898">
        <f t="shared" si="59"/>
        <v>42.68</v>
      </c>
      <c r="M1898" t="s">
        <v>28</v>
      </c>
      <c r="O1898" s="7">
        <v>44407</v>
      </c>
    </row>
    <row r="1899" spans="1:18" x14ac:dyDescent="0.15">
      <c r="A1899" s="24" t="s">
        <v>350</v>
      </c>
      <c r="B1899" t="s">
        <v>391</v>
      </c>
      <c r="D1899">
        <v>32</v>
      </c>
      <c r="E1899" t="s">
        <v>76</v>
      </c>
      <c r="F1899" t="s">
        <v>77</v>
      </c>
      <c r="G1899">
        <v>42.4</v>
      </c>
      <c r="H1899">
        <v>42.22</v>
      </c>
      <c r="J1899" t="s">
        <v>23</v>
      </c>
      <c r="K1899">
        <f t="shared" si="58"/>
        <v>42.22</v>
      </c>
      <c r="L1899">
        <f t="shared" si="59"/>
        <v>42.4</v>
      </c>
      <c r="M1899" t="s">
        <v>28</v>
      </c>
      <c r="O1899" s="7">
        <v>44407</v>
      </c>
    </row>
    <row r="1900" spans="1:18" x14ac:dyDescent="0.15">
      <c r="A1900" s="24" t="s">
        <v>350</v>
      </c>
      <c r="B1900" t="s">
        <v>391</v>
      </c>
      <c r="D1900">
        <v>32</v>
      </c>
      <c r="E1900" t="s">
        <v>76</v>
      </c>
      <c r="F1900" t="s">
        <v>170</v>
      </c>
      <c r="G1900">
        <v>41.19</v>
      </c>
      <c r="H1900">
        <v>40.57</v>
      </c>
      <c r="J1900" t="s">
        <v>23</v>
      </c>
      <c r="K1900">
        <f t="shared" si="58"/>
        <v>40.57</v>
      </c>
      <c r="L1900">
        <f t="shared" si="59"/>
        <v>41.19</v>
      </c>
      <c r="M1900" t="s">
        <v>28</v>
      </c>
      <c r="O1900" s="7">
        <v>44407</v>
      </c>
    </row>
    <row r="1901" spans="1:18" x14ac:dyDescent="0.15">
      <c r="A1901" s="24" t="s">
        <v>350</v>
      </c>
      <c r="B1901" t="s">
        <v>391</v>
      </c>
      <c r="D1901">
        <v>32</v>
      </c>
      <c r="E1901" t="s">
        <v>76</v>
      </c>
      <c r="F1901" t="s">
        <v>89</v>
      </c>
      <c r="G1901">
        <v>41.134999999999998</v>
      </c>
      <c r="H1901">
        <v>40.72</v>
      </c>
      <c r="J1901" t="s">
        <v>23</v>
      </c>
      <c r="K1901">
        <f t="shared" si="58"/>
        <v>40.72</v>
      </c>
      <c r="L1901">
        <f t="shared" si="59"/>
        <v>41.134999999999998</v>
      </c>
      <c r="M1901" t="s">
        <v>28</v>
      </c>
      <c r="O1901" s="7">
        <v>44407</v>
      </c>
    </row>
    <row r="1902" spans="1:18" x14ac:dyDescent="0.15">
      <c r="A1902" s="24" t="s">
        <v>350</v>
      </c>
      <c r="B1902" t="s">
        <v>391</v>
      </c>
      <c r="D1902">
        <v>32</v>
      </c>
      <c r="E1902" t="s">
        <v>76</v>
      </c>
      <c r="F1902" t="s">
        <v>86</v>
      </c>
      <c r="G1902">
        <v>40.97</v>
      </c>
      <c r="H1902">
        <v>40.74</v>
      </c>
      <c r="J1902" t="s">
        <v>23</v>
      </c>
      <c r="K1902">
        <f t="shared" si="58"/>
        <v>40.74</v>
      </c>
      <c r="L1902">
        <f t="shared" si="59"/>
        <v>40.97</v>
      </c>
      <c r="M1902" t="s">
        <v>28</v>
      </c>
      <c r="O1902" s="7">
        <v>44407</v>
      </c>
    </row>
    <row r="1903" spans="1:18" x14ac:dyDescent="0.15">
      <c r="A1903" s="25" t="s">
        <v>398</v>
      </c>
      <c r="B1903" t="s">
        <v>397</v>
      </c>
      <c r="D1903">
        <v>15</v>
      </c>
      <c r="E1903" t="s">
        <v>76</v>
      </c>
      <c r="F1903" t="s">
        <v>78</v>
      </c>
      <c r="G1903">
        <v>63.16</v>
      </c>
      <c r="H1903">
        <v>63.2</v>
      </c>
      <c r="I1903" t="s">
        <v>94</v>
      </c>
      <c r="K1903">
        <f t="shared" si="58"/>
        <v>63.16</v>
      </c>
      <c r="L1903">
        <f t="shared" si="59"/>
        <v>63.2</v>
      </c>
      <c r="M1903" t="s">
        <v>25</v>
      </c>
      <c r="O1903" s="7">
        <v>44319</v>
      </c>
      <c r="Q1903">
        <v>757000</v>
      </c>
      <c r="R1903" t="s">
        <v>401</v>
      </c>
    </row>
    <row r="1904" spans="1:18" x14ac:dyDescent="0.15">
      <c r="A1904" s="25" t="s">
        <v>398</v>
      </c>
      <c r="B1904" t="s">
        <v>397</v>
      </c>
      <c r="D1904">
        <v>15</v>
      </c>
      <c r="E1904" t="s">
        <v>76</v>
      </c>
      <c r="F1904" t="s">
        <v>78</v>
      </c>
      <c r="G1904">
        <v>63.28</v>
      </c>
      <c r="H1904">
        <v>63.3</v>
      </c>
      <c r="I1904" t="s">
        <v>96</v>
      </c>
      <c r="K1904">
        <f t="shared" si="58"/>
        <v>63.28</v>
      </c>
      <c r="L1904">
        <f t="shared" si="59"/>
        <v>63.3</v>
      </c>
      <c r="M1904" t="s">
        <v>25</v>
      </c>
      <c r="O1904" s="7">
        <v>44319</v>
      </c>
      <c r="Q1904">
        <v>757000</v>
      </c>
      <c r="R1904" t="s">
        <v>401</v>
      </c>
    </row>
    <row r="1905" spans="1:18" x14ac:dyDescent="0.15">
      <c r="A1905" s="25" t="s">
        <v>398</v>
      </c>
      <c r="B1905" t="s">
        <v>397</v>
      </c>
      <c r="D1905">
        <v>15</v>
      </c>
      <c r="E1905" t="s">
        <v>76</v>
      </c>
      <c r="F1905" t="s">
        <v>78</v>
      </c>
      <c r="G1905">
        <v>63.28</v>
      </c>
      <c r="H1905">
        <v>63.3</v>
      </c>
      <c r="I1905" t="s">
        <v>94</v>
      </c>
      <c r="K1905">
        <f t="shared" si="58"/>
        <v>63.28</v>
      </c>
      <c r="L1905">
        <f t="shared" si="59"/>
        <v>63.3</v>
      </c>
      <c r="M1905" t="s">
        <v>25</v>
      </c>
      <c r="O1905" s="7">
        <v>44319</v>
      </c>
      <c r="Q1905">
        <v>757000</v>
      </c>
      <c r="R1905" t="s">
        <v>401</v>
      </c>
    </row>
    <row r="1906" spans="1:18" x14ac:dyDescent="0.15">
      <c r="A1906" s="25" t="s">
        <v>398</v>
      </c>
      <c r="B1906" t="s">
        <v>397</v>
      </c>
      <c r="D1906">
        <v>15</v>
      </c>
      <c r="E1906" t="s">
        <v>76</v>
      </c>
      <c r="F1906" t="s">
        <v>78</v>
      </c>
      <c r="G1906">
        <v>63.16</v>
      </c>
      <c r="H1906">
        <v>63.27</v>
      </c>
      <c r="I1906" t="s">
        <v>181</v>
      </c>
      <c r="K1906">
        <f t="shared" si="58"/>
        <v>63.16</v>
      </c>
      <c r="L1906">
        <f t="shared" si="59"/>
        <v>63.27</v>
      </c>
      <c r="M1906" t="s">
        <v>25</v>
      </c>
      <c r="O1906" s="7">
        <v>44319</v>
      </c>
      <c r="Q1906">
        <v>757000</v>
      </c>
      <c r="R1906" t="s">
        <v>401</v>
      </c>
    </row>
    <row r="1907" spans="1:18" x14ac:dyDescent="0.15">
      <c r="A1907" s="25" t="s">
        <v>398</v>
      </c>
      <c r="B1907" t="s">
        <v>397</v>
      </c>
      <c r="D1907">
        <v>15</v>
      </c>
      <c r="E1907" t="s">
        <v>76</v>
      </c>
      <c r="F1907" t="s">
        <v>78</v>
      </c>
      <c r="G1907">
        <v>63.16</v>
      </c>
      <c r="H1907">
        <v>63.27</v>
      </c>
      <c r="I1907" t="s">
        <v>98</v>
      </c>
      <c r="K1907">
        <f t="shared" si="58"/>
        <v>63.16</v>
      </c>
      <c r="L1907">
        <f t="shared" si="59"/>
        <v>63.27</v>
      </c>
      <c r="M1907" t="s">
        <v>25</v>
      </c>
      <c r="O1907" s="7">
        <v>44319</v>
      </c>
      <c r="Q1907">
        <v>757000</v>
      </c>
      <c r="R1907" t="s">
        <v>401</v>
      </c>
    </row>
    <row r="1908" spans="1:18" x14ac:dyDescent="0.15">
      <c r="A1908" s="25" t="s">
        <v>398</v>
      </c>
      <c r="B1908" t="s">
        <v>397</v>
      </c>
      <c r="D1908">
        <v>15</v>
      </c>
      <c r="E1908" t="s">
        <v>75</v>
      </c>
      <c r="G1908">
        <v>77.900000000000006</v>
      </c>
      <c r="H1908">
        <v>78</v>
      </c>
      <c r="I1908" t="s">
        <v>181</v>
      </c>
      <c r="K1908">
        <f t="shared" si="58"/>
        <v>77.900000000000006</v>
      </c>
      <c r="L1908">
        <f t="shared" si="59"/>
        <v>78</v>
      </c>
      <c r="M1908" t="s">
        <v>25</v>
      </c>
      <c r="O1908" s="7">
        <v>44326</v>
      </c>
      <c r="Q1908">
        <v>757000</v>
      </c>
      <c r="R1908" t="s">
        <v>401</v>
      </c>
    </row>
    <row r="1909" spans="1:18" x14ac:dyDescent="0.15">
      <c r="A1909" s="25" t="s">
        <v>398</v>
      </c>
      <c r="B1909" t="s">
        <v>397</v>
      </c>
      <c r="D1909">
        <v>15</v>
      </c>
      <c r="E1909" t="s">
        <v>75</v>
      </c>
      <c r="G1909">
        <v>77.900000000000006</v>
      </c>
      <c r="H1909">
        <v>78</v>
      </c>
      <c r="I1909" t="s">
        <v>181</v>
      </c>
      <c r="K1909">
        <f t="shared" si="58"/>
        <v>77.900000000000006</v>
      </c>
      <c r="L1909">
        <f t="shared" si="59"/>
        <v>78</v>
      </c>
      <c r="M1909" t="s">
        <v>280</v>
      </c>
      <c r="O1909" s="7">
        <v>44326</v>
      </c>
      <c r="Q1909">
        <v>163164</v>
      </c>
      <c r="R1909" t="s">
        <v>401</v>
      </c>
    </row>
    <row r="1910" spans="1:18" x14ac:dyDescent="0.15">
      <c r="A1910" s="25" t="s">
        <v>398</v>
      </c>
      <c r="B1910" t="s">
        <v>397</v>
      </c>
      <c r="D1910">
        <v>15</v>
      </c>
      <c r="E1910" t="s">
        <v>75</v>
      </c>
      <c r="G1910">
        <v>101.5</v>
      </c>
      <c r="H1910">
        <v>101.9</v>
      </c>
      <c r="I1910" t="s">
        <v>96</v>
      </c>
      <c r="K1910">
        <f t="shared" si="58"/>
        <v>101.5</v>
      </c>
      <c r="L1910">
        <f t="shared" si="59"/>
        <v>101.9</v>
      </c>
      <c r="M1910" t="s">
        <v>286</v>
      </c>
      <c r="O1910" s="7">
        <v>44326</v>
      </c>
      <c r="Q1910">
        <v>163165</v>
      </c>
      <c r="R1910" t="s">
        <v>401</v>
      </c>
    </row>
    <row r="1911" spans="1:18" x14ac:dyDescent="0.15">
      <c r="A1911" s="25" t="s">
        <v>398</v>
      </c>
      <c r="B1911" t="s">
        <v>397</v>
      </c>
      <c r="D1911">
        <v>15</v>
      </c>
      <c r="E1911" t="s">
        <v>75</v>
      </c>
      <c r="G1911">
        <v>98.32</v>
      </c>
      <c r="H1911">
        <v>98.32</v>
      </c>
      <c r="I1911" t="s">
        <v>94</v>
      </c>
      <c r="K1911">
        <f t="shared" si="58"/>
        <v>98.32</v>
      </c>
      <c r="L1911">
        <f t="shared" si="59"/>
        <v>98.32</v>
      </c>
      <c r="M1911" t="s">
        <v>25</v>
      </c>
      <c r="O1911" s="7">
        <v>44326</v>
      </c>
      <c r="Q1911">
        <v>757000</v>
      </c>
      <c r="R1911" t="s">
        <v>401</v>
      </c>
    </row>
    <row r="1912" spans="1:18" x14ac:dyDescent="0.15">
      <c r="A1912" s="25" t="s">
        <v>398</v>
      </c>
      <c r="B1912" t="s">
        <v>397</v>
      </c>
      <c r="D1912">
        <v>15</v>
      </c>
      <c r="E1912" t="s">
        <v>75</v>
      </c>
      <c r="G1912">
        <v>98.32</v>
      </c>
      <c r="H1912">
        <v>98.32</v>
      </c>
      <c r="I1912" t="s">
        <v>94</v>
      </c>
      <c r="K1912">
        <f t="shared" si="58"/>
        <v>98.32</v>
      </c>
      <c r="L1912">
        <f t="shared" si="59"/>
        <v>98.32</v>
      </c>
      <c r="M1912" t="s">
        <v>280</v>
      </c>
      <c r="O1912" s="7">
        <v>44326</v>
      </c>
      <c r="Q1912">
        <v>163164</v>
      </c>
      <c r="R1912" t="s">
        <v>401</v>
      </c>
    </row>
    <row r="1913" spans="1:18" x14ac:dyDescent="0.15">
      <c r="A1913" s="25" t="s">
        <v>398</v>
      </c>
      <c r="B1913" t="s">
        <v>397</v>
      </c>
      <c r="D1913">
        <v>15</v>
      </c>
      <c r="E1913" t="s">
        <v>75</v>
      </c>
      <c r="G1913">
        <v>114.6</v>
      </c>
      <c r="H1913">
        <v>115.1</v>
      </c>
      <c r="I1913" t="s">
        <v>94</v>
      </c>
      <c r="K1913">
        <f t="shared" si="58"/>
        <v>114.6</v>
      </c>
      <c r="L1913">
        <f t="shared" si="59"/>
        <v>115.1</v>
      </c>
      <c r="M1913" t="s">
        <v>286</v>
      </c>
      <c r="O1913" s="7">
        <v>44327</v>
      </c>
      <c r="Q1913">
        <v>163165</v>
      </c>
      <c r="R1913" t="s">
        <v>401</v>
      </c>
    </row>
    <row r="1914" spans="1:18" x14ac:dyDescent="0.15">
      <c r="A1914" s="25" t="s">
        <v>398</v>
      </c>
      <c r="B1914" t="s">
        <v>397</v>
      </c>
      <c r="D1914">
        <v>15</v>
      </c>
      <c r="E1914" t="s">
        <v>75</v>
      </c>
      <c r="G1914">
        <v>115.3</v>
      </c>
      <c r="H1914">
        <v>115.4</v>
      </c>
      <c r="I1914" t="s">
        <v>94</v>
      </c>
      <c r="K1914">
        <f t="shared" si="58"/>
        <v>115.3</v>
      </c>
      <c r="L1914">
        <f t="shared" si="59"/>
        <v>115.4</v>
      </c>
      <c r="M1914" t="s">
        <v>100</v>
      </c>
      <c r="O1914" s="7">
        <v>44327</v>
      </c>
      <c r="Q1914">
        <v>457135</v>
      </c>
      <c r="R1914" t="s">
        <v>401</v>
      </c>
    </row>
    <row r="1915" spans="1:18" x14ac:dyDescent="0.15">
      <c r="A1915" s="25" t="s">
        <v>398</v>
      </c>
      <c r="B1915" t="s">
        <v>397</v>
      </c>
      <c r="D1915">
        <v>15</v>
      </c>
      <c r="E1915" t="s">
        <v>74</v>
      </c>
      <c r="G1915">
        <v>116.2</v>
      </c>
      <c r="H1915">
        <v>115.5</v>
      </c>
      <c r="I1915" t="s">
        <v>92</v>
      </c>
      <c r="K1915">
        <f t="shared" si="58"/>
        <v>115.5</v>
      </c>
      <c r="L1915">
        <f t="shared" si="59"/>
        <v>116.2</v>
      </c>
      <c r="M1915" t="s">
        <v>25</v>
      </c>
      <c r="O1915" s="7">
        <v>44327</v>
      </c>
      <c r="Q1915">
        <v>757000</v>
      </c>
      <c r="R1915" t="s">
        <v>401</v>
      </c>
    </row>
    <row r="1916" spans="1:18" x14ac:dyDescent="0.15">
      <c r="A1916" s="25" t="s">
        <v>398</v>
      </c>
      <c r="B1916" t="s">
        <v>397</v>
      </c>
      <c r="D1916">
        <v>15</v>
      </c>
      <c r="E1916" t="s">
        <v>74</v>
      </c>
      <c r="G1916">
        <v>115.4</v>
      </c>
      <c r="H1916">
        <v>115.3</v>
      </c>
      <c r="I1916" t="s">
        <v>92</v>
      </c>
      <c r="K1916">
        <f t="shared" si="58"/>
        <v>115.3</v>
      </c>
      <c r="L1916">
        <f t="shared" si="59"/>
        <v>115.4</v>
      </c>
      <c r="M1916" t="s">
        <v>100</v>
      </c>
      <c r="O1916" s="7">
        <v>44327</v>
      </c>
      <c r="Q1916">
        <v>457135</v>
      </c>
      <c r="R1916" t="s">
        <v>401</v>
      </c>
    </row>
    <row r="1917" spans="1:18" x14ac:dyDescent="0.15">
      <c r="A1917" s="25" t="s">
        <v>398</v>
      </c>
      <c r="B1917" t="s">
        <v>397</v>
      </c>
      <c r="D1917">
        <v>15</v>
      </c>
      <c r="E1917" t="s">
        <v>75</v>
      </c>
      <c r="G1917">
        <v>72.53</v>
      </c>
      <c r="H1917">
        <v>72.900000000000006</v>
      </c>
      <c r="I1917" t="s">
        <v>22</v>
      </c>
      <c r="K1917">
        <f t="shared" si="58"/>
        <v>72.53</v>
      </c>
      <c r="L1917">
        <f t="shared" si="59"/>
        <v>72.900000000000006</v>
      </c>
      <c r="M1917" t="s">
        <v>25</v>
      </c>
      <c r="O1917" s="7">
        <v>44383</v>
      </c>
      <c r="Q1917">
        <v>757000</v>
      </c>
      <c r="R1917" t="s">
        <v>401</v>
      </c>
    </row>
    <row r="1918" spans="1:18" x14ac:dyDescent="0.15">
      <c r="A1918" s="25" t="s">
        <v>398</v>
      </c>
      <c r="B1918" t="s">
        <v>397</v>
      </c>
      <c r="D1918">
        <v>15</v>
      </c>
      <c r="E1918" t="s">
        <v>74</v>
      </c>
      <c r="G1918">
        <v>74.8</v>
      </c>
      <c r="H1918">
        <v>74.7</v>
      </c>
      <c r="I1918" t="s">
        <v>182</v>
      </c>
      <c r="K1918">
        <f t="shared" si="58"/>
        <v>74.7</v>
      </c>
      <c r="L1918">
        <f t="shared" si="59"/>
        <v>74.8</v>
      </c>
      <c r="M1918" t="s">
        <v>25</v>
      </c>
      <c r="O1918" s="7">
        <v>44461</v>
      </c>
      <c r="Q1918">
        <v>757000</v>
      </c>
      <c r="R1918" t="s">
        <v>401</v>
      </c>
    </row>
    <row r="1919" spans="1:18" x14ac:dyDescent="0.15">
      <c r="A1919" s="25" t="s">
        <v>398</v>
      </c>
      <c r="B1919" t="s">
        <v>397</v>
      </c>
      <c r="D1919">
        <v>15</v>
      </c>
      <c r="E1919" t="s">
        <v>75</v>
      </c>
      <c r="G1919">
        <v>90</v>
      </c>
      <c r="H1919">
        <v>90.424999999999997</v>
      </c>
      <c r="I1919" t="s">
        <v>98</v>
      </c>
      <c r="K1919">
        <f t="shared" si="58"/>
        <v>90</v>
      </c>
      <c r="L1919">
        <f t="shared" si="59"/>
        <v>90.424999999999997</v>
      </c>
      <c r="M1919" t="s">
        <v>25</v>
      </c>
      <c r="O1919" s="7">
        <v>44461</v>
      </c>
      <c r="Q1919">
        <v>757000</v>
      </c>
      <c r="R1919" t="s">
        <v>401</v>
      </c>
    </row>
    <row r="1920" spans="1:18" x14ac:dyDescent="0.15">
      <c r="A1920" s="25" t="s">
        <v>398</v>
      </c>
      <c r="B1920" t="s">
        <v>397</v>
      </c>
      <c r="D1920">
        <v>15</v>
      </c>
      <c r="E1920" t="s">
        <v>75</v>
      </c>
      <c r="G1920">
        <v>91.114999999999995</v>
      </c>
      <c r="H1920">
        <v>91.26</v>
      </c>
      <c r="I1920" t="s">
        <v>22</v>
      </c>
      <c r="K1920">
        <f t="shared" si="58"/>
        <v>91.114999999999995</v>
      </c>
      <c r="L1920">
        <f t="shared" si="59"/>
        <v>91.26</v>
      </c>
      <c r="M1920" t="s">
        <v>25</v>
      </c>
      <c r="O1920" s="7">
        <v>44477</v>
      </c>
      <c r="Q1920">
        <v>757000</v>
      </c>
      <c r="R1920" t="s">
        <v>401</v>
      </c>
    </row>
    <row r="1921" spans="1:18" x14ac:dyDescent="0.15">
      <c r="A1921" s="25" t="s">
        <v>398</v>
      </c>
      <c r="B1921" t="s">
        <v>397</v>
      </c>
      <c r="D1921">
        <v>15</v>
      </c>
      <c r="E1921" t="s">
        <v>74</v>
      </c>
      <c r="G1921">
        <v>114.85</v>
      </c>
      <c r="H1921">
        <v>114.83</v>
      </c>
      <c r="I1921" t="s">
        <v>92</v>
      </c>
      <c r="K1921">
        <f t="shared" ref="K1921:K1984" si="60">MIN(G1921:H1921)</f>
        <v>114.83</v>
      </c>
      <c r="L1921">
        <f t="shared" ref="L1921:L1984" si="61">MAX(G1921:H1921)</f>
        <v>114.85</v>
      </c>
      <c r="M1921" t="s">
        <v>286</v>
      </c>
      <c r="O1921" s="7">
        <v>44477</v>
      </c>
      <c r="Q1921">
        <v>163165</v>
      </c>
      <c r="R1921" t="s">
        <v>401</v>
      </c>
    </row>
    <row r="1922" spans="1:18" x14ac:dyDescent="0.15">
      <c r="A1922" s="25" t="s">
        <v>398</v>
      </c>
      <c r="B1922" t="s">
        <v>397</v>
      </c>
      <c r="D1922">
        <v>15</v>
      </c>
      <c r="E1922" t="s">
        <v>74</v>
      </c>
      <c r="G1922">
        <v>114.3</v>
      </c>
      <c r="H1922">
        <v>114.25</v>
      </c>
      <c r="I1922" t="s">
        <v>92</v>
      </c>
      <c r="K1922">
        <f t="shared" si="60"/>
        <v>114.25</v>
      </c>
      <c r="L1922">
        <f t="shared" si="61"/>
        <v>114.3</v>
      </c>
      <c r="M1922" t="s">
        <v>25</v>
      </c>
      <c r="O1922" s="7">
        <v>44477</v>
      </c>
      <c r="Q1922">
        <v>757000</v>
      </c>
      <c r="R1922" t="s">
        <v>401</v>
      </c>
    </row>
    <row r="1923" spans="1:18" x14ac:dyDescent="0.15">
      <c r="A1923" s="25" t="s">
        <v>398</v>
      </c>
      <c r="B1923" t="s">
        <v>397</v>
      </c>
      <c r="D1923">
        <v>15</v>
      </c>
      <c r="E1923" t="s">
        <v>74</v>
      </c>
      <c r="G1923">
        <v>113.8</v>
      </c>
      <c r="H1923">
        <v>113.55</v>
      </c>
      <c r="I1923" t="s">
        <v>92</v>
      </c>
      <c r="K1923">
        <f t="shared" si="60"/>
        <v>113.55</v>
      </c>
      <c r="L1923">
        <f t="shared" si="61"/>
        <v>113.8</v>
      </c>
      <c r="M1923" t="s">
        <v>25</v>
      </c>
      <c r="O1923" s="7">
        <v>44477</v>
      </c>
      <c r="Q1923">
        <v>757000</v>
      </c>
      <c r="R1923" t="s">
        <v>401</v>
      </c>
    </row>
    <row r="1924" spans="1:18" x14ac:dyDescent="0.15">
      <c r="A1924" s="25" t="s">
        <v>398</v>
      </c>
      <c r="B1924" t="s">
        <v>397</v>
      </c>
      <c r="D1924">
        <v>15</v>
      </c>
      <c r="E1924" t="s">
        <v>74</v>
      </c>
      <c r="G1924">
        <v>113.55</v>
      </c>
      <c r="H1924">
        <v>113.53</v>
      </c>
      <c r="I1924" t="s">
        <v>92</v>
      </c>
      <c r="K1924">
        <f t="shared" si="60"/>
        <v>113.53</v>
      </c>
      <c r="L1924">
        <f t="shared" si="61"/>
        <v>113.55</v>
      </c>
      <c r="M1924" t="s">
        <v>25</v>
      </c>
      <c r="O1924" s="7">
        <v>44477</v>
      </c>
      <c r="Q1924">
        <v>757000</v>
      </c>
      <c r="R1924" t="s">
        <v>401</v>
      </c>
    </row>
    <row r="1925" spans="1:18" x14ac:dyDescent="0.15">
      <c r="A1925" s="25" t="s">
        <v>398</v>
      </c>
      <c r="B1925" t="s">
        <v>397</v>
      </c>
      <c r="D1925">
        <v>15</v>
      </c>
      <c r="E1925" t="s">
        <v>74</v>
      </c>
      <c r="G1925">
        <v>113.15</v>
      </c>
      <c r="H1925">
        <v>112.95</v>
      </c>
      <c r="I1925" t="s">
        <v>92</v>
      </c>
      <c r="K1925">
        <f t="shared" si="60"/>
        <v>112.95</v>
      </c>
      <c r="L1925">
        <f t="shared" si="61"/>
        <v>113.15</v>
      </c>
      <c r="M1925" t="s">
        <v>25</v>
      </c>
      <c r="O1925" s="7">
        <v>44477</v>
      </c>
      <c r="Q1925">
        <v>757000</v>
      </c>
      <c r="R1925" t="s">
        <v>401</v>
      </c>
    </row>
    <row r="1926" spans="1:18" x14ac:dyDescent="0.15">
      <c r="A1926" s="25" t="s">
        <v>398</v>
      </c>
      <c r="B1926" t="s">
        <v>397</v>
      </c>
      <c r="D1926">
        <v>15</v>
      </c>
      <c r="E1926" t="s">
        <v>74</v>
      </c>
      <c r="G1926">
        <v>112.12</v>
      </c>
      <c r="H1926">
        <v>111.68</v>
      </c>
      <c r="I1926" t="s">
        <v>91</v>
      </c>
      <c r="K1926">
        <f t="shared" si="60"/>
        <v>111.68</v>
      </c>
      <c r="L1926">
        <f t="shared" si="61"/>
        <v>112.12</v>
      </c>
      <c r="M1926" t="s">
        <v>25</v>
      </c>
      <c r="O1926" s="7">
        <v>44477</v>
      </c>
      <c r="Q1926">
        <v>757000</v>
      </c>
      <c r="R1926" t="s">
        <v>401</v>
      </c>
    </row>
    <row r="1927" spans="1:18" x14ac:dyDescent="0.15">
      <c r="A1927" s="25" t="s">
        <v>398</v>
      </c>
      <c r="B1927" t="s">
        <v>397</v>
      </c>
      <c r="D1927">
        <v>15</v>
      </c>
      <c r="E1927" t="s">
        <v>74</v>
      </c>
      <c r="G1927">
        <v>112</v>
      </c>
      <c r="H1927">
        <v>111.68</v>
      </c>
      <c r="I1927" t="s">
        <v>92</v>
      </c>
      <c r="K1927">
        <f t="shared" si="60"/>
        <v>111.68</v>
      </c>
      <c r="L1927">
        <f t="shared" si="61"/>
        <v>112</v>
      </c>
      <c r="M1927" t="s">
        <v>25</v>
      </c>
      <c r="O1927" s="7">
        <v>44477</v>
      </c>
      <c r="Q1927">
        <v>757000</v>
      </c>
      <c r="R1927" t="s">
        <v>401</v>
      </c>
    </row>
    <row r="1928" spans="1:18" x14ac:dyDescent="0.15">
      <c r="A1928" s="25" t="s">
        <v>398</v>
      </c>
      <c r="B1928" t="s">
        <v>397</v>
      </c>
      <c r="D1928">
        <v>15</v>
      </c>
      <c r="E1928" t="s">
        <v>74</v>
      </c>
      <c r="G1928">
        <v>111.68</v>
      </c>
      <c r="H1928">
        <v>111.5</v>
      </c>
      <c r="I1928" t="s">
        <v>92</v>
      </c>
      <c r="K1928">
        <f t="shared" si="60"/>
        <v>111.5</v>
      </c>
      <c r="L1928">
        <f t="shared" si="61"/>
        <v>111.68</v>
      </c>
      <c r="M1928" t="s">
        <v>286</v>
      </c>
      <c r="O1928" s="7">
        <v>44477</v>
      </c>
      <c r="Q1928">
        <v>163165</v>
      </c>
      <c r="R1928" t="s">
        <v>401</v>
      </c>
    </row>
    <row r="1929" spans="1:18" x14ac:dyDescent="0.15">
      <c r="A1929" s="25" t="s">
        <v>398</v>
      </c>
      <c r="B1929" t="s">
        <v>397</v>
      </c>
      <c r="D1929">
        <v>15</v>
      </c>
      <c r="E1929" t="s">
        <v>74</v>
      </c>
      <c r="G1929">
        <v>111</v>
      </c>
      <c r="H1929">
        <v>110.8</v>
      </c>
      <c r="I1929" t="s">
        <v>92</v>
      </c>
      <c r="K1929">
        <f t="shared" si="60"/>
        <v>110.8</v>
      </c>
      <c r="L1929">
        <f t="shared" si="61"/>
        <v>111</v>
      </c>
      <c r="M1929" t="s">
        <v>286</v>
      </c>
      <c r="O1929" s="7">
        <v>44477</v>
      </c>
      <c r="Q1929">
        <v>163165</v>
      </c>
      <c r="R1929" t="s">
        <v>401</v>
      </c>
    </row>
    <row r="1930" spans="1:18" x14ac:dyDescent="0.15">
      <c r="A1930" s="25" t="s">
        <v>398</v>
      </c>
      <c r="B1930" t="s">
        <v>397</v>
      </c>
      <c r="D1930">
        <v>15</v>
      </c>
      <c r="E1930" t="s">
        <v>74</v>
      </c>
      <c r="G1930">
        <v>109</v>
      </c>
      <c r="H1930">
        <v>108.9</v>
      </c>
      <c r="I1930" t="s">
        <v>92</v>
      </c>
      <c r="K1930">
        <f t="shared" si="60"/>
        <v>108.9</v>
      </c>
      <c r="L1930">
        <f t="shared" si="61"/>
        <v>109</v>
      </c>
      <c r="M1930" t="s">
        <v>286</v>
      </c>
      <c r="O1930" s="7">
        <v>44477</v>
      </c>
      <c r="Q1930">
        <v>163165</v>
      </c>
      <c r="R1930" t="s">
        <v>401</v>
      </c>
    </row>
    <row r="1931" spans="1:18" x14ac:dyDescent="0.15">
      <c r="A1931" s="25" t="s">
        <v>398</v>
      </c>
      <c r="B1931" t="s">
        <v>397</v>
      </c>
      <c r="D1931">
        <v>15</v>
      </c>
      <c r="E1931" t="s">
        <v>74</v>
      </c>
      <c r="G1931">
        <v>108</v>
      </c>
      <c r="H1931">
        <v>107.9</v>
      </c>
      <c r="I1931" t="s">
        <v>92</v>
      </c>
      <c r="K1931">
        <f t="shared" si="60"/>
        <v>107.9</v>
      </c>
      <c r="L1931">
        <f t="shared" si="61"/>
        <v>108</v>
      </c>
      <c r="M1931" t="s">
        <v>286</v>
      </c>
      <c r="O1931" s="7">
        <v>44477</v>
      </c>
      <c r="Q1931">
        <v>163165</v>
      </c>
      <c r="R1931" t="s">
        <v>401</v>
      </c>
    </row>
    <row r="1932" spans="1:18" x14ac:dyDescent="0.15">
      <c r="A1932" s="25" t="s">
        <v>398</v>
      </c>
      <c r="B1932" t="s">
        <v>397</v>
      </c>
      <c r="D1932">
        <v>15</v>
      </c>
      <c r="E1932" t="s">
        <v>74</v>
      </c>
      <c r="G1932">
        <v>106.93</v>
      </c>
      <c r="H1932">
        <v>106.9</v>
      </c>
      <c r="I1932" t="s">
        <v>92</v>
      </c>
      <c r="K1932">
        <f t="shared" si="60"/>
        <v>106.9</v>
      </c>
      <c r="L1932">
        <f t="shared" si="61"/>
        <v>106.93</v>
      </c>
      <c r="M1932" t="s">
        <v>25</v>
      </c>
      <c r="O1932" s="7">
        <v>44477</v>
      </c>
      <c r="Q1932">
        <v>757000</v>
      </c>
      <c r="R1932" t="s">
        <v>401</v>
      </c>
    </row>
    <row r="1933" spans="1:18" x14ac:dyDescent="0.15">
      <c r="A1933" s="25" t="s">
        <v>398</v>
      </c>
      <c r="B1933" t="s">
        <v>397</v>
      </c>
      <c r="D1933">
        <v>15</v>
      </c>
      <c r="E1933" t="s">
        <v>74</v>
      </c>
      <c r="G1933">
        <v>106.9</v>
      </c>
      <c r="H1933">
        <v>106.8</v>
      </c>
      <c r="I1933" t="s">
        <v>91</v>
      </c>
      <c r="K1933">
        <f t="shared" si="60"/>
        <v>106.8</v>
      </c>
      <c r="L1933">
        <f t="shared" si="61"/>
        <v>106.9</v>
      </c>
      <c r="M1933" t="s">
        <v>25</v>
      </c>
      <c r="O1933" s="7">
        <v>44477</v>
      </c>
      <c r="Q1933">
        <v>757000</v>
      </c>
      <c r="R1933" t="s">
        <v>401</v>
      </c>
    </row>
    <row r="1934" spans="1:18" x14ac:dyDescent="0.15">
      <c r="A1934" s="25" t="s">
        <v>398</v>
      </c>
      <c r="B1934" t="s">
        <v>397</v>
      </c>
      <c r="D1934">
        <v>15</v>
      </c>
      <c r="E1934" t="s">
        <v>74</v>
      </c>
      <c r="G1934">
        <v>105.4</v>
      </c>
      <c r="H1934">
        <v>105.3</v>
      </c>
      <c r="I1934" t="s">
        <v>92</v>
      </c>
      <c r="K1934">
        <f t="shared" si="60"/>
        <v>105.3</v>
      </c>
      <c r="L1934">
        <f t="shared" si="61"/>
        <v>105.4</v>
      </c>
      <c r="M1934" t="s">
        <v>286</v>
      </c>
      <c r="O1934" s="7">
        <v>44477</v>
      </c>
      <c r="Q1934">
        <v>163165</v>
      </c>
      <c r="R1934" t="s">
        <v>401</v>
      </c>
    </row>
    <row r="1935" spans="1:18" x14ac:dyDescent="0.15">
      <c r="A1935" s="25" t="s">
        <v>398</v>
      </c>
      <c r="B1935" t="s">
        <v>397</v>
      </c>
      <c r="D1935">
        <v>15</v>
      </c>
      <c r="E1935" t="s">
        <v>74</v>
      </c>
      <c r="G1935">
        <v>101.6</v>
      </c>
      <c r="H1935">
        <v>101.4</v>
      </c>
      <c r="I1935" t="s">
        <v>92</v>
      </c>
      <c r="K1935">
        <f t="shared" si="60"/>
        <v>101.4</v>
      </c>
      <c r="L1935">
        <f t="shared" si="61"/>
        <v>101.6</v>
      </c>
      <c r="M1935" t="s">
        <v>25</v>
      </c>
      <c r="O1935" s="7">
        <v>44477</v>
      </c>
      <c r="Q1935">
        <v>757000</v>
      </c>
      <c r="R1935" t="s">
        <v>401</v>
      </c>
    </row>
    <row r="1936" spans="1:18" x14ac:dyDescent="0.15">
      <c r="A1936" s="25" t="s">
        <v>398</v>
      </c>
      <c r="B1936" t="s">
        <v>397</v>
      </c>
      <c r="D1936">
        <v>15</v>
      </c>
      <c r="E1936" t="s">
        <v>74</v>
      </c>
      <c r="G1936">
        <v>99.5</v>
      </c>
      <c r="H1936">
        <v>99.38</v>
      </c>
      <c r="I1936" t="s">
        <v>92</v>
      </c>
      <c r="K1936">
        <f t="shared" si="60"/>
        <v>99.38</v>
      </c>
      <c r="L1936">
        <f t="shared" si="61"/>
        <v>99.5</v>
      </c>
      <c r="M1936" t="s">
        <v>25</v>
      </c>
      <c r="O1936" s="7">
        <v>44477</v>
      </c>
      <c r="Q1936">
        <v>757000</v>
      </c>
      <c r="R1936" t="s">
        <v>401</v>
      </c>
    </row>
    <row r="1937" spans="1:18" x14ac:dyDescent="0.15">
      <c r="A1937" s="25" t="s">
        <v>398</v>
      </c>
      <c r="B1937" t="s">
        <v>397</v>
      </c>
      <c r="D1937">
        <v>15</v>
      </c>
      <c r="E1937" t="s">
        <v>74</v>
      </c>
      <c r="G1937">
        <v>99.05</v>
      </c>
      <c r="H1937">
        <v>98.95</v>
      </c>
      <c r="I1937" t="s">
        <v>92</v>
      </c>
      <c r="K1937">
        <f t="shared" si="60"/>
        <v>98.95</v>
      </c>
      <c r="L1937">
        <f t="shared" si="61"/>
        <v>99.05</v>
      </c>
      <c r="M1937" t="s">
        <v>25</v>
      </c>
      <c r="O1937" s="7">
        <v>44477</v>
      </c>
      <c r="Q1937">
        <v>757000</v>
      </c>
      <c r="R1937" t="s">
        <v>401</v>
      </c>
    </row>
    <row r="1938" spans="1:18" x14ac:dyDescent="0.15">
      <c r="A1938" s="25" t="s">
        <v>398</v>
      </c>
      <c r="B1938" t="s">
        <v>397</v>
      </c>
      <c r="D1938">
        <v>15</v>
      </c>
      <c r="E1938" t="s">
        <v>74</v>
      </c>
      <c r="G1938">
        <v>98.625</v>
      </c>
      <c r="H1938">
        <v>98.3</v>
      </c>
      <c r="I1938" t="s">
        <v>92</v>
      </c>
      <c r="K1938">
        <f t="shared" si="60"/>
        <v>98.3</v>
      </c>
      <c r="L1938">
        <f t="shared" si="61"/>
        <v>98.625</v>
      </c>
      <c r="M1938" t="s">
        <v>25</v>
      </c>
      <c r="O1938" s="7">
        <v>44477</v>
      </c>
      <c r="Q1938">
        <v>757000</v>
      </c>
      <c r="R1938" t="s">
        <v>401</v>
      </c>
    </row>
    <row r="1939" spans="1:18" x14ac:dyDescent="0.15">
      <c r="A1939" s="25" t="s">
        <v>398</v>
      </c>
      <c r="B1939" t="s">
        <v>397</v>
      </c>
      <c r="D1939">
        <v>15</v>
      </c>
      <c r="E1939" t="s">
        <v>74</v>
      </c>
      <c r="G1939">
        <v>98.3</v>
      </c>
      <c r="H1939">
        <v>98.2</v>
      </c>
      <c r="I1939" t="s">
        <v>92</v>
      </c>
      <c r="K1939">
        <f t="shared" si="60"/>
        <v>98.2</v>
      </c>
      <c r="L1939">
        <f t="shared" si="61"/>
        <v>98.3</v>
      </c>
      <c r="M1939" t="s">
        <v>25</v>
      </c>
      <c r="O1939" s="7">
        <v>44477</v>
      </c>
      <c r="Q1939">
        <v>757000</v>
      </c>
      <c r="R1939" t="s">
        <v>401</v>
      </c>
    </row>
    <row r="1940" spans="1:18" x14ac:dyDescent="0.15">
      <c r="A1940" s="25" t="s">
        <v>398</v>
      </c>
      <c r="B1940" t="s">
        <v>397</v>
      </c>
      <c r="D1940">
        <v>15</v>
      </c>
      <c r="E1940" t="s">
        <v>74</v>
      </c>
      <c r="G1940">
        <v>98.2</v>
      </c>
      <c r="H1940">
        <v>98</v>
      </c>
      <c r="I1940" t="s">
        <v>92</v>
      </c>
      <c r="K1940">
        <f t="shared" si="60"/>
        <v>98</v>
      </c>
      <c r="L1940">
        <f t="shared" si="61"/>
        <v>98.2</v>
      </c>
      <c r="M1940" t="s">
        <v>25</v>
      </c>
      <c r="O1940" s="7">
        <v>44477</v>
      </c>
      <c r="Q1940">
        <v>757000</v>
      </c>
      <c r="R1940" t="s">
        <v>401</v>
      </c>
    </row>
    <row r="1941" spans="1:18" x14ac:dyDescent="0.15">
      <c r="A1941" s="25" t="s">
        <v>398</v>
      </c>
      <c r="B1941" t="s">
        <v>397</v>
      </c>
      <c r="D1941">
        <v>15</v>
      </c>
      <c r="E1941" t="s">
        <v>74</v>
      </c>
      <c r="G1941">
        <v>98</v>
      </c>
      <c r="H1941">
        <v>97.95</v>
      </c>
      <c r="I1941" t="s">
        <v>92</v>
      </c>
      <c r="K1941">
        <f t="shared" si="60"/>
        <v>97.95</v>
      </c>
      <c r="L1941">
        <f t="shared" si="61"/>
        <v>98</v>
      </c>
      <c r="M1941" t="s">
        <v>25</v>
      </c>
      <c r="O1941" s="7">
        <v>44477</v>
      </c>
      <c r="Q1941">
        <v>757000</v>
      </c>
      <c r="R1941" t="s">
        <v>401</v>
      </c>
    </row>
    <row r="1942" spans="1:18" x14ac:dyDescent="0.15">
      <c r="A1942" s="25" t="s">
        <v>398</v>
      </c>
      <c r="B1942" t="s">
        <v>397</v>
      </c>
      <c r="D1942">
        <v>15</v>
      </c>
      <c r="E1942" t="s">
        <v>74</v>
      </c>
      <c r="G1942">
        <v>97.3</v>
      </c>
      <c r="H1942">
        <v>97.95</v>
      </c>
      <c r="I1942" t="s">
        <v>92</v>
      </c>
      <c r="K1942">
        <f t="shared" si="60"/>
        <v>97.3</v>
      </c>
      <c r="L1942">
        <f t="shared" si="61"/>
        <v>97.95</v>
      </c>
      <c r="M1942" t="s">
        <v>25</v>
      </c>
      <c r="O1942" s="7">
        <v>44477</v>
      </c>
      <c r="Q1942">
        <v>757000</v>
      </c>
      <c r="R1942" t="s">
        <v>401</v>
      </c>
    </row>
    <row r="1943" spans="1:18" x14ac:dyDescent="0.15">
      <c r="A1943" s="25" t="s">
        <v>398</v>
      </c>
      <c r="B1943" t="s">
        <v>397</v>
      </c>
      <c r="D1943">
        <v>15</v>
      </c>
      <c r="E1943" t="s">
        <v>74</v>
      </c>
      <c r="G1943">
        <v>96.82</v>
      </c>
      <c r="H1943">
        <v>96.7</v>
      </c>
      <c r="I1943" t="s">
        <v>91</v>
      </c>
      <c r="K1943">
        <f t="shared" si="60"/>
        <v>96.7</v>
      </c>
      <c r="L1943">
        <f t="shared" si="61"/>
        <v>96.82</v>
      </c>
      <c r="M1943" t="s">
        <v>25</v>
      </c>
      <c r="O1943" s="7">
        <v>44477</v>
      </c>
      <c r="Q1943">
        <v>757000</v>
      </c>
      <c r="R1943" t="s">
        <v>401</v>
      </c>
    </row>
    <row r="1944" spans="1:18" x14ac:dyDescent="0.15">
      <c r="A1944" s="25" t="s">
        <v>398</v>
      </c>
      <c r="B1944" t="s">
        <v>397</v>
      </c>
      <c r="D1944">
        <v>15</v>
      </c>
      <c r="E1944" t="s">
        <v>74</v>
      </c>
      <c r="G1944">
        <v>96.82</v>
      </c>
      <c r="H1944">
        <v>96.7</v>
      </c>
      <c r="I1944" t="s">
        <v>91</v>
      </c>
      <c r="K1944">
        <f t="shared" si="60"/>
        <v>96.7</v>
      </c>
      <c r="L1944">
        <f t="shared" si="61"/>
        <v>96.82</v>
      </c>
      <c r="M1944" t="s">
        <v>25</v>
      </c>
      <c r="O1944" s="7">
        <v>44477</v>
      </c>
      <c r="Q1944">
        <v>757000</v>
      </c>
      <c r="R1944" t="s">
        <v>401</v>
      </c>
    </row>
    <row r="1945" spans="1:18" x14ac:dyDescent="0.15">
      <c r="A1945" s="25" t="s">
        <v>398</v>
      </c>
      <c r="B1945" t="s">
        <v>397</v>
      </c>
      <c r="D1945">
        <v>15</v>
      </c>
      <c r="E1945" t="s">
        <v>75</v>
      </c>
      <c r="G1945">
        <v>103.1</v>
      </c>
      <c r="H1945">
        <v>103.6</v>
      </c>
      <c r="I1945" t="s">
        <v>94</v>
      </c>
      <c r="K1945">
        <f t="shared" si="60"/>
        <v>103.1</v>
      </c>
      <c r="L1945">
        <f t="shared" si="61"/>
        <v>103.6</v>
      </c>
      <c r="M1945" t="s">
        <v>25</v>
      </c>
      <c r="O1945" s="7">
        <v>44479</v>
      </c>
      <c r="Q1945">
        <v>757000</v>
      </c>
      <c r="R1945" t="s">
        <v>401</v>
      </c>
    </row>
    <row r="1946" spans="1:18" x14ac:dyDescent="0.15">
      <c r="A1946" s="25" t="s">
        <v>398</v>
      </c>
      <c r="B1946" t="s">
        <v>397</v>
      </c>
      <c r="D1946">
        <v>15</v>
      </c>
      <c r="E1946" t="s">
        <v>75</v>
      </c>
      <c r="G1946">
        <v>107.6</v>
      </c>
      <c r="H1946">
        <v>107.7</v>
      </c>
      <c r="I1946" t="s">
        <v>94</v>
      </c>
      <c r="K1946">
        <f t="shared" si="60"/>
        <v>107.6</v>
      </c>
      <c r="L1946">
        <f t="shared" si="61"/>
        <v>107.7</v>
      </c>
      <c r="M1946" t="s">
        <v>286</v>
      </c>
      <c r="O1946" s="7">
        <v>44479</v>
      </c>
      <c r="Q1946">
        <v>163165</v>
      </c>
      <c r="R1946" t="s">
        <v>401</v>
      </c>
    </row>
    <row r="1947" spans="1:18" x14ac:dyDescent="0.15">
      <c r="A1947" s="25" t="s">
        <v>398</v>
      </c>
      <c r="B1947" t="s">
        <v>397</v>
      </c>
      <c r="D1947">
        <v>15</v>
      </c>
      <c r="E1947" t="s">
        <v>75</v>
      </c>
      <c r="G1947">
        <v>107.7</v>
      </c>
      <c r="H1947">
        <v>108.5</v>
      </c>
      <c r="I1947" t="s">
        <v>94</v>
      </c>
      <c r="K1947">
        <f t="shared" si="60"/>
        <v>107.7</v>
      </c>
      <c r="L1947">
        <f t="shared" si="61"/>
        <v>108.5</v>
      </c>
      <c r="M1947" t="s">
        <v>286</v>
      </c>
      <c r="O1947" s="7">
        <v>44479</v>
      </c>
      <c r="Q1947">
        <v>163165</v>
      </c>
      <c r="R1947" t="s">
        <v>401</v>
      </c>
    </row>
    <row r="1948" spans="1:18" x14ac:dyDescent="0.15">
      <c r="A1948" s="25" t="s">
        <v>398</v>
      </c>
      <c r="B1948" t="s">
        <v>397</v>
      </c>
      <c r="D1948">
        <v>15</v>
      </c>
      <c r="E1948" t="s">
        <v>75</v>
      </c>
      <c r="G1948">
        <v>108.91</v>
      </c>
      <c r="H1948">
        <v>108.98</v>
      </c>
      <c r="I1948" t="s">
        <v>94</v>
      </c>
      <c r="K1948">
        <f t="shared" si="60"/>
        <v>108.91</v>
      </c>
      <c r="L1948">
        <f t="shared" si="61"/>
        <v>108.98</v>
      </c>
      <c r="M1948" t="s">
        <v>25</v>
      </c>
      <c r="O1948" s="7">
        <v>44479</v>
      </c>
      <c r="Q1948">
        <v>757000</v>
      </c>
      <c r="R1948" t="s">
        <v>401</v>
      </c>
    </row>
    <row r="1949" spans="1:18" x14ac:dyDescent="0.15">
      <c r="A1949" s="25" t="s">
        <v>398</v>
      </c>
      <c r="B1949" t="s">
        <v>397</v>
      </c>
      <c r="D1949">
        <v>15</v>
      </c>
      <c r="E1949" t="s">
        <v>76</v>
      </c>
      <c r="F1949" t="s">
        <v>166</v>
      </c>
      <c r="G1949">
        <v>113.3</v>
      </c>
      <c r="H1949">
        <v>113.8</v>
      </c>
      <c r="I1949" t="s">
        <v>187</v>
      </c>
      <c r="K1949">
        <f t="shared" si="60"/>
        <v>113.3</v>
      </c>
      <c r="L1949">
        <f t="shared" si="61"/>
        <v>113.8</v>
      </c>
      <c r="M1949" t="s">
        <v>25</v>
      </c>
      <c r="O1949" s="7">
        <v>44479</v>
      </c>
      <c r="Q1949">
        <v>757000</v>
      </c>
      <c r="R1949" t="s">
        <v>401</v>
      </c>
    </row>
    <row r="1950" spans="1:18" x14ac:dyDescent="0.15">
      <c r="A1950" s="25" t="s">
        <v>398</v>
      </c>
      <c r="B1950" t="s">
        <v>397</v>
      </c>
      <c r="D1950">
        <v>15</v>
      </c>
      <c r="E1950" t="s">
        <v>76</v>
      </c>
      <c r="F1950" t="s">
        <v>166</v>
      </c>
      <c r="G1950">
        <v>113.8</v>
      </c>
      <c r="H1950">
        <v>113.95</v>
      </c>
      <c r="I1950" t="s">
        <v>187</v>
      </c>
      <c r="K1950">
        <f t="shared" si="60"/>
        <v>113.8</v>
      </c>
      <c r="L1950">
        <f t="shared" si="61"/>
        <v>113.95</v>
      </c>
      <c r="M1950" t="s">
        <v>25</v>
      </c>
      <c r="O1950" s="7">
        <v>44479</v>
      </c>
      <c r="Q1950">
        <v>757000</v>
      </c>
      <c r="R1950" t="s">
        <v>401</v>
      </c>
    </row>
    <row r="1951" spans="1:18" x14ac:dyDescent="0.15">
      <c r="A1951" s="25" t="s">
        <v>398</v>
      </c>
      <c r="B1951" t="s">
        <v>397</v>
      </c>
      <c r="D1951">
        <v>15</v>
      </c>
      <c r="E1951" t="s">
        <v>76</v>
      </c>
      <c r="F1951" t="s">
        <v>166</v>
      </c>
      <c r="G1951">
        <v>113.95</v>
      </c>
      <c r="H1951">
        <v>114</v>
      </c>
      <c r="I1951" t="s">
        <v>187</v>
      </c>
      <c r="K1951">
        <f t="shared" si="60"/>
        <v>113.95</v>
      </c>
      <c r="L1951">
        <f t="shared" si="61"/>
        <v>114</v>
      </c>
      <c r="M1951" t="s">
        <v>25</v>
      </c>
      <c r="O1951" s="7">
        <v>44479</v>
      </c>
      <c r="Q1951">
        <v>757000</v>
      </c>
      <c r="R1951" t="s">
        <v>401</v>
      </c>
    </row>
    <row r="1952" spans="1:18" x14ac:dyDescent="0.15">
      <c r="A1952" s="25" t="s">
        <v>398</v>
      </c>
      <c r="B1952" t="s">
        <v>397</v>
      </c>
      <c r="D1952">
        <v>15</v>
      </c>
      <c r="E1952" t="s">
        <v>76</v>
      </c>
      <c r="F1952" t="s">
        <v>166</v>
      </c>
      <c r="G1952">
        <v>113.8</v>
      </c>
      <c r="H1952">
        <v>113.95</v>
      </c>
      <c r="I1952" t="s">
        <v>400</v>
      </c>
      <c r="K1952">
        <f t="shared" si="60"/>
        <v>113.8</v>
      </c>
      <c r="L1952">
        <f t="shared" si="61"/>
        <v>113.95</v>
      </c>
      <c r="M1952" t="s">
        <v>25</v>
      </c>
      <c r="O1952" s="7">
        <v>44479</v>
      </c>
      <c r="Q1952">
        <v>757000</v>
      </c>
      <c r="R1952" t="s">
        <v>401</v>
      </c>
    </row>
    <row r="1953" spans="1:18" x14ac:dyDescent="0.15">
      <c r="A1953" s="25" t="s">
        <v>398</v>
      </c>
      <c r="B1953" t="s">
        <v>397</v>
      </c>
      <c r="D1953">
        <v>15</v>
      </c>
      <c r="E1953" t="s">
        <v>76</v>
      </c>
      <c r="F1953" t="s">
        <v>166</v>
      </c>
      <c r="G1953">
        <v>113.95</v>
      </c>
      <c r="H1953">
        <v>114</v>
      </c>
      <c r="I1953" t="s">
        <v>400</v>
      </c>
      <c r="K1953">
        <f t="shared" si="60"/>
        <v>113.95</v>
      </c>
      <c r="L1953">
        <f t="shared" si="61"/>
        <v>114</v>
      </c>
      <c r="M1953" t="s">
        <v>25</v>
      </c>
      <c r="O1953" s="7">
        <v>44479</v>
      </c>
      <c r="Q1953">
        <v>757000</v>
      </c>
      <c r="R1953" t="s">
        <v>401</v>
      </c>
    </row>
    <row r="1954" spans="1:18" x14ac:dyDescent="0.15">
      <c r="A1954" s="25" t="s">
        <v>398</v>
      </c>
      <c r="B1954" t="s">
        <v>397</v>
      </c>
      <c r="D1954">
        <v>15</v>
      </c>
      <c r="E1954" t="s">
        <v>75</v>
      </c>
      <c r="G1954">
        <v>114.3</v>
      </c>
      <c r="H1954" t="s">
        <v>399</v>
      </c>
      <c r="I1954" t="s">
        <v>94</v>
      </c>
      <c r="K1954">
        <f t="shared" si="60"/>
        <v>114.3</v>
      </c>
      <c r="L1954">
        <f t="shared" si="61"/>
        <v>114.3</v>
      </c>
      <c r="M1954" t="s">
        <v>25</v>
      </c>
      <c r="O1954" s="7">
        <v>44479</v>
      </c>
      <c r="Q1954">
        <v>757000</v>
      </c>
      <c r="R1954" t="s">
        <v>401</v>
      </c>
    </row>
    <row r="1955" spans="1:18" x14ac:dyDescent="0.15">
      <c r="A1955" s="25" t="s">
        <v>398</v>
      </c>
      <c r="B1955" t="s">
        <v>397</v>
      </c>
      <c r="D1955">
        <v>15</v>
      </c>
      <c r="E1955" t="s">
        <v>76</v>
      </c>
      <c r="F1955" t="s">
        <v>85</v>
      </c>
      <c r="G1955">
        <v>115.39</v>
      </c>
      <c r="H1955">
        <v>115.5</v>
      </c>
      <c r="I1955" t="s">
        <v>96</v>
      </c>
      <c r="K1955">
        <f t="shared" si="60"/>
        <v>115.39</v>
      </c>
      <c r="L1955">
        <f t="shared" si="61"/>
        <v>115.5</v>
      </c>
      <c r="M1955" t="s">
        <v>25</v>
      </c>
      <c r="O1955" s="7">
        <v>44479</v>
      </c>
      <c r="Q1955">
        <v>757000</v>
      </c>
      <c r="R1955" t="s">
        <v>401</v>
      </c>
    </row>
    <row r="1956" spans="1:18" x14ac:dyDescent="0.15">
      <c r="A1956" s="25" t="s">
        <v>398</v>
      </c>
      <c r="B1956" t="s">
        <v>397</v>
      </c>
      <c r="D1956">
        <v>15</v>
      </c>
      <c r="E1956" t="s">
        <v>75</v>
      </c>
      <c r="G1956">
        <v>72.53</v>
      </c>
      <c r="H1956">
        <v>72.900000000000006</v>
      </c>
      <c r="I1956" t="s">
        <v>181</v>
      </c>
      <c r="K1956">
        <f t="shared" si="60"/>
        <v>72.53</v>
      </c>
      <c r="L1956">
        <f t="shared" si="61"/>
        <v>72.900000000000006</v>
      </c>
      <c r="M1956" t="s">
        <v>25</v>
      </c>
      <c r="O1956" s="7">
        <v>44492</v>
      </c>
      <c r="Q1956">
        <v>757000</v>
      </c>
      <c r="R1956" t="s">
        <v>401</v>
      </c>
    </row>
    <row r="1957" spans="1:18" x14ac:dyDescent="0.15">
      <c r="A1957" s="25" t="s">
        <v>398</v>
      </c>
      <c r="B1957" t="s">
        <v>397</v>
      </c>
      <c r="D1957">
        <v>15</v>
      </c>
      <c r="E1957" t="s">
        <v>74</v>
      </c>
      <c r="G1957">
        <v>74.8</v>
      </c>
      <c r="H1957">
        <v>74.7</v>
      </c>
      <c r="I1957" t="s">
        <v>182</v>
      </c>
      <c r="K1957">
        <f t="shared" si="60"/>
        <v>74.7</v>
      </c>
      <c r="L1957">
        <f t="shared" si="61"/>
        <v>74.8</v>
      </c>
      <c r="M1957" t="s">
        <v>25</v>
      </c>
      <c r="O1957" s="7">
        <v>44492</v>
      </c>
      <c r="Q1957">
        <v>757000</v>
      </c>
      <c r="R1957" t="s">
        <v>401</v>
      </c>
    </row>
    <row r="1958" spans="1:18" x14ac:dyDescent="0.15">
      <c r="A1958" s="25" t="s">
        <v>398</v>
      </c>
      <c r="B1958" t="s">
        <v>397</v>
      </c>
      <c r="D1958">
        <v>15</v>
      </c>
      <c r="E1958" t="s">
        <v>74</v>
      </c>
      <c r="G1958">
        <v>64.05</v>
      </c>
      <c r="H1958">
        <v>63.8</v>
      </c>
      <c r="I1958" t="s">
        <v>92</v>
      </c>
      <c r="K1958">
        <f t="shared" si="60"/>
        <v>63.8</v>
      </c>
      <c r="L1958">
        <f t="shared" si="61"/>
        <v>64.05</v>
      </c>
      <c r="M1958" t="s">
        <v>25</v>
      </c>
      <c r="O1958" s="7">
        <v>44518</v>
      </c>
      <c r="Q1958">
        <v>757000</v>
      </c>
      <c r="R1958" t="s">
        <v>401</v>
      </c>
    </row>
    <row r="1959" spans="1:18" x14ac:dyDescent="0.15">
      <c r="A1959" s="25" t="s">
        <v>398</v>
      </c>
      <c r="B1959" t="s">
        <v>397</v>
      </c>
      <c r="D1959">
        <v>15</v>
      </c>
      <c r="E1959" t="s">
        <v>75</v>
      </c>
      <c r="G1959">
        <v>65.5</v>
      </c>
      <c r="H1959">
        <v>65.7</v>
      </c>
      <c r="I1959" t="s">
        <v>181</v>
      </c>
      <c r="K1959">
        <f t="shared" si="60"/>
        <v>65.5</v>
      </c>
      <c r="L1959">
        <f t="shared" si="61"/>
        <v>65.7</v>
      </c>
      <c r="M1959" t="s">
        <v>25</v>
      </c>
      <c r="O1959" s="7">
        <v>44526</v>
      </c>
      <c r="Q1959">
        <v>757000</v>
      </c>
      <c r="R1959" t="s">
        <v>401</v>
      </c>
    </row>
    <row r="1960" spans="1:18" x14ac:dyDescent="0.15">
      <c r="A1960" s="25" t="s">
        <v>398</v>
      </c>
      <c r="B1960" t="s">
        <v>397</v>
      </c>
      <c r="D1960">
        <v>15</v>
      </c>
      <c r="E1960" t="s">
        <v>75</v>
      </c>
      <c r="G1960">
        <v>65.7</v>
      </c>
      <c r="H1960">
        <v>66</v>
      </c>
      <c r="I1960" t="s">
        <v>181</v>
      </c>
      <c r="K1960">
        <f t="shared" si="60"/>
        <v>65.7</v>
      </c>
      <c r="L1960">
        <f t="shared" si="61"/>
        <v>66</v>
      </c>
      <c r="M1960" t="s">
        <v>25</v>
      </c>
      <c r="O1960" s="7">
        <v>44526</v>
      </c>
      <c r="Q1960">
        <v>757000</v>
      </c>
      <c r="R1960" t="s">
        <v>401</v>
      </c>
    </row>
    <row r="1961" spans="1:18" x14ac:dyDescent="0.15">
      <c r="A1961" s="25" t="s">
        <v>398</v>
      </c>
      <c r="B1961" t="s">
        <v>397</v>
      </c>
      <c r="D1961">
        <v>15</v>
      </c>
      <c r="E1961" t="s">
        <v>75</v>
      </c>
      <c r="G1961">
        <v>66</v>
      </c>
      <c r="H1961">
        <v>66.27</v>
      </c>
      <c r="I1961" t="s">
        <v>181</v>
      </c>
      <c r="K1961">
        <f t="shared" si="60"/>
        <v>66</v>
      </c>
      <c r="L1961">
        <f t="shared" si="61"/>
        <v>66.27</v>
      </c>
      <c r="M1961" t="s">
        <v>25</v>
      </c>
      <c r="O1961" s="7">
        <v>44526</v>
      </c>
      <c r="Q1961">
        <v>757000</v>
      </c>
      <c r="R1961" t="s">
        <v>401</v>
      </c>
    </row>
    <row r="1962" spans="1:18" x14ac:dyDescent="0.15">
      <c r="A1962" s="25" t="s">
        <v>398</v>
      </c>
      <c r="B1962" t="s">
        <v>397</v>
      </c>
      <c r="D1962">
        <v>15</v>
      </c>
      <c r="E1962" t="s">
        <v>74</v>
      </c>
      <c r="G1962">
        <v>64.05</v>
      </c>
      <c r="H1962">
        <v>63.75</v>
      </c>
      <c r="I1962" t="s">
        <v>92</v>
      </c>
      <c r="K1962">
        <f t="shared" si="60"/>
        <v>63.75</v>
      </c>
      <c r="L1962">
        <f t="shared" si="61"/>
        <v>64.05</v>
      </c>
      <c r="M1962" t="s">
        <v>100</v>
      </c>
      <c r="O1962" s="7">
        <v>44533</v>
      </c>
      <c r="Q1962">
        <v>457135</v>
      </c>
      <c r="R1962" t="s">
        <v>401</v>
      </c>
    </row>
    <row r="1963" spans="1:18" x14ac:dyDescent="0.15">
      <c r="A1963" s="25" t="s">
        <v>398</v>
      </c>
      <c r="B1963" t="s">
        <v>397</v>
      </c>
      <c r="D1963">
        <v>15</v>
      </c>
      <c r="E1963" t="s">
        <v>74</v>
      </c>
      <c r="G1963">
        <v>64.045000000000002</v>
      </c>
      <c r="H1963">
        <v>63.744999999999997</v>
      </c>
      <c r="I1963" t="s">
        <v>92</v>
      </c>
      <c r="K1963">
        <f t="shared" si="60"/>
        <v>63.744999999999997</v>
      </c>
      <c r="L1963">
        <f t="shared" si="61"/>
        <v>64.045000000000002</v>
      </c>
      <c r="M1963" t="s">
        <v>25</v>
      </c>
      <c r="O1963" s="7">
        <v>44533</v>
      </c>
      <c r="Q1963">
        <v>757000</v>
      </c>
      <c r="R1963" t="s">
        <v>401</v>
      </c>
    </row>
    <row r="1964" spans="1:18" x14ac:dyDescent="0.15">
      <c r="A1964" s="25" t="s">
        <v>398</v>
      </c>
      <c r="B1964" t="s">
        <v>397</v>
      </c>
      <c r="D1964">
        <v>15</v>
      </c>
      <c r="E1964" t="s">
        <v>75</v>
      </c>
      <c r="G1964">
        <v>64.16</v>
      </c>
      <c r="H1964">
        <v>64.16</v>
      </c>
      <c r="I1964" t="s">
        <v>217</v>
      </c>
      <c r="J1964" t="s">
        <v>23</v>
      </c>
      <c r="K1964">
        <f t="shared" si="60"/>
        <v>64.16</v>
      </c>
      <c r="L1964">
        <f t="shared" si="61"/>
        <v>64.16</v>
      </c>
      <c r="M1964" t="s">
        <v>100</v>
      </c>
      <c r="O1964" s="7">
        <v>44328</v>
      </c>
      <c r="Q1964">
        <v>457135</v>
      </c>
      <c r="R1964" t="s">
        <v>401</v>
      </c>
    </row>
    <row r="1965" spans="1:18" x14ac:dyDescent="0.15">
      <c r="A1965" s="25" t="s">
        <v>398</v>
      </c>
      <c r="B1965" t="s">
        <v>397</v>
      </c>
      <c r="D1965">
        <v>15</v>
      </c>
      <c r="E1965" t="s">
        <v>75</v>
      </c>
      <c r="G1965">
        <v>64.16</v>
      </c>
      <c r="H1965">
        <v>64.16</v>
      </c>
      <c r="I1965" t="s">
        <v>217</v>
      </c>
      <c r="J1965" t="s">
        <v>23</v>
      </c>
      <c r="K1965">
        <f t="shared" si="60"/>
        <v>64.16</v>
      </c>
      <c r="L1965">
        <f t="shared" si="61"/>
        <v>64.16</v>
      </c>
      <c r="M1965" t="s">
        <v>25</v>
      </c>
      <c r="O1965" s="7">
        <v>44341</v>
      </c>
      <c r="Q1965">
        <v>757000</v>
      </c>
      <c r="R1965" t="s">
        <v>401</v>
      </c>
    </row>
    <row r="1966" spans="1:18" x14ac:dyDescent="0.15">
      <c r="A1966" s="25" t="s">
        <v>398</v>
      </c>
      <c r="B1966" t="s">
        <v>397</v>
      </c>
      <c r="D1966">
        <v>15</v>
      </c>
      <c r="E1966" t="s">
        <v>74</v>
      </c>
      <c r="G1966">
        <v>64.55</v>
      </c>
      <c r="H1966">
        <v>64.55</v>
      </c>
      <c r="I1966" t="s">
        <v>217</v>
      </c>
      <c r="J1966" t="s">
        <v>23</v>
      </c>
      <c r="K1966">
        <f t="shared" si="60"/>
        <v>64.55</v>
      </c>
      <c r="L1966">
        <f t="shared" si="61"/>
        <v>64.55</v>
      </c>
      <c r="M1966" t="s">
        <v>280</v>
      </c>
      <c r="O1966" s="7">
        <v>44315</v>
      </c>
      <c r="Q1966">
        <v>163164</v>
      </c>
      <c r="R1966" t="s">
        <v>401</v>
      </c>
    </row>
    <row r="1967" spans="1:18" x14ac:dyDescent="0.15">
      <c r="A1967" s="25" t="s">
        <v>398</v>
      </c>
      <c r="B1967" t="s">
        <v>397</v>
      </c>
      <c r="D1967">
        <v>15</v>
      </c>
      <c r="E1967" t="s">
        <v>74</v>
      </c>
      <c r="G1967">
        <v>64.55</v>
      </c>
      <c r="H1967">
        <v>64.55</v>
      </c>
      <c r="I1967" t="s">
        <v>217</v>
      </c>
      <c r="J1967" t="s">
        <v>23</v>
      </c>
      <c r="K1967">
        <f t="shared" si="60"/>
        <v>64.55</v>
      </c>
      <c r="L1967">
        <f t="shared" si="61"/>
        <v>64.55</v>
      </c>
      <c r="M1967" t="s">
        <v>25</v>
      </c>
      <c r="O1967" s="7">
        <v>44315</v>
      </c>
      <c r="Q1967">
        <v>757000</v>
      </c>
      <c r="R1967" t="s">
        <v>401</v>
      </c>
    </row>
    <row r="1968" spans="1:18" x14ac:dyDescent="0.15">
      <c r="A1968" s="25" t="s">
        <v>398</v>
      </c>
      <c r="B1968" t="s">
        <v>397</v>
      </c>
      <c r="D1968">
        <v>15</v>
      </c>
      <c r="E1968" t="s">
        <v>75</v>
      </c>
      <c r="G1968">
        <v>64.8</v>
      </c>
      <c r="H1968">
        <v>64.849999999999994</v>
      </c>
      <c r="I1968" t="s">
        <v>217</v>
      </c>
      <c r="J1968" t="s">
        <v>23</v>
      </c>
      <c r="K1968">
        <f t="shared" si="60"/>
        <v>64.8</v>
      </c>
      <c r="L1968">
        <f t="shared" si="61"/>
        <v>64.849999999999994</v>
      </c>
      <c r="M1968" t="s">
        <v>280</v>
      </c>
      <c r="O1968" s="7">
        <v>44526</v>
      </c>
      <c r="Q1968">
        <v>163164</v>
      </c>
      <c r="R1968" t="s">
        <v>401</v>
      </c>
    </row>
    <row r="1969" spans="1:18" x14ac:dyDescent="0.15">
      <c r="A1969" s="25" t="s">
        <v>398</v>
      </c>
      <c r="B1969" t="s">
        <v>397</v>
      </c>
      <c r="D1969">
        <v>15</v>
      </c>
      <c r="E1969" t="s">
        <v>75</v>
      </c>
      <c r="G1969">
        <v>64.8</v>
      </c>
      <c r="H1969">
        <v>64.849999999999994</v>
      </c>
      <c r="I1969" t="s">
        <v>217</v>
      </c>
      <c r="J1969" t="s">
        <v>23</v>
      </c>
      <c r="K1969">
        <f t="shared" si="60"/>
        <v>64.8</v>
      </c>
      <c r="L1969">
        <f t="shared" si="61"/>
        <v>64.849999999999994</v>
      </c>
      <c r="M1969" t="s">
        <v>25</v>
      </c>
      <c r="O1969" s="7">
        <v>44526</v>
      </c>
      <c r="Q1969">
        <v>757000</v>
      </c>
      <c r="R1969" t="s">
        <v>401</v>
      </c>
    </row>
    <row r="1970" spans="1:18" x14ac:dyDescent="0.15">
      <c r="A1970" s="25" t="s">
        <v>398</v>
      </c>
      <c r="B1970" t="s">
        <v>397</v>
      </c>
      <c r="D1970">
        <v>15</v>
      </c>
      <c r="E1970" t="s">
        <v>74</v>
      </c>
      <c r="G1970">
        <v>65.2</v>
      </c>
      <c r="H1970">
        <v>65.2</v>
      </c>
      <c r="I1970" t="s">
        <v>217</v>
      </c>
      <c r="J1970" t="s">
        <v>23</v>
      </c>
      <c r="K1970">
        <f t="shared" si="60"/>
        <v>65.2</v>
      </c>
      <c r="L1970">
        <f t="shared" si="61"/>
        <v>65.2</v>
      </c>
      <c r="M1970" t="s">
        <v>25</v>
      </c>
      <c r="O1970" s="7">
        <v>44216</v>
      </c>
      <c r="Q1970">
        <v>757000</v>
      </c>
      <c r="R1970" t="s">
        <v>401</v>
      </c>
    </row>
    <row r="1971" spans="1:18" x14ac:dyDescent="0.15">
      <c r="A1971" s="25" t="s">
        <v>398</v>
      </c>
      <c r="B1971" t="s">
        <v>397</v>
      </c>
      <c r="D1971">
        <v>15</v>
      </c>
      <c r="E1971" t="s">
        <v>74</v>
      </c>
      <c r="G1971">
        <v>65.2</v>
      </c>
      <c r="H1971">
        <v>65.2</v>
      </c>
      <c r="I1971" t="s">
        <v>217</v>
      </c>
      <c r="J1971" t="s">
        <v>23</v>
      </c>
      <c r="K1971">
        <f t="shared" si="60"/>
        <v>65.2</v>
      </c>
      <c r="L1971">
        <f t="shared" si="61"/>
        <v>65.2</v>
      </c>
      <c r="M1971" t="s">
        <v>280</v>
      </c>
      <c r="O1971" s="7">
        <v>44216</v>
      </c>
      <c r="Q1971">
        <v>163164</v>
      </c>
      <c r="R1971" t="s">
        <v>401</v>
      </c>
    </row>
    <row r="1972" spans="1:18" x14ac:dyDescent="0.15">
      <c r="A1972" s="25" t="s">
        <v>398</v>
      </c>
      <c r="B1972" t="s">
        <v>397</v>
      </c>
      <c r="D1972">
        <v>16</v>
      </c>
      <c r="E1972" t="s">
        <v>76</v>
      </c>
      <c r="F1972" t="s">
        <v>86</v>
      </c>
      <c r="G1972">
        <v>23.64</v>
      </c>
      <c r="H1972">
        <v>23.64</v>
      </c>
      <c r="I1972" t="s">
        <v>217</v>
      </c>
      <c r="J1972" t="s">
        <v>23</v>
      </c>
      <c r="K1972">
        <f t="shared" si="60"/>
        <v>23.64</v>
      </c>
      <c r="L1972">
        <f t="shared" si="61"/>
        <v>23.64</v>
      </c>
      <c r="M1972" t="s">
        <v>280</v>
      </c>
      <c r="O1972" s="7">
        <v>44307</v>
      </c>
      <c r="Q1972">
        <v>163164</v>
      </c>
      <c r="R1972" t="s">
        <v>401</v>
      </c>
    </row>
    <row r="1973" spans="1:18" x14ac:dyDescent="0.15">
      <c r="A1973" s="25" t="s">
        <v>398</v>
      </c>
      <c r="B1973" t="s">
        <v>397</v>
      </c>
      <c r="D1973">
        <v>16</v>
      </c>
      <c r="E1973" t="s">
        <v>76</v>
      </c>
      <c r="F1973" t="s">
        <v>86</v>
      </c>
      <c r="G1973">
        <v>23.64</v>
      </c>
      <c r="H1973">
        <v>23.64</v>
      </c>
      <c r="I1973" t="s">
        <v>217</v>
      </c>
      <c r="J1973" t="s">
        <v>23</v>
      </c>
      <c r="K1973">
        <f t="shared" si="60"/>
        <v>23.64</v>
      </c>
      <c r="L1973">
        <f t="shared" si="61"/>
        <v>23.64</v>
      </c>
      <c r="M1973" t="s">
        <v>25</v>
      </c>
      <c r="O1973" s="7">
        <v>44307</v>
      </c>
      <c r="Q1973">
        <v>757000</v>
      </c>
      <c r="R1973" t="s">
        <v>401</v>
      </c>
    </row>
    <row r="1974" spans="1:18" x14ac:dyDescent="0.15">
      <c r="A1974" s="25" t="s">
        <v>398</v>
      </c>
      <c r="B1974" t="s">
        <v>397</v>
      </c>
      <c r="D1974">
        <v>16</v>
      </c>
      <c r="E1974" t="s">
        <v>75</v>
      </c>
      <c r="G1974">
        <v>25.35</v>
      </c>
      <c r="H1974">
        <v>25.35</v>
      </c>
      <c r="I1974" t="s">
        <v>217</v>
      </c>
      <c r="J1974" t="s">
        <v>23</v>
      </c>
      <c r="K1974">
        <f t="shared" si="60"/>
        <v>25.35</v>
      </c>
      <c r="L1974">
        <f t="shared" si="61"/>
        <v>25.35</v>
      </c>
      <c r="M1974" t="s">
        <v>280</v>
      </c>
      <c r="O1974" s="7">
        <v>44306</v>
      </c>
      <c r="Q1974">
        <v>163164</v>
      </c>
      <c r="R1974" t="s">
        <v>401</v>
      </c>
    </row>
    <row r="1975" spans="1:18" x14ac:dyDescent="0.15">
      <c r="A1975" s="25" t="s">
        <v>398</v>
      </c>
      <c r="B1975" t="s">
        <v>397</v>
      </c>
      <c r="D1975">
        <v>16</v>
      </c>
      <c r="E1975" t="s">
        <v>75</v>
      </c>
      <c r="G1975">
        <v>25.35</v>
      </c>
      <c r="H1975">
        <v>25.35</v>
      </c>
      <c r="I1975" t="s">
        <v>217</v>
      </c>
      <c r="J1975" t="s">
        <v>23</v>
      </c>
      <c r="K1975">
        <f t="shared" si="60"/>
        <v>25.35</v>
      </c>
      <c r="L1975">
        <f t="shared" si="61"/>
        <v>25.35</v>
      </c>
      <c r="M1975" t="s">
        <v>25</v>
      </c>
      <c r="O1975" s="7">
        <v>44306</v>
      </c>
      <c r="Q1975">
        <v>757000</v>
      </c>
      <c r="R1975" t="s">
        <v>401</v>
      </c>
    </row>
    <row r="1976" spans="1:18" x14ac:dyDescent="0.15">
      <c r="A1976" s="25" t="s">
        <v>398</v>
      </c>
      <c r="B1976" t="s">
        <v>397</v>
      </c>
      <c r="D1976">
        <v>16</v>
      </c>
      <c r="E1976" t="s">
        <v>74</v>
      </c>
      <c r="G1976">
        <v>28.15</v>
      </c>
      <c r="H1976">
        <v>28.15</v>
      </c>
      <c r="I1976" t="s">
        <v>217</v>
      </c>
      <c r="J1976" t="s">
        <v>23</v>
      </c>
      <c r="K1976">
        <f t="shared" si="60"/>
        <v>28.15</v>
      </c>
      <c r="L1976">
        <f t="shared" si="61"/>
        <v>28.15</v>
      </c>
      <c r="M1976" t="s">
        <v>280</v>
      </c>
      <c r="O1976" s="7">
        <v>44305</v>
      </c>
      <c r="Q1976">
        <v>163164</v>
      </c>
      <c r="R1976" t="s">
        <v>401</v>
      </c>
    </row>
    <row r="1977" spans="1:18" x14ac:dyDescent="0.15">
      <c r="A1977" s="25" t="s">
        <v>398</v>
      </c>
      <c r="B1977" t="s">
        <v>397</v>
      </c>
      <c r="D1977">
        <v>16</v>
      </c>
      <c r="E1977" t="s">
        <v>74</v>
      </c>
      <c r="G1977">
        <v>28.15</v>
      </c>
      <c r="H1977">
        <v>28.15</v>
      </c>
      <c r="I1977" t="s">
        <v>217</v>
      </c>
      <c r="J1977" t="s">
        <v>23</v>
      </c>
      <c r="K1977">
        <f t="shared" si="60"/>
        <v>28.15</v>
      </c>
      <c r="L1977">
        <f t="shared" si="61"/>
        <v>28.15</v>
      </c>
      <c r="M1977" t="s">
        <v>25</v>
      </c>
      <c r="O1977" s="7">
        <v>44305</v>
      </c>
      <c r="Q1977">
        <v>757000</v>
      </c>
      <c r="R1977" t="s">
        <v>401</v>
      </c>
    </row>
    <row r="1978" spans="1:18" x14ac:dyDescent="0.15">
      <c r="A1978" s="25" t="s">
        <v>398</v>
      </c>
      <c r="B1978" t="s">
        <v>397</v>
      </c>
      <c r="D1978">
        <v>16</v>
      </c>
      <c r="E1978" t="s">
        <v>74</v>
      </c>
      <c r="G1978">
        <v>28.15</v>
      </c>
      <c r="H1978">
        <v>28.15</v>
      </c>
      <c r="I1978" t="s">
        <v>217</v>
      </c>
      <c r="J1978" t="s">
        <v>23</v>
      </c>
      <c r="K1978">
        <f t="shared" si="60"/>
        <v>28.15</v>
      </c>
      <c r="L1978">
        <f t="shared" si="61"/>
        <v>28.15</v>
      </c>
      <c r="M1978" t="s">
        <v>280</v>
      </c>
      <c r="O1978" s="7">
        <v>44334</v>
      </c>
      <c r="Q1978">
        <v>163164</v>
      </c>
      <c r="R1978" t="s">
        <v>401</v>
      </c>
    </row>
    <row r="1979" spans="1:18" x14ac:dyDescent="0.15">
      <c r="A1979" s="25" t="s">
        <v>398</v>
      </c>
      <c r="B1979" t="s">
        <v>397</v>
      </c>
      <c r="D1979">
        <v>16</v>
      </c>
      <c r="E1979" t="s">
        <v>74</v>
      </c>
      <c r="G1979">
        <v>28.15</v>
      </c>
      <c r="H1979">
        <v>28.15</v>
      </c>
      <c r="I1979" t="s">
        <v>217</v>
      </c>
      <c r="J1979" t="s">
        <v>23</v>
      </c>
      <c r="K1979">
        <f t="shared" si="60"/>
        <v>28.15</v>
      </c>
      <c r="L1979">
        <f t="shared" si="61"/>
        <v>28.15</v>
      </c>
      <c r="M1979" t="s">
        <v>25</v>
      </c>
      <c r="O1979" s="7">
        <v>44334</v>
      </c>
      <c r="Q1979">
        <v>757000</v>
      </c>
      <c r="R1979" t="s">
        <v>401</v>
      </c>
    </row>
    <row r="1980" spans="1:18" x14ac:dyDescent="0.15">
      <c r="A1980" s="25" t="s">
        <v>398</v>
      </c>
      <c r="B1980" t="s">
        <v>397</v>
      </c>
      <c r="D1980">
        <v>16</v>
      </c>
      <c r="E1980" t="s">
        <v>75</v>
      </c>
      <c r="G1980">
        <v>28.5</v>
      </c>
      <c r="H1980">
        <v>28.5</v>
      </c>
      <c r="I1980" t="s">
        <v>217</v>
      </c>
      <c r="J1980" t="s">
        <v>23</v>
      </c>
      <c r="K1980">
        <f t="shared" si="60"/>
        <v>28.5</v>
      </c>
      <c r="L1980">
        <f t="shared" si="61"/>
        <v>28.5</v>
      </c>
      <c r="M1980" t="s">
        <v>280</v>
      </c>
      <c r="O1980" s="7">
        <v>44314</v>
      </c>
      <c r="Q1980">
        <v>163164</v>
      </c>
      <c r="R1980" t="s">
        <v>401</v>
      </c>
    </row>
    <row r="1981" spans="1:18" x14ac:dyDescent="0.15">
      <c r="A1981" s="25" t="s">
        <v>398</v>
      </c>
      <c r="B1981" t="s">
        <v>397</v>
      </c>
      <c r="D1981">
        <v>16</v>
      </c>
      <c r="E1981" t="s">
        <v>75</v>
      </c>
      <c r="G1981">
        <v>28.5</v>
      </c>
      <c r="H1981">
        <v>28.5</v>
      </c>
      <c r="I1981" t="s">
        <v>217</v>
      </c>
      <c r="J1981" t="s">
        <v>23</v>
      </c>
      <c r="K1981">
        <f t="shared" si="60"/>
        <v>28.5</v>
      </c>
      <c r="L1981">
        <f t="shared" si="61"/>
        <v>28.5</v>
      </c>
      <c r="M1981" t="s">
        <v>25</v>
      </c>
      <c r="O1981" s="7">
        <v>44314</v>
      </c>
      <c r="Q1981">
        <v>757000</v>
      </c>
      <c r="R1981" t="s">
        <v>401</v>
      </c>
    </row>
    <row r="1982" spans="1:18" x14ac:dyDescent="0.15">
      <c r="A1982" s="25" t="s">
        <v>398</v>
      </c>
      <c r="B1982" t="s">
        <v>397</v>
      </c>
      <c r="D1982">
        <v>16</v>
      </c>
      <c r="E1982" t="s">
        <v>76</v>
      </c>
      <c r="F1982" t="s">
        <v>78</v>
      </c>
      <c r="G1982">
        <v>35.24</v>
      </c>
      <c r="H1982">
        <v>35.24</v>
      </c>
      <c r="I1982" t="s">
        <v>217</v>
      </c>
      <c r="J1982" t="s">
        <v>23</v>
      </c>
      <c r="K1982">
        <f t="shared" si="60"/>
        <v>35.24</v>
      </c>
      <c r="L1982">
        <f t="shared" si="61"/>
        <v>35.24</v>
      </c>
      <c r="M1982" t="s">
        <v>280</v>
      </c>
      <c r="O1982" s="7">
        <v>44308</v>
      </c>
      <c r="Q1982">
        <v>163164</v>
      </c>
      <c r="R1982" t="s">
        <v>401</v>
      </c>
    </row>
    <row r="1983" spans="1:18" x14ac:dyDescent="0.15">
      <c r="A1983" s="25" t="s">
        <v>398</v>
      </c>
      <c r="B1983" t="s">
        <v>397</v>
      </c>
      <c r="D1983">
        <v>16</v>
      </c>
      <c r="E1983" t="s">
        <v>76</v>
      </c>
      <c r="F1983" t="s">
        <v>78</v>
      </c>
      <c r="G1983">
        <v>35.24</v>
      </c>
      <c r="H1983">
        <v>35.24</v>
      </c>
      <c r="I1983" t="s">
        <v>217</v>
      </c>
      <c r="J1983" t="s">
        <v>23</v>
      </c>
      <c r="K1983">
        <f t="shared" si="60"/>
        <v>35.24</v>
      </c>
      <c r="L1983">
        <f t="shared" si="61"/>
        <v>35.24</v>
      </c>
      <c r="M1983" t="s">
        <v>25</v>
      </c>
      <c r="O1983" s="7">
        <v>44308</v>
      </c>
      <c r="Q1983">
        <v>757000</v>
      </c>
      <c r="R1983" t="s">
        <v>401</v>
      </c>
    </row>
    <row r="1984" spans="1:18" x14ac:dyDescent="0.15">
      <c r="A1984" s="25" t="s">
        <v>398</v>
      </c>
      <c r="B1984" t="s">
        <v>397</v>
      </c>
      <c r="D1984">
        <v>16</v>
      </c>
      <c r="E1984" t="s">
        <v>75</v>
      </c>
      <c r="G1984">
        <v>37.17</v>
      </c>
      <c r="H1984">
        <v>37.22</v>
      </c>
      <c r="I1984" t="s">
        <v>217</v>
      </c>
      <c r="J1984" t="s">
        <v>23</v>
      </c>
      <c r="K1984">
        <f t="shared" si="60"/>
        <v>37.17</v>
      </c>
      <c r="L1984">
        <f t="shared" si="61"/>
        <v>37.22</v>
      </c>
      <c r="M1984" t="s">
        <v>25</v>
      </c>
      <c r="O1984" s="7">
        <v>44455</v>
      </c>
      <c r="Q1984">
        <v>757000</v>
      </c>
      <c r="R1984" t="s">
        <v>401</v>
      </c>
    </row>
    <row r="1985" spans="1:18" x14ac:dyDescent="0.15">
      <c r="A1985" s="25" t="s">
        <v>398</v>
      </c>
      <c r="B1985" t="s">
        <v>397</v>
      </c>
      <c r="D1985">
        <v>16</v>
      </c>
      <c r="E1985" t="s">
        <v>75</v>
      </c>
      <c r="G1985">
        <v>37.17</v>
      </c>
      <c r="H1985">
        <v>37.22</v>
      </c>
      <c r="I1985" t="s">
        <v>217</v>
      </c>
      <c r="J1985" t="s">
        <v>23</v>
      </c>
      <c r="K1985">
        <f t="shared" ref="K1985:K2048" si="62">MIN(G1985:H1985)</f>
        <v>37.17</v>
      </c>
      <c r="L1985">
        <f t="shared" ref="L1985:L2048" si="63">MAX(G1985:H1985)</f>
        <v>37.22</v>
      </c>
      <c r="M1985" t="s">
        <v>25</v>
      </c>
      <c r="O1985" s="7">
        <v>44455</v>
      </c>
      <c r="Q1985">
        <v>757000</v>
      </c>
      <c r="R1985" t="s">
        <v>401</v>
      </c>
    </row>
    <row r="1986" spans="1:18" x14ac:dyDescent="0.15">
      <c r="A1986" s="25" t="s">
        <v>398</v>
      </c>
      <c r="B1986" t="s">
        <v>397</v>
      </c>
      <c r="D1986">
        <v>16</v>
      </c>
      <c r="E1986" t="s">
        <v>76</v>
      </c>
      <c r="F1986" t="s">
        <v>79</v>
      </c>
      <c r="G1986">
        <v>27.2</v>
      </c>
      <c r="H1986">
        <v>27.2</v>
      </c>
      <c r="I1986" t="s">
        <v>94</v>
      </c>
      <c r="K1986">
        <f t="shared" si="62"/>
        <v>27.2</v>
      </c>
      <c r="L1986">
        <f t="shared" si="63"/>
        <v>27.2</v>
      </c>
      <c r="M1986" t="s">
        <v>25</v>
      </c>
      <c r="O1986" s="7">
        <v>44320</v>
      </c>
      <c r="Q1986">
        <v>757000</v>
      </c>
      <c r="R1986" t="s">
        <v>401</v>
      </c>
    </row>
    <row r="1987" spans="1:18" x14ac:dyDescent="0.15">
      <c r="A1987" s="25" t="s">
        <v>398</v>
      </c>
      <c r="B1987" t="s">
        <v>397</v>
      </c>
      <c r="D1987">
        <v>16</v>
      </c>
      <c r="E1987" t="s">
        <v>76</v>
      </c>
      <c r="F1987" t="s">
        <v>79</v>
      </c>
      <c r="G1987">
        <v>27.3</v>
      </c>
      <c r="H1987">
        <v>27.3</v>
      </c>
      <c r="I1987" t="s">
        <v>94</v>
      </c>
      <c r="K1987">
        <f t="shared" si="62"/>
        <v>27.3</v>
      </c>
      <c r="L1987">
        <f t="shared" si="63"/>
        <v>27.3</v>
      </c>
      <c r="M1987" t="s">
        <v>25</v>
      </c>
      <c r="O1987" s="7">
        <v>44320</v>
      </c>
      <c r="Q1987">
        <v>757000</v>
      </c>
      <c r="R1987" t="s">
        <v>401</v>
      </c>
    </row>
    <row r="1988" spans="1:18" x14ac:dyDescent="0.15">
      <c r="A1988" s="25" t="s">
        <v>398</v>
      </c>
      <c r="B1988" t="s">
        <v>397</v>
      </c>
      <c r="D1988">
        <v>16</v>
      </c>
      <c r="E1988" t="s">
        <v>76</v>
      </c>
      <c r="F1988" t="s">
        <v>79</v>
      </c>
      <c r="G1988">
        <v>27.2</v>
      </c>
      <c r="H1988">
        <v>27.54</v>
      </c>
      <c r="I1988" t="s">
        <v>92</v>
      </c>
      <c r="K1988">
        <f t="shared" si="62"/>
        <v>27.2</v>
      </c>
      <c r="L1988">
        <f t="shared" si="63"/>
        <v>27.54</v>
      </c>
      <c r="M1988" t="s">
        <v>286</v>
      </c>
      <c r="O1988" s="7">
        <v>44320</v>
      </c>
      <c r="Q1988">
        <v>163165</v>
      </c>
      <c r="R1988" t="s">
        <v>401</v>
      </c>
    </row>
    <row r="1989" spans="1:18" x14ac:dyDescent="0.15">
      <c r="A1989" s="25" t="s">
        <v>398</v>
      </c>
      <c r="B1989" t="s">
        <v>397</v>
      </c>
      <c r="D1989">
        <v>27</v>
      </c>
      <c r="E1989" t="s">
        <v>75</v>
      </c>
      <c r="G1989">
        <v>37.85</v>
      </c>
      <c r="H1989">
        <v>37.950000000000003</v>
      </c>
      <c r="I1989" t="s">
        <v>217</v>
      </c>
      <c r="J1989" t="s">
        <v>23</v>
      </c>
      <c r="K1989">
        <f t="shared" si="62"/>
        <v>37.85</v>
      </c>
      <c r="L1989">
        <f t="shared" si="63"/>
        <v>37.950000000000003</v>
      </c>
      <c r="M1989" t="s">
        <v>25</v>
      </c>
      <c r="O1989" s="7">
        <v>44532</v>
      </c>
      <c r="Q1989">
        <v>757000</v>
      </c>
      <c r="R1989" t="s">
        <v>401</v>
      </c>
    </row>
    <row r="1990" spans="1:18" x14ac:dyDescent="0.15">
      <c r="A1990" s="25" t="s">
        <v>398</v>
      </c>
      <c r="B1990" t="s">
        <v>397</v>
      </c>
      <c r="D1990">
        <v>27</v>
      </c>
      <c r="E1990" t="s">
        <v>74</v>
      </c>
      <c r="G1990">
        <v>35.075000000000003</v>
      </c>
      <c r="H1990">
        <v>35.06</v>
      </c>
      <c r="I1990" t="s">
        <v>92</v>
      </c>
      <c r="K1990">
        <f t="shared" si="62"/>
        <v>35.06</v>
      </c>
      <c r="L1990">
        <f t="shared" si="63"/>
        <v>35.075000000000003</v>
      </c>
      <c r="M1990" t="s">
        <v>25</v>
      </c>
      <c r="O1990" s="7">
        <v>44519</v>
      </c>
      <c r="Q1990">
        <v>757000</v>
      </c>
      <c r="R1990" t="s">
        <v>401</v>
      </c>
    </row>
    <row r="1991" spans="1:18" x14ac:dyDescent="0.15">
      <c r="A1991" s="25" t="s">
        <v>398</v>
      </c>
      <c r="B1991" t="s">
        <v>397</v>
      </c>
      <c r="D1991">
        <v>27</v>
      </c>
      <c r="E1991" t="s">
        <v>75</v>
      </c>
      <c r="G1991">
        <v>36.049999999999997</v>
      </c>
      <c r="H1991">
        <v>36.4</v>
      </c>
      <c r="I1991" t="s">
        <v>96</v>
      </c>
      <c r="K1991">
        <f t="shared" si="62"/>
        <v>36.049999999999997</v>
      </c>
      <c r="L1991">
        <f t="shared" si="63"/>
        <v>36.4</v>
      </c>
      <c r="M1991" t="s">
        <v>25</v>
      </c>
      <c r="O1991" s="7">
        <v>44529</v>
      </c>
      <c r="Q1991">
        <v>757000</v>
      </c>
      <c r="R1991" t="s">
        <v>401</v>
      </c>
    </row>
    <row r="1992" spans="1:18" x14ac:dyDescent="0.15">
      <c r="A1992" s="25" t="s">
        <v>398</v>
      </c>
      <c r="B1992" t="s">
        <v>397</v>
      </c>
      <c r="D1992">
        <v>27</v>
      </c>
      <c r="E1992" t="s">
        <v>75</v>
      </c>
      <c r="G1992">
        <v>36.049999999999997</v>
      </c>
      <c r="H1992">
        <v>36.4</v>
      </c>
      <c r="I1992" t="s">
        <v>94</v>
      </c>
      <c r="K1992">
        <f t="shared" si="62"/>
        <v>36.049999999999997</v>
      </c>
      <c r="L1992">
        <f t="shared" si="63"/>
        <v>36.4</v>
      </c>
      <c r="M1992" t="s">
        <v>25</v>
      </c>
      <c r="O1992" s="7">
        <v>44529</v>
      </c>
      <c r="Q1992">
        <v>757000</v>
      </c>
      <c r="R1992" t="s">
        <v>401</v>
      </c>
    </row>
    <row r="1993" spans="1:18" x14ac:dyDescent="0.15">
      <c r="A1993" s="25" t="s">
        <v>398</v>
      </c>
      <c r="B1993" t="s">
        <v>397</v>
      </c>
      <c r="D1993">
        <v>27</v>
      </c>
      <c r="E1993" t="s">
        <v>75</v>
      </c>
      <c r="G1993">
        <v>36.5</v>
      </c>
      <c r="H1993">
        <v>36.770000000000003</v>
      </c>
      <c r="I1993" t="s">
        <v>94</v>
      </c>
      <c r="K1993">
        <f t="shared" si="62"/>
        <v>36.5</v>
      </c>
      <c r="L1993">
        <f t="shared" si="63"/>
        <v>36.770000000000003</v>
      </c>
      <c r="M1993" t="s">
        <v>25</v>
      </c>
      <c r="O1993" s="7">
        <v>44529</v>
      </c>
      <c r="Q1993">
        <v>757000</v>
      </c>
      <c r="R1993" t="s">
        <v>401</v>
      </c>
    </row>
    <row r="1994" spans="1:18" x14ac:dyDescent="0.15">
      <c r="A1994" s="25" t="s">
        <v>398</v>
      </c>
      <c r="B1994" t="s">
        <v>397</v>
      </c>
      <c r="D1994">
        <v>27</v>
      </c>
      <c r="E1994" t="s">
        <v>75</v>
      </c>
      <c r="G1994">
        <v>36.475000000000001</v>
      </c>
      <c r="H1994">
        <v>36.619999999999997</v>
      </c>
      <c r="I1994" t="s">
        <v>94</v>
      </c>
      <c r="K1994">
        <f t="shared" si="62"/>
        <v>36.475000000000001</v>
      </c>
      <c r="L1994">
        <f t="shared" si="63"/>
        <v>36.619999999999997</v>
      </c>
      <c r="M1994" t="s">
        <v>25</v>
      </c>
      <c r="O1994" s="7">
        <v>44530</v>
      </c>
      <c r="Q1994">
        <v>757000</v>
      </c>
      <c r="R1994" t="s">
        <v>401</v>
      </c>
    </row>
    <row r="1995" spans="1:18" x14ac:dyDescent="0.15">
      <c r="A1995" s="25" t="s">
        <v>398</v>
      </c>
      <c r="B1995" t="s">
        <v>397</v>
      </c>
      <c r="D1995">
        <v>27</v>
      </c>
      <c r="E1995" t="s">
        <v>75</v>
      </c>
      <c r="G1995">
        <v>36.880000000000003</v>
      </c>
      <c r="H1995">
        <v>37.07</v>
      </c>
      <c r="I1995" t="s">
        <v>94</v>
      </c>
      <c r="K1995">
        <f t="shared" si="62"/>
        <v>36.880000000000003</v>
      </c>
      <c r="L1995">
        <f t="shared" si="63"/>
        <v>37.07</v>
      </c>
      <c r="M1995" t="s">
        <v>25</v>
      </c>
      <c r="O1995" s="7">
        <v>44530</v>
      </c>
      <c r="Q1995">
        <v>757000</v>
      </c>
      <c r="R1995" t="s">
        <v>401</v>
      </c>
    </row>
    <row r="1996" spans="1:18" x14ac:dyDescent="0.15">
      <c r="A1996" s="25" t="s">
        <v>398</v>
      </c>
      <c r="B1996" t="s">
        <v>397</v>
      </c>
      <c r="D1996">
        <v>27</v>
      </c>
      <c r="E1996" t="s">
        <v>75</v>
      </c>
      <c r="G1996">
        <v>37.049999999999997</v>
      </c>
      <c r="H1996">
        <v>37.07</v>
      </c>
      <c r="I1996" t="s">
        <v>96</v>
      </c>
      <c r="K1996">
        <f t="shared" si="62"/>
        <v>37.049999999999997</v>
      </c>
      <c r="L1996">
        <f t="shared" si="63"/>
        <v>37.07</v>
      </c>
      <c r="M1996" t="s">
        <v>25</v>
      </c>
      <c r="O1996" s="7">
        <v>44530</v>
      </c>
      <c r="Q1996">
        <v>757000</v>
      </c>
      <c r="R1996" t="s">
        <v>401</v>
      </c>
    </row>
    <row r="1997" spans="1:18" x14ac:dyDescent="0.15">
      <c r="A1997" s="25" t="s">
        <v>398</v>
      </c>
      <c r="B1997" t="s">
        <v>397</v>
      </c>
      <c r="D1997">
        <v>27</v>
      </c>
      <c r="E1997" t="s">
        <v>75</v>
      </c>
      <c r="G1997">
        <v>37.07</v>
      </c>
      <c r="H1997">
        <v>37.090000000000003</v>
      </c>
      <c r="I1997" t="s">
        <v>96</v>
      </c>
      <c r="K1997">
        <f t="shared" si="62"/>
        <v>37.07</v>
      </c>
      <c r="L1997">
        <f t="shared" si="63"/>
        <v>37.090000000000003</v>
      </c>
      <c r="M1997" t="s">
        <v>25</v>
      </c>
      <c r="O1997" s="7">
        <v>44530</v>
      </c>
      <c r="Q1997">
        <v>757000</v>
      </c>
      <c r="R1997" t="s">
        <v>401</v>
      </c>
    </row>
    <row r="1998" spans="1:18" x14ac:dyDescent="0.15">
      <c r="A1998" s="25" t="s">
        <v>398</v>
      </c>
      <c r="B1998" t="s">
        <v>397</v>
      </c>
      <c r="D1998">
        <v>27</v>
      </c>
      <c r="E1998" t="s">
        <v>75</v>
      </c>
      <c r="G1998">
        <v>37.1</v>
      </c>
      <c r="H1998">
        <v>37.200000000000003</v>
      </c>
      <c r="I1998" t="s">
        <v>94</v>
      </c>
      <c r="K1998">
        <f t="shared" si="62"/>
        <v>37.1</v>
      </c>
      <c r="L1998">
        <f t="shared" si="63"/>
        <v>37.200000000000003</v>
      </c>
      <c r="M1998" t="s">
        <v>25</v>
      </c>
      <c r="O1998" s="7">
        <v>44530</v>
      </c>
      <c r="Q1998">
        <v>757000</v>
      </c>
      <c r="R1998" t="s">
        <v>401</v>
      </c>
    </row>
    <row r="1999" spans="1:18" x14ac:dyDescent="0.15">
      <c r="A1999" s="25" t="s">
        <v>398</v>
      </c>
      <c r="B1999" t="s">
        <v>397</v>
      </c>
      <c r="D1999">
        <v>27</v>
      </c>
      <c r="E1999" t="s">
        <v>75</v>
      </c>
      <c r="G1999">
        <v>37.700000000000003</v>
      </c>
      <c r="H1999">
        <v>38.200000000000003</v>
      </c>
      <c r="I1999" t="s">
        <v>94</v>
      </c>
      <c r="K1999">
        <f t="shared" si="62"/>
        <v>37.700000000000003</v>
      </c>
      <c r="L1999">
        <f t="shared" si="63"/>
        <v>38.200000000000003</v>
      </c>
      <c r="M1999" t="s">
        <v>25</v>
      </c>
      <c r="O1999" s="7">
        <v>44530</v>
      </c>
      <c r="Q1999">
        <v>757000</v>
      </c>
      <c r="R1999" t="s">
        <v>401</v>
      </c>
    </row>
    <row r="2000" spans="1:18" x14ac:dyDescent="0.15">
      <c r="A2000" s="25" t="s">
        <v>398</v>
      </c>
      <c r="B2000" t="s">
        <v>397</v>
      </c>
      <c r="D2000">
        <v>27</v>
      </c>
      <c r="E2000" t="s">
        <v>75</v>
      </c>
      <c r="G2000">
        <v>39.81</v>
      </c>
      <c r="H2000">
        <v>39.9</v>
      </c>
      <c r="I2000" t="s">
        <v>181</v>
      </c>
      <c r="K2000">
        <f t="shared" si="62"/>
        <v>39.81</v>
      </c>
      <c r="L2000">
        <f t="shared" si="63"/>
        <v>39.9</v>
      </c>
      <c r="M2000" t="s">
        <v>280</v>
      </c>
      <c r="O2000" s="7">
        <v>44531</v>
      </c>
      <c r="Q2000">
        <v>163164</v>
      </c>
      <c r="R2000" t="s">
        <v>401</v>
      </c>
    </row>
    <row r="2001" spans="1:18" x14ac:dyDescent="0.15">
      <c r="A2001" s="25" t="s">
        <v>398</v>
      </c>
      <c r="B2001" t="s">
        <v>397</v>
      </c>
      <c r="D2001">
        <v>27</v>
      </c>
      <c r="E2001" t="s">
        <v>75</v>
      </c>
      <c r="G2001">
        <v>39.799999999999997</v>
      </c>
      <c r="H2001">
        <v>40</v>
      </c>
      <c r="I2001" t="s">
        <v>181</v>
      </c>
      <c r="K2001">
        <f t="shared" si="62"/>
        <v>39.799999999999997</v>
      </c>
      <c r="L2001">
        <f t="shared" si="63"/>
        <v>40</v>
      </c>
      <c r="M2001" t="s">
        <v>25</v>
      </c>
      <c r="O2001" s="7">
        <v>44531</v>
      </c>
      <c r="Q2001">
        <v>757000</v>
      </c>
      <c r="R2001" t="s">
        <v>401</v>
      </c>
    </row>
    <row r="2002" spans="1:18" x14ac:dyDescent="0.15">
      <c r="A2002" s="25" t="s">
        <v>398</v>
      </c>
      <c r="B2002" t="s">
        <v>397</v>
      </c>
      <c r="D2002">
        <v>27</v>
      </c>
      <c r="E2002" t="s">
        <v>75</v>
      </c>
      <c r="G2002">
        <v>41.54</v>
      </c>
      <c r="H2002">
        <v>41.6</v>
      </c>
      <c r="I2002" t="s">
        <v>181</v>
      </c>
      <c r="K2002">
        <f t="shared" si="62"/>
        <v>41.54</v>
      </c>
      <c r="L2002">
        <f t="shared" si="63"/>
        <v>41.6</v>
      </c>
      <c r="M2002" t="s">
        <v>25</v>
      </c>
      <c r="O2002" s="7">
        <v>44531</v>
      </c>
      <c r="Q2002">
        <v>757000</v>
      </c>
      <c r="R2002" t="s">
        <v>401</v>
      </c>
    </row>
    <row r="2003" spans="1:18" x14ac:dyDescent="0.15">
      <c r="A2003" s="25" t="s">
        <v>398</v>
      </c>
      <c r="B2003" t="s">
        <v>397</v>
      </c>
      <c r="D2003">
        <v>27</v>
      </c>
      <c r="E2003" t="s">
        <v>75</v>
      </c>
      <c r="G2003">
        <v>42.2</v>
      </c>
      <c r="H2003">
        <v>42.5</v>
      </c>
      <c r="I2003" t="s">
        <v>96</v>
      </c>
      <c r="K2003">
        <f t="shared" si="62"/>
        <v>42.2</v>
      </c>
      <c r="L2003">
        <f t="shared" si="63"/>
        <v>42.5</v>
      </c>
      <c r="M2003" t="s">
        <v>25</v>
      </c>
      <c r="O2003" s="7">
        <v>44531</v>
      </c>
      <c r="Q2003">
        <v>757000</v>
      </c>
      <c r="R2003" t="s">
        <v>401</v>
      </c>
    </row>
    <row r="2004" spans="1:18" x14ac:dyDescent="0.15">
      <c r="A2004" s="25" t="s">
        <v>398</v>
      </c>
      <c r="B2004" t="s">
        <v>397</v>
      </c>
      <c r="D2004">
        <v>27</v>
      </c>
      <c r="E2004" t="s">
        <v>76</v>
      </c>
      <c r="F2004" t="s">
        <v>87</v>
      </c>
      <c r="G2004">
        <v>36.1</v>
      </c>
      <c r="H2004">
        <v>36.18</v>
      </c>
      <c r="I2004" t="s">
        <v>98</v>
      </c>
      <c r="K2004">
        <f t="shared" si="62"/>
        <v>36.1</v>
      </c>
      <c r="L2004">
        <f t="shared" si="63"/>
        <v>36.18</v>
      </c>
      <c r="M2004" t="s">
        <v>25</v>
      </c>
      <c r="O2004" s="7">
        <v>44532</v>
      </c>
      <c r="Q2004">
        <v>757000</v>
      </c>
      <c r="R2004" t="s">
        <v>401</v>
      </c>
    </row>
    <row r="2005" spans="1:18" x14ac:dyDescent="0.15">
      <c r="A2005" s="25" t="s">
        <v>398</v>
      </c>
      <c r="B2005" t="s">
        <v>397</v>
      </c>
      <c r="D2005">
        <v>27</v>
      </c>
      <c r="E2005" t="s">
        <v>76</v>
      </c>
      <c r="F2005" t="s">
        <v>87</v>
      </c>
      <c r="G2005">
        <v>36.07</v>
      </c>
      <c r="H2005">
        <v>36.1</v>
      </c>
      <c r="I2005" t="s">
        <v>188</v>
      </c>
      <c r="K2005">
        <f t="shared" si="62"/>
        <v>36.07</v>
      </c>
      <c r="L2005">
        <f t="shared" si="63"/>
        <v>36.1</v>
      </c>
      <c r="M2005" t="s">
        <v>25</v>
      </c>
      <c r="O2005" s="7">
        <v>44532</v>
      </c>
      <c r="Q2005">
        <v>757000</v>
      </c>
      <c r="R2005" t="s">
        <v>401</v>
      </c>
    </row>
    <row r="2006" spans="1:18" x14ac:dyDescent="0.15">
      <c r="A2006" s="25" t="s">
        <v>398</v>
      </c>
      <c r="B2006" t="s">
        <v>397</v>
      </c>
      <c r="D2006">
        <v>27</v>
      </c>
      <c r="E2006" t="s">
        <v>76</v>
      </c>
      <c r="F2006" t="s">
        <v>216</v>
      </c>
      <c r="G2006">
        <v>36.5</v>
      </c>
      <c r="H2006">
        <v>36.6</v>
      </c>
      <c r="I2006" t="s">
        <v>96</v>
      </c>
      <c r="K2006">
        <f t="shared" si="62"/>
        <v>36.5</v>
      </c>
      <c r="L2006">
        <f t="shared" si="63"/>
        <v>36.6</v>
      </c>
      <c r="M2006" t="s">
        <v>25</v>
      </c>
      <c r="O2006" s="7">
        <v>44532</v>
      </c>
      <c r="Q2006">
        <v>757000</v>
      </c>
      <c r="R2006" t="s">
        <v>401</v>
      </c>
    </row>
    <row r="2007" spans="1:18" x14ac:dyDescent="0.15">
      <c r="A2007" s="25" t="s">
        <v>398</v>
      </c>
      <c r="B2007" t="s">
        <v>397</v>
      </c>
      <c r="D2007">
        <v>27</v>
      </c>
      <c r="E2007" t="s">
        <v>75</v>
      </c>
      <c r="G2007">
        <v>38.200000000000003</v>
      </c>
      <c r="H2007">
        <v>38.35</v>
      </c>
      <c r="I2007" t="s">
        <v>181</v>
      </c>
      <c r="K2007">
        <f t="shared" si="62"/>
        <v>38.200000000000003</v>
      </c>
      <c r="L2007">
        <f t="shared" si="63"/>
        <v>38.35</v>
      </c>
      <c r="M2007" t="s">
        <v>25</v>
      </c>
      <c r="O2007" s="7">
        <v>44532</v>
      </c>
      <c r="Q2007">
        <v>757000</v>
      </c>
      <c r="R2007" t="s">
        <v>401</v>
      </c>
    </row>
    <row r="2008" spans="1:18" x14ac:dyDescent="0.15">
      <c r="A2008" s="25" t="s">
        <v>398</v>
      </c>
      <c r="B2008" t="s">
        <v>397</v>
      </c>
      <c r="D2008">
        <v>27</v>
      </c>
      <c r="E2008" t="s">
        <v>75</v>
      </c>
      <c r="G2008">
        <v>38.35</v>
      </c>
      <c r="H2008">
        <v>38.549999999999997</v>
      </c>
      <c r="I2008" t="s">
        <v>181</v>
      </c>
      <c r="K2008">
        <f t="shared" si="62"/>
        <v>38.35</v>
      </c>
      <c r="L2008">
        <f t="shared" si="63"/>
        <v>38.549999999999997</v>
      </c>
      <c r="M2008" t="s">
        <v>25</v>
      </c>
      <c r="O2008" s="7">
        <v>44532</v>
      </c>
      <c r="Q2008">
        <v>757000</v>
      </c>
      <c r="R2008" t="s">
        <v>401</v>
      </c>
    </row>
    <row r="2009" spans="1:18" x14ac:dyDescent="0.15">
      <c r="A2009" s="25" t="s">
        <v>398</v>
      </c>
      <c r="B2009" t="s">
        <v>397</v>
      </c>
      <c r="D2009">
        <v>27</v>
      </c>
      <c r="E2009" t="s">
        <v>75</v>
      </c>
      <c r="G2009">
        <v>38.549999999999997</v>
      </c>
      <c r="H2009">
        <v>38.774999999999999</v>
      </c>
      <c r="I2009" t="s">
        <v>181</v>
      </c>
      <c r="K2009">
        <f t="shared" si="62"/>
        <v>38.549999999999997</v>
      </c>
      <c r="L2009">
        <f t="shared" si="63"/>
        <v>38.774999999999999</v>
      </c>
      <c r="M2009" t="s">
        <v>25</v>
      </c>
      <c r="O2009" s="7">
        <v>44532</v>
      </c>
      <c r="Q2009">
        <v>757000</v>
      </c>
      <c r="R2009" t="s">
        <v>401</v>
      </c>
    </row>
    <row r="2010" spans="1:18" x14ac:dyDescent="0.15">
      <c r="A2010" s="25" t="s">
        <v>402</v>
      </c>
      <c r="B2010" t="s">
        <v>403</v>
      </c>
      <c r="D2010" s="27">
        <v>1</v>
      </c>
      <c r="E2010" t="s">
        <v>74</v>
      </c>
      <c r="G2010">
        <v>167.42</v>
      </c>
      <c r="H2010">
        <v>166.92</v>
      </c>
      <c r="I2010" t="s">
        <v>91</v>
      </c>
      <c r="K2010">
        <f t="shared" si="62"/>
        <v>166.92</v>
      </c>
      <c r="L2010">
        <f t="shared" si="63"/>
        <v>167.42</v>
      </c>
      <c r="M2010" t="s">
        <v>286</v>
      </c>
      <c r="N2010" t="s">
        <v>405</v>
      </c>
      <c r="O2010" s="26">
        <v>44402</v>
      </c>
    </row>
    <row r="2011" spans="1:18" x14ac:dyDescent="0.15">
      <c r="A2011" s="25" t="s">
        <v>402</v>
      </c>
      <c r="B2011" t="s">
        <v>403</v>
      </c>
      <c r="D2011" s="27">
        <v>1</v>
      </c>
      <c r="E2011" t="s">
        <v>74</v>
      </c>
      <c r="G2011">
        <v>167.42</v>
      </c>
      <c r="H2011">
        <v>166.92</v>
      </c>
      <c r="I2011" t="s">
        <v>92</v>
      </c>
      <c r="K2011">
        <f t="shared" si="62"/>
        <v>166.92</v>
      </c>
      <c r="L2011">
        <f t="shared" si="63"/>
        <v>167.42</v>
      </c>
      <c r="M2011" t="s">
        <v>286</v>
      </c>
      <c r="N2011" t="s">
        <v>405</v>
      </c>
      <c r="O2011" s="26">
        <v>44402</v>
      </c>
    </row>
    <row r="2012" spans="1:18" x14ac:dyDescent="0.15">
      <c r="A2012" s="25" t="s">
        <v>402</v>
      </c>
      <c r="B2012" t="s">
        <v>403</v>
      </c>
      <c r="D2012" s="27">
        <v>1</v>
      </c>
      <c r="E2012" t="s">
        <v>74</v>
      </c>
      <c r="G2012">
        <v>167.25</v>
      </c>
      <c r="H2012">
        <v>166.92</v>
      </c>
      <c r="I2012" t="s">
        <v>93</v>
      </c>
      <c r="K2012">
        <f t="shared" si="62"/>
        <v>166.92</v>
      </c>
      <c r="L2012">
        <f t="shared" si="63"/>
        <v>167.25</v>
      </c>
      <c r="M2012" t="s">
        <v>286</v>
      </c>
      <c r="N2012" t="s">
        <v>405</v>
      </c>
      <c r="O2012" s="26">
        <v>44402</v>
      </c>
    </row>
    <row r="2013" spans="1:18" x14ac:dyDescent="0.15">
      <c r="A2013" s="25" t="s">
        <v>402</v>
      </c>
      <c r="B2013" t="s">
        <v>403</v>
      </c>
      <c r="D2013" s="28">
        <v>1</v>
      </c>
      <c r="E2013" t="s">
        <v>74</v>
      </c>
      <c r="G2013">
        <v>167.42</v>
      </c>
      <c r="H2013">
        <v>166.92</v>
      </c>
      <c r="I2013" t="s">
        <v>90</v>
      </c>
      <c r="K2013">
        <f t="shared" si="62"/>
        <v>166.92</v>
      </c>
      <c r="L2013">
        <f t="shared" si="63"/>
        <v>167.42</v>
      </c>
      <c r="M2013" t="s">
        <v>286</v>
      </c>
      <c r="N2013" t="s">
        <v>405</v>
      </c>
      <c r="O2013" s="26">
        <v>44402</v>
      </c>
    </row>
    <row r="2014" spans="1:18" x14ac:dyDescent="0.15">
      <c r="A2014" s="25" t="s">
        <v>402</v>
      </c>
      <c r="B2014" t="s">
        <v>403</v>
      </c>
      <c r="D2014" s="27">
        <v>1</v>
      </c>
      <c r="E2014" t="s">
        <v>74</v>
      </c>
      <c r="G2014">
        <v>174.15</v>
      </c>
      <c r="H2014">
        <v>173.9</v>
      </c>
      <c r="I2014" t="s">
        <v>91</v>
      </c>
      <c r="K2014">
        <f t="shared" si="62"/>
        <v>173.9</v>
      </c>
      <c r="L2014">
        <f t="shared" si="63"/>
        <v>174.15</v>
      </c>
      <c r="M2014" t="s">
        <v>143</v>
      </c>
      <c r="N2014" t="s">
        <v>406</v>
      </c>
      <c r="O2014" s="26">
        <v>44402</v>
      </c>
    </row>
    <row r="2015" spans="1:18" x14ac:dyDescent="0.15">
      <c r="A2015" s="25" t="s">
        <v>402</v>
      </c>
      <c r="B2015" t="s">
        <v>403</v>
      </c>
      <c r="D2015" s="27">
        <v>1</v>
      </c>
      <c r="E2015" t="s">
        <v>74</v>
      </c>
      <c r="G2015">
        <v>174.15</v>
      </c>
      <c r="H2015">
        <v>173.9</v>
      </c>
      <c r="I2015" t="s">
        <v>92</v>
      </c>
      <c r="K2015">
        <f t="shared" si="62"/>
        <v>173.9</v>
      </c>
      <c r="L2015">
        <f t="shared" si="63"/>
        <v>174.15</v>
      </c>
      <c r="M2015" t="s">
        <v>143</v>
      </c>
      <c r="N2015" t="s">
        <v>406</v>
      </c>
      <c r="O2015" s="26">
        <v>44402</v>
      </c>
    </row>
    <row r="2016" spans="1:18" x14ac:dyDescent="0.15">
      <c r="A2016" s="25" t="s">
        <v>402</v>
      </c>
      <c r="B2016" t="s">
        <v>403</v>
      </c>
      <c r="D2016" s="27">
        <v>1</v>
      </c>
      <c r="E2016" t="s">
        <v>74</v>
      </c>
      <c r="G2016">
        <v>174.15</v>
      </c>
      <c r="H2016">
        <v>173.9</v>
      </c>
      <c r="I2016" t="s">
        <v>90</v>
      </c>
      <c r="K2016">
        <f t="shared" si="62"/>
        <v>173.9</v>
      </c>
      <c r="L2016">
        <f t="shared" si="63"/>
        <v>174.15</v>
      </c>
      <c r="M2016" t="s">
        <v>143</v>
      </c>
      <c r="N2016" t="s">
        <v>406</v>
      </c>
      <c r="O2016" s="26">
        <v>44402</v>
      </c>
    </row>
    <row r="2017" spans="1:15" x14ac:dyDescent="0.15">
      <c r="A2017" s="25" t="s">
        <v>402</v>
      </c>
      <c r="B2017" t="s">
        <v>403</v>
      </c>
      <c r="D2017" s="29">
        <v>1</v>
      </c>
      <c r="E2017" t="s">
        <v>74</v>
      </c>
      <c r="G2017">
        <v>177.02500000000001</v>
      </c>
      <c r="H2017">
        <v>176.88</v>
      </c>
      <c r="I2017" t="s">
        <v>91</v>
      </c>
      <c r="K2017">
        <f t="shared" si="62"/>
        <v>176.88</v>
      </c>
      <c r="L2017">
        <f t="shared" si="63"/>
        <v>177.02500000000001</v>
      </c>
      <c r="M2017" t="s">
        <v>286</v>
      </c>
      <c r="N2017" t="s">
        <v>407</v>
      </c>
      <c r="O2017" s="26">
        <v>44402</v>
      </c>
    </row>
    <row r="2018" spans="1:15" x14ac:dyDescent="0.15">
      <c r="A2018" s="25" t="s">
        <v>402</v>
      </c>
      <c r="B2018" t="s">
        <v>403</v>
      </c>
      <c r="D2018" s="27">
        <v>1</v>
      </c>
      <c r="E2018" t="s">
        <v>74</v>
      </c>
      <c r="G2018">
        <v>177.02500000000001</v>
      </c>
      <c r="H2018">
        <v>176.88</v>
      </c>
      <c r="I2018" t="s">
        <v>92</v>
      </c>
      <c r="K2018">
        <f t="shared" si="62"/>
        <v>176.88</v>
      </c>
      <c r="L2018">
        <f t="shared" si="63"/>
        <v>177.02500000000001</v>
      </c>
      <c r="M2018" t="s">
        <v>286</v>
      </c>
      <c r="N2018" t="s">
        <v>407</v>
      </c>
      <c r="O2018" s="26">
        <v>44402</v>
      </c>
    </row>
    <row r="2019" spans="1:15" x14ac:dyDescent="0.15">
      <c r="A2019" s="25" t="s">
        <v>402</v>
      </c>
      <c r="B2019" t="s">
        <v>403</v>
      </c>
      <c r="D2019" s="27">
        <v>1</v>
      </c>
      <c r="E2019" t="s">
        <v>74</v>
      </c>
      <c r="G2019">
        <v>177.02500000000001</v>
      </c>
      <c r="H2019">
        <v>176.88</v>
      </c>
      <c r="I2019" t="s">
        <v>90</v>
      </c>
      <c r="K2019">
        <f t="shared" si="62"/>
        <v>176.88</v>
      </c>
      <c r="L2019">
        <f t="shared" si="63"/>
        <v>177.02500000000001</v>
      </c>
      <c r="M2019" t="s">
        <v>286</v>
      </c>
      <c r="N2019" t="s">
        <v>407</v>
      </c>
      <c r="O2019" s="26">
        <v>44402</v>
      </c>
    </row>
    <row r="2020" spans="1:15" x14ac:dyDescent="0.15">
      <c r="A2020" s="25" t="s">
        <v>402</v>
      </c>
      <c r="B2020" t="s">
        <v>403</v>
      </c>
      <c r="D2020" s="27">
        <v>1</v>
      </c>
      <c r="E2020" t="s">
        <v>74</v>
      </c>
      <c r="G2020">
        <v>176.88</v>
      </c>
      <c r="H2020">
        <v>176.8</v>
      </c>
      <c r="I2020" t="s">
        <v>91</v>
      </c>
      <c r="K2020">
        <f t="shared" si="62"/>
        <v>176.8</v>
      </c>
      <c r="L2020">
        <f t="shared" si="63"/>
        <v>176.88</v>
      </c>
      <c r="M2020" t="s">
        <v>143</v>
      </c>
      <c r="N2020" t="s">
        <v>408</v>
      </c>
      <c r="O2020" s="26">
        <v>44402</v>
      </c>
    </row>
    <row r="2021" spans="1:15" x14ac:dyDescent="0.15">
      <c r="A2021" s="25" t="s">
        <v>402</v>
      </c>
      <c r="B2021" t="s">
        <v>403</v>
      </c>
      <c r="D2021" s="27">
        <v>1</v>
      </c>
      <c r="E2021" t="s">
        <v>74</v>
      </c>
      <c r="G2021">
        <v>176.88</v>
      </c>
      <c r="H2021">
        <v>176.8</v>
      </c>
      <c r="I2021" t="s">
        <v>92</v>
      </c>
      <c r="K2021">
        <f t="shared" si="62"/>
        <v>176.8</v>
      </c>
      <c r="L2021">
        <f t="shared" si="63"/>
        <v>176.88</v>
      </c>
      <c r="M2021" t="s">
        <v>143</v>
      </c>
      <c r="N2021" t="s">
        <v>408</v>
      </c>
      <c r="O2021" s="26">
        <v>44402</v>
      </c>
    </row>
    <row r="2022" spans="1:15" x14ac:dyDescent="0.15">
      <c r="A2022" s="25" t="s">
        <v>402</v>
      </c>
      <c r="B2022" t="s">
        <v>403</v>
      </c>
      <c r="D2022" s="27">
        <v>1</v>
      </c>
      <c r="E2022" t="s">
        <v>74</v>
      </c>
      <c r="G2022">
        <v>176.88</v>
      </c>
      <c r="H2022">
        <v>176.8</v>
      </c>
      <c r="I2022" t="s">
        <v>90</v>
      </c>
      <c r="K2022">
        <f t="shared" si="62"/>
        <v>176.8</v>
      </c>
      <c r="L2022">
        <f t="shared" si="63"/>
        <v>176.88</v>
      </c>
      <c r="M2022" t="s">
        <v>143</v>
      </c>
      <c r="N2022" t="s">
        <v>408</v>
      </c>
      <c r="O2022" s="26">
        <v>44402</v>
      </c>
    </row>
    <row r="2023" spans="1:15" x14ac:dyDescent="0.15">
      <c r="A2023" s="25" t="s">
        <v>402</v>
      </c>
      <c r="B2023" t="s">
        <v>403</v>
      </c>
      <c r="D2023" s="27">
        <v>1</v>
      </c>
      <c r="E2023" t="s">
        <v>74</v>
      </c>
      <c r="G2023">
        <v>176.5</v>
      </c>
      <c r="H2023">
        <v>176.39</v>
      </c>
      <c r="I2023" t="s">
        <v>91</v>
      </c>
      <c r="K2023">
        <f t="shared" si="62"/>
        <v>176.39</v>
      </c>
      <c r="L2023">
        <f t="shared" si="63"/>
        <v>176.5</v>
      </c>
      <c r="M2023" t="s">
        <v>286</v>
      </c>
      <c r="N2023" t="s">
        <v>409</v>
      </c>
      <c r="O2023" s="26">
        <v>44402</v>
      </c>
    </row>
    <row r="2024" spans="1:15" x14ac:dyDescent="0.15">
      <c r="A2024" s="25" t="s">
        <v>402</v>
      </c>
      <c r="B2024" t="s">
        <v>403</v>
      </c>
      <c r="D2024" s="27">
        <v>1</v>
      </c>
      <c r="E2024" t="s">
        <v>74</v>
      </c>
      <c r="G2024">
        <v>176.5</v>
      </c>
      <c r="H2024">
        <v>176.39</v>
      </c>
      <c r="I2024" t="s">
        <v>92</v>
      </c>
      <c r="K2024">
        <f t="shared" si="62"/>
        <v>176.39</v>
      </c>
      <c r="L2024">
        <f t="shared" si="63"/>
        <v>176.5</v>
      </c>
      <c r="M2024" t="s">
        <v>286</v>
      </c>
      <c r="N2024" t="s">
        <v>409</v>
      </c>
      <c r="O2024" s="26">
        <v>44402</v>
      </c>
    </row>
    <row r="2025" spans="1:15" x14ac:dyDescent="0.15">
      <c r="A2025" s="25" t="s">
        <v>402</v>
      </c>
      <c r="B2025" t="s">
        <v>403</v>
      </c>
      <c r="D2025" s="27">
        <v>1</v>
      </c>
      <c r="E2025" t="s">
        <v>74</v>
      </c>
      <c r="G2025">
        <v>176.5</v>
      </c>
      <c r="H2025">
        <v>176.39</v>
      </c>
      <c r="I2025" t="s">
        <v>93</v>
      </c>
      <c r="K2025">
        <f t="shared" si="62"/>
        <v>176.39</v>
      </c>
      <c r="L2025">
        <f t="shared" si="63"/>
        <v>176.5</v>
      </c>
      <c r="M2025" t="s">
        <v>286</v>
      </c>
      <c r="N2025" t="s">
        <v>409</v>
      </c>
      <c r="O2025" s="26">
        <v>44402</v>
      </c>
    </row>
    <row r="2026" spans="1:15" x14ac:dyDescent="0.15">
      <c r="A2026" s="25" t="s">
        <v>402</v>
      </c>
      <c r="B2026" t="s">
        <v>403</v>
      </c>
      <c r="D2026" s="27">
        <v>1</v>
      </c>
      <c r="E2026" t="s">
        <v>74</v>
      </c>
      <c r="G2026">
        <v>176.5</v>
      </c>
      <c r="H2026">
        <v>176.39</v>
      </c>
      <c r="I2026" t="s">
        <v>90</v>
      </c>
      <c r="K2026">
        <f t="shared" si="62"/>
        <v>176.39</v>
      </c>
      <c r="L2026">
        <f t="shared" si="63"/>
        <v>176.5</v>
      </c>
      <c r="M2026" t="s">
        <v>286</v>
      </c>
      <c r="N2026" t="s">
        <v>409</v>
      </c>
      <c r="O2026" s="26">
        <v>44402</v>
      </c>
    </row>
    <row r="2027" spans="1:15" x14ac:dyDescent="0.15">
      <c r="A2027" s="25" t="s">
        <v>402</v>
      </c>
      <c r="B2027" t="s">
        <v>403</v>
      </c>
      <c r="D2027" s="27">
        <v>1</v>
      </c>
      <c r="E2027" t="s">
        <v>74</v>
      </c>
      <c r="G2027">
        <v>176.1</v>
      </c>
      <c r="H2027">
        <v>176.035</v>
      </c>
      <c r="I2027" t="s">
        <v>91</v>
      </c>
      <c r="K2027">
        <f t="shared" si="62"/>
        <v>176.035</v>
      </c>
      <c r="L2027">
        <f t="shared" si="63"/>
        <v>176.1</v>
      </c>
      <c r="M2027" t="s">
        <v>286</v>
      </c>
      <c r="N2027" t="s">
        <v>407</v>
      </c>
      <c r="O2027" s="26">
        <v>44402</v>
      </c>
    </row>
    <row r="2028" spans="1:15" x14ac:dyDescent="0.15">
      <c r="A2028" s="25" t="s">
        <v>402</v>
      </c>
      <c r="B2028" t="s">
        <v>403</v>
      </c>
      <c r="D2028" s="27">
        <v>1</v>
      </c>
      <c r="E2028" t="s">
        <v>74</v>
      </c>
      <c r="G2028">
        <v>176.1</v>
      </c>
      <c r="H2028">
        <v>176.035</v>
      </c>
      <c r="I2028" t="s">
        <v>92</v>
      </c>
      <c r="K2028">
        <f t="shared" si="62"/>
        <v>176.035</v>
      </c>
      <c r="L2028">
        <f t="shared" si="63"/>
        <v>176.1</v>
      </c>
      <c r="M2028" t="s">
        <v>286</v>
      </c>
      <c r="N2028" t="s">
        <v>407</v>
      </c>
      <c r="O2028" s="26">
        <v>44402</v>
      </c>
    </row>
    <row r="2029" spans="1:15" x14ac:dyDescent="0.15">
      <c r="A2029" s="25" t="s">
        <v>402</v>
      </c>
      <c r="B2029" t="s">
        <v>403</v>
      </c>
      <c r="D2029" s="27">
        <v>1</v>
      </c>
      <c r="E2029" t="s">
        <v>74</v>
      </c>
      <c r="G2029">
        <v>176.1</v>
      </c>
      <c r="H2029">
        <v>176.035</v>
      </c>
      <c r="I2029" t="s">
        <v>90</v>
      </c>
      <c r="K2029">
        <f t="shared" si="62"/>
        <v>176.035</v>
      </c>
      <c r="L2029">
        <f t="shared" si="63"/>
        <v>176.1</v>
      </c>
      <c r="M2029" t="s">
        <v>286</v>
      </c>
      <c r="N2029" t="s">
        <v>407</v>
      </c>
      <c r="O2029" s="26">
        <v>44402</v>
      </c>
    </row>
    <row r="2030" spans="1:15" x14ac:dyDescent="0.15">
      <c r="A2030" s="25" t="s">
        <v>402</v>
      </c>
      <c r="B2030" t="s">
        <v>403</v>
      </c>
      <c r="D2030" s="29">
        <v>1</v>
      </c>
      <c r="E2030" t="s">
        <v>76</v>
      </c>
      <c r="F2030" t="s">
        <v>80</v>
      </c>
      <c r="G2030">
        <v>169.65</v>
      </c>
      <c r="H2030">
        <v>169.55</v>
      </c>
      <c r="I2030" t="s">
        <v>91</v>
      </c>
      <c r="K2030">
        <f t="shared" si="62"/>
        <v>169.55</v>
      </c>
      <c r="L2030">
        <f t="shared" si="63"/>
        <v>169.65</v>
      </c>
      <c r="M2030" t="s">
        <v>28</v>
      </c>
      <c r="N2030" t="s">
        <v>410</v>
      </c>
      <c r="O2030" s="26">
        <v>44402</v>
      </c>
    </row>
    <row r="2031" spans="1:15" x14ac:dyDescent="0.15">
      <c r="A2031" s="25" t="s">
        <v>402</v>
      </c>
      <c r="B2031" t="s">
        <v>403</v>
      </c>
      <c r="D2031" s="27">
        <v>1</v>
      </c>
      <c r="E2031" t="s">
        <v>74</v>
      </c>
      <c r="G2031">
        <v>169.97</v>
      </c>
      <c r="H2031">
        <v>169.85</v>
      </c>
      <c r="I2031" t="s">
        <v>91</v>
      </c>
      <c r="K2031">
        <f t="shared" si="62"/>
        <v>169.85</v>
      </c>
      <c r="L2031">
        <f t="shared" si="63"/>
        <v>169.97</v>
      </c>
      <c r="M2031" t="s">
        <v>143</v>
      </c>
      <c r="N2031" t="s">
        <v>406</v>
      </c>
      <c r="O2031" s="26">
        <v>44402</v>
      </c>
    </row>
    <row r="2032" spans="1:15" x14ac:dyDescent="0.15">
      <c r="A2032" s="25" t="s">
        <v>402</v>
      </c>
      <c r="B2032" t="s">
        <v>403</v>
      </c>
      <c r="D2032" s="27">
        <v>1</v>
      </c>
      <c r="E2032" t="s">
        <v>74</v>
      </c>
      <c r="G2032">
        <v>169.97</v>
      </c>
      <c r="H2032">
        <v>169.85</v>
      </c>
      <c r="I2032" t="s">
        <v>92</v>
      </c>
      <c r="K2032">
        <f t="shared" si="62"/>
        <v>169.85</v>
      </c>
      <c r="L2032">
        <f t="shared" si="63"/>
        <v>169.97</v>
      </c>
      <c r="M2032" t="s">
        <v>143</v>
      </c>
      <c r="N2032" t="s">
        <v>406</v>
      </c>
      <c r="O2032" s="26">
        <v>44402</v>
      </c>
    </row>
    <row r="2033" spans="1:15" x14ac:dyDescent="0.15">
      <c r="A2033" s="25" t="s">
        <v>402</v>
      </c>
      <c r="B2033" t="s">
        <v>403</v>
      </c>
      <c r="D2033" s="27">
        <v>1</v>
      </c>
      <c r="E2033" t="s">
        <v>74</v>
      </c>
      <c r="G2033">
        <v>169.97</v>
      </c>
      <c r="H2033">
        <v>169.85</v>
      </c>
      <c r="I2033" t="s">
        <v>93</v>
      </c>
      <c r="K2033">
        <f t="shared" si="62"/>
        <v>169.85</v>
      </c>
      <c r="L2033">
        <f t="shared" si="63"/>
        <v>169.97</v>
      </c>
      <c r="M2033" t="s">
        <v>143</v>
      </c>
      <c r="N2033" t="s">
        <v>406</v>
      </c>
      <c r="O2033" s="26">
        <v>44402</v>
      </c>
    </row>
    <row r="2034" spans="1:15" x14ac:dyDescent="0.15">
      <c r="A2034" s="25" t="s">
        <v>402</v>
      </c>
      <c r="B2034" t="s">
        <v>403</v>
      </c>
      <c r="D2034" s="27">
        <v>1</v>
      </c>
      <c r="E2034" t="s">
        <v>74</v>
      </c>
      <c r="G2034">
        <v>169.97</v>
      </c>
      <c r="H2034">
        <v>169.85</v>
      </c>
      <c r="I2034" t="s">
        <v>90</v>
      </c>
      <c r="K2034">
        <f t="shared" si="62"/>
        <v>169.85</v>
      </c>
      <c r="L2034">
        <f t="shared" si="63"/>
        <v>169.97</v>
      </c>
      <c r="M2034" t="s">
        <v>143</v>
      </c>
      <c r="N2034" t="s">
        <v>406</v>
      </c>
      <c r="O2034" s="26">
        <v>44402</v>
      </c>
    </row>
    <row r="2035" spans="1:15" x14ac:dyDescent="0.15">
      <c r="A2035" s="25" t="s">
        <v>402</v>
      </c>
      <c r="B2035" t="s">
        <v>403</v>
      </c>
      <c r="D2035" s="29">
        <v>1</v>
      </c>
      <c r="E2035" t="s">
        <v>75</v>
      </c>
      <c r="G2035">
        <v>166.78</v>
      </c>
      <c r="H2035">
        <v>167.42</v>
      </c>
      <c r="I2035" t="s">
        <v>96</v>
      </c>
      <c r="K2035">
        <f t="shared" si="62"/>
        <v>166.78</v>
      </c>
      <c r="L2035">
        <f t="shared" si="63"/>
        <v>167.42</v>
      </c>
      <c r="M2035" t="s">
        <v>27</v>
      </c>
      <c r="N2035" s="36" t="s">
        <v>411</v>
      </c>
      <c r="O2035" s="26">
        <v>44388</v>
      </c>
    </row>
    <row r="2036" spans="1:15" x14ac:dyDescent="0.15">
      <c r="A2036" s="25" t="s">
        <v>402</v>
      </c>
      <c r="B2036" t="s">
        <v>403</v>
      </c>
      <c r="D2036" s="27">
        <v>1</v>
      </c>
      <c r="E2036" t="s">
        <v>75</v>
      </c>
      <c r="G2036">
        <v>166.78</v>
      </c>
      <c r="H2036">
        <v>167.42</v>
      </c>
      <c r="I2036" t="s">
        <v>94</v>
      </c>
      <c r="K2036">
        <f t="shared" si="62"/>
        <v>166.78</v>
      </c>
      <c r="L2036">
        <f t="shared" si="63"/>
        <v>167.42</v>
      </c>
      <c r="M2036" t="s">
        <v>27</v>
      </c>
      <c r="N2036" s="36" t="s">
        <v>411</v>
      </c>
      <c r="O2036" s="26">
        <v>44388</v>
      </c>
    </row>
    <row r="2037" spans="1:15" x14ac:dyDescent="0.15">
      <c r="A2037" s="25" t="s">
        <v>402</v>
      </c>
      <c r="B2037" t="s">
        <v>403</v>
      </c>
      <c r="D2037" s="27">
        <v>1</v>
      </c>
      <c r="E2037" t="s">
        <v>75</v>
      </c>
      <c r="G2037">
        <v>166.78</v>
      </c>
      <c r="H2037">
        <v>167.215</v>
      </c>
      <c r="I2037" t="s">
        <v>98</v>
      </c>
      <c r="K2037">
        <f t="shared" si="62"/>
        <v>166.78</v>
      </c>
      <c r="L2037">
        <f t="shared" si="63"/>
        <v>167.215</v>
      </c>
      <c r="M2037" t="s">
        <v>27</v>
      </c>
      <c r="N2037" s="36" t="s">
        <v>411</v>
      </c>
      <c r="O2037" s="26">
        <v>44388</v>
      </c>
    </row>
    <row r="2038" spans="1:15" x14ac:dyDescent="0.15">
      <c r="A2038" s="25" t="s">
        <v>402</v>
      </c>
      <c r="B2038" t="s">
        <v>403</v>
      </c>
      <c r="D2038" s="28">
        <v>1</v>
      </c>
      <c r="E2038" t="s">
        <v>75</v>
      </c>
      <c r="G2038">
        <v>166.78</v>
      </c>
      <c r="H2038">
        <v>167.42</v>
      </c>
      <c r="I2038" t="s">
        <v>97</v>
      </c>
      <c r="K2038">
        <f t="shared" si="62"/>
        <v>166.78</v>
      </c>
      <c r="L2038">
        <f t="shared" si="63"/>
        <v>167.42</v>
      </c>
      <c r="M2038" t="s">
        <v>27</v>
      </c>
      <c r="N2038" s="36" t="s">
        <v>411</v>
      </c>
      <c r="O2038" s="26">
        <v>44388</v>
      </c>
    </row>
    <row r="2039" spans="1:15" x14ac:dyDescent="0.15">
      <c r="A2039" s="25" t="s">
        <v>402</v>
      </c>
      <c r="B2039" t="s">
        <v>403</v>
      </c>
      <c r="D2039" s="27">
        <v>1</v>
      </c>
      <c r="E2039" t="s">
        <v>75</v>
      </c>
      <c r="G2039">
        <v>174.07499999999999</v>
      </c>
      <c r="H2039">
        <v>174.5</v>
      </c>
      <c r="I2039" t="s">
        <v>96</v>
      </c>
      <c r="K2039">
        <f t="shared" si="62"/>
        <v>174.07499999999999</v>
      </c>
      <c r="L2039">
        <f t="shared" si="63"/>
        <v>174.5</v>
      </c>
      <c r="N2039" s="41" t="s">
        <v>412</v>
      </c>
      <c r="O2039" s="26">
        <v>44388</v>
      </c>
    </row>
    <row r="2040" spans="1:15" x14ac:dyDescent="0.15">
      <c r="A2040" s="25" t="s">
        <v>402</v>
      </c>
      <c r="B2040" t="s">
        <v>403</v>
      </c>
      <c r="D2040" s="27">
        <v>1</v>
      </c>
      <c r="E2040" t="s">
        <v>75</v>
      </c>
      <c r="G2040">
        <v>174.07499999999999</v>
      </c>
      <c r="H2040">
        <v>174.32499999999999</v>
      </c>
      <c r="I2040" t="s">
        <v>94</v>
      </c>
      <c r="K2040">
        <f t="shared" si="62"/>
        <v>174.07499999999999</v>
      </c>
      <c r="L2040">
        <f t="shared" si="63"/>
        <v>174.32499999999999</v>
      </c>
      <c r="N2040" s="41" t="s">
        <v>412</v>
      </c>
      <c r="O2040" s="26">
        <v>44388</v>
      </c>
    </row>
    <row r="2041" spans="1:15" x14ac:dyDescent="0.15">
      <c r="A2041" s="25" t="s">
        <v>402</v>
      </c>
      <c r="B2041" t="s">
        <v>403</v>
      </c>
      <c r="D2041" s="27">
        <v>1</v>
      </c>
      <c r="E2041" t="s">
        <v>75</v>
      </c>
      <c r="G2041">
        <v>174.07499999999999</v>
      </c>
      <c r="H2041">
        <v>174.32499999999999</v>
      </c>
      <c r="I2041" t="s">
        <v>97</v>
      </c>
      <c r="K2041">
        <f t="shared" si="62"/>
        <v>174.07499999999999</v>
      </c>
      <c r="L2041">
        <f t="shared" si="63"/>
        <v>174.32499999999999</v>
      </c>
      <c r="N2041" s="41" t="s">
        <v>412</v>
      </c>
      <c r="O2041" s="26">
        <v>44388</v>
      </c>
    </row>
    <row r="2042" spans="1:15" x14ac:dyDescent="0.15">
      <c r="A2042" s="25" t="s">
        <v>402</v>
      </c>
      <c r="B2042" t="s">
        <v>403</v>
      </c>
      <c r="D2042" s="31">
        <v>1</v>
      </c>
      <c r="E2042" t="s">
        <v>75</v>
      </c>
      <c r="G2042">
        <v>169.86</v>
      </c>
      <c r="H2042">
        <v>170</v>
      </c>
      <c r="I2042" t="s">
        <v>96</v>
      </c>
      <c r="K2042">
        <f t="shared" si="62"/>
        <v>169.86</v>
      </c>
      <c r="L2042">
        <f t="shared" si="63"/>
        <v>170</v>
      </c>
      <c r="M2042" t="s">
        <v>25</v>
      </c>
      <c r="N2042" t="s">
        <v>413</v>
      </c>
      <c r="O2042" s="26">
        <v>44388</v>
      </c>
    </row>
    <row r="2043" spans="1:15" x14ac:dyDescent="0.15">
      <c r="A2043" s="25" t="s">
        <v>402</v>
      </c>
      <c r="B2043" t="s">
        <v>403</v>
      </c>
      <c r="D2043" s="27">
        <v>1</v>
      </c>
      <c r="E2043" t="s">
        <v>75</v>
      </c>
      <c r="G2043">
        <v>169.86</v>
      </c>
      <c r="H2043">
        <v>170</v>
      </c>
      <c r="I2043" t="s">
        <v>94</v>
      </c>
      <c r="K2043">
        <f t="shared" si="62"/>
        <v>169.86</v>
      </c>
      <c r="L2043">
        <f t="shared" si="63"/>
        <v>170</v>
      </c>
      <c r="M2043" t="s">
        <v>25</v>
      </c>
      <c r="N2043" t="s">
        <v>413</v>
      </c>
      <c r="O2043" s="26">
        <v>44388</v>
      </c>
    </row>
    <row r="2044" spans="1:15" x14ac:dyDescent="0.15">
      <c r="A2044" s="25" t="s">
        <v>402</v>
      </c>
      <c r="B2044" t="s">
        <v>403</v>
      </c>
      <c r="D2044" s="27">
        <v>1</v>
      </c>
      <c r="E2044" t="s">
        <v>75</v>
      </c>
      <c r="G2044">
        <v>169.75</v>
      </c>
      <c r="H2044">
        <v>170</v>
      </c>
      <c r="I2044" t="s">
        <v>22</v>
      </c>
      <c r="K2044">
        <f t="shared" si="62"/>
        <v>169.75</v>
      </c>
      <c r="L2044">
        <f t="shared" si="63"/>
        <v>170</v>
      </c>
      <c r="M2044" t="s">
        <v>25</v>
      </c>
      <c r="N2044" t="s">
        <v>413</v>
      </c>
      <c r="O2044" s="26">
        <v>44388</v>
      </c>
    </row>
    <row r="2045" spans="1:15" x14ac:dyDescent="0.15">
      <c r="A2045" s="25" t="s">
        <v>402</v>
      </c>
      <c r="B2045" t="s">
        <v>403</v>
      </c>
      <c r="D2045" s="31">
        <v>1</v>
      </c>
      <c r="E2045" t="s">
        <v>75</v>
      </c>
      <c r="G2045">
        <v>169.75</v>
      </c>
      <c r="H2045">
        <v>170</v>
      </c>
      <c r="I2045" t="s">
        <v>97</v>
      </c>
      <c r="K2045">
        <f t="shared" si="62"/>
        <v>169.75</v>
      </c>
      <c r="L2045">
        <f t="shared" si="63"/>
        <v>170</v>
      </c>
      <c r="M2045" t="s">
        <v>25</v>
      </c>
      <c r="N2045" t="s">
        <v>413</v>
      </c>
      <c r="O2045" s="26">
        <v>44388</v>
      </c>
    </row>
    <row r="2046" spans="1:15" x14ac:dyDescent="0.15">
      <c r="A2046" s="25" t="s">
        <v>402</v>
      </c>
      <c r="B2046" t="s">
        <v>403</v>
      </c>
      <c r="D2046" s="31">
        <v>1</v>
      </c>
      <c r="E2046" t="s">
        <v>75</v>
      </c>
      <c r="G2046">
        <v>176.5</v>
      </c>
      <c r="H2046">
        <v>176.6</v>
      </c>
      <c r="I2046" t="s">
        <v>96</v>
      </c>
      <c r="K2046">
        <f t="shared" si="62"/>
        <v>176.5</v>
      </c>
      <c r="L2046">
        <f t="shared" si="63"/>
        <v>176.6</v>
      </c>
      <c r="M2046" t="s">
        <v>143</v>
      </c>
      <c r="N2046" t="s">
        <v>414</v>
      </c>
      <c r="O2046" s="26">
        <v>44388</v>
      </c>
    </row>
    <row r="2047" spans="1:15" x14ac:dyDescent="0.15">
      <c r="A2047" s="25" t="s">
        <v>402</v>
      </c>
      <c r="B2047" t="s">
        <v>403</v>
      </c>
      <c r="D2047" s="27">
        <v>1</v>
      </c>
      <c r="E2047" t="s">
        <v>75</v>
      </c>
      <c r="G2047">
        <v>176.5</v>
      </c>
      <c r="H2047">
        <v>176.6</v>
      </c>
      <c r="I2047" t="s">
        <v>94</v>
      </c>
      <c r="K2047">
        <f t="shared" si="62"/>
        <v>176.5</v>
      </c>
      <c r="L2047">
        <f t="shared" si="63"/>
        <v>176.6</v>
      </c>
      <c r="M2047" t="s">
        <v>143</v>
      </c>
      <c r="N2047" t="s">
        <v>414</v>
      </c>
      <c r="O2047" s="26">
        <v>44388</v>
      </c>
    </row>
    <row r="2048" spans="1:15" x14ac:dyDescent="0.15">
      <c r="A2048" s="25" t="s">
        <v>402</v>
      </c>
      <c r="B2048" t="s">
        <v>403</v>
      </c>
      <c r="D2048" s="27">
        <v>1</v>
      </c>
      <c r="E2048" t="s">
        <v>75</v>
      </c>
      <c r="G2048">
        <v>176.5</v>
      </c>
      <c r="H2048">
        <v>176.6</v>
      </c>
      <c r="I2048" t="s">
        <v>97</v>
      </c>
      <c r="K2048">
        <f t="shared" si="62"/>
        <v>176.5</v>
      </c>
      <c r="L2048">
        <f t="shared" si="63"/>
        <v>176.6</v>
      </c>
      <c r="M2048" t="s">
        <v>143</v>
      </c>
      <c r="N2048" t="s">
        <v>414</v>
      </c>
      <c r="O2048" s="26">
        <v>44388</v>
      </c>
    </row>
    <row r="2049" spans="1:15" x14ac:dyDescent="0.15">
      <c r="A2049" s="25" t="s">
        <v>402</v>
      </c>
      <c r="B2049" t="s">
        <v>403</v>
      </c>
      <c r="D2049" s="27">
        <v>1</v>
      </c>
      <c r="E2049" t="s">
        <v>75</v>
      </c>
      <c r="G2049">
        <v>176.4</v>
      </c>
      <c r="H2049">
        <v>176.5</v>
      </c>
      <c r="I2049" t="s">
        <v>96</v>
      </c>
      <c r="K2049">
        <f t="shared" ref="K2049:K2076" si="64">MIN(G2049:H2049)</f>
        <v>176.4</v>
      </c>
      <c r="L2049">
        <f t="shared" ref="L2049:L2076" si="65">MAX(G2049:H2049)</f>
        <v>176.5</v>
      </c>
      <c r="M2049" t="s">
        <v>286</v>
      </c>
      <c r="N2049" t="s">
        <v>415</v>
      </c>
      <c r="O2049" s="26">
        <v>44388</v>
      </c>
    </row>
    <row r="2050" spans="1:15" x14ac:dyDescent="0.15">
      <c r="A2050" s="25" t="s">
        <v>402</v>
      </c>
      <c r="B2050" t="s">
        <v>403</v>
      </c>
      <c r="D2050" s="27">
        <v>1</v>
      </c>
      <c r="E2050" t="s">
        <v>75</v>
      </c>
      <c r="G2050">
        <v>176.4</v>
      </c>
      <c r="H2050">
        <v>176.5</v>
      </c>
      <c r="I2050" t="s">
        <v>94</v>
      </c>
      <c r="K2050">
        <f t="shared" si="64"/>
        <v>176.4</v>
      </c>
      <c r="L2050">
        <f t="shared" si="65"/>
        <v>176.5</v>
      </c>
      <c r="M2050" t="s">
        <v>286</v>
      </c>
      <c r="N2050" t="s">
        <v>415</v>
      </c>
      <c r="O2050" s="26">
        <v>44388</v>
      </c>
    </row>
    <row r="2051" spans="1:15" x14ac:dyDescent="0.15">
      <c r="A2051" s="25" t="s">
        <v>402</v>
      </c>
      <c r="B2051" t="s">
        <v>403</v>
      </c>
      <c r="D2051" s="27">
        <v>1</v>
      </c>
      <c r="E2051" t="s">
        <v>75</v>
      </c>
      <c r="G2051">
        <v>176.4</v>
      </c>
      <c r="H2051">
        <v>176.5</v>
      </c>
      <c r="I2051" t="s">
        <v>97</v>
      </c>
      <c r="K2051">
        <f t="shared" si="64"/>
        <v>176.4</v>
      </c>
      <c r="L2051">
        <f t="shared" si="65"/>
        <v>176.5</v>
      </c>
      <c r="M2051" t="s">
        <v>286</v>
      </c>
      <c r="N2051" t="s">
        <v>415</v>
      </c>
      <c r="O2051" s="26">
        <v>44388</v>
      </c>
    </row>
    <row r="2052" spans="1:15" x14ac:dyDescent="0.15">
      <c r="A2052" s="25" t="s">
        <v>402</v>
      </c>
      <c r="B2052" t="s">
        <v>403</v>
      </c>
      <c r="D2052" s="27">
        <v>1</v>
      </c>
      <c r="E2052" t="s">
        <v>75</v>
      </c>
      <c r="G2052">
        <v>176</v>
      </c>
      <c r="H2052">
        <v>176.1</v>
      </c>
      <c r="I2052" t="s">
        <v>96</v>
      </c>
      <c r="K2052">
        <f t="shared" si="64"/>
        <v>176</v>
      </c>
      <c r="L2052">
        <f t="shared" si="65"/>
        <v>176.1</v>
      </c>
      <c r="M2052" t="s">
        <v>286</v>
      </c>
      <c r="N2052" t="s">
        <v>415</v>
      </c>
      <c r="O2052" s="26">
        <v>44388</v>
      </c>
    </row>
    <row r="2053" spans="1:15" x14ac:dyDescent="0.15">
      <c r="A2053" s="25" t="s">
        <v>402</v>
      </c>
      <c r="B2053" t="s">
        <v>403</v>
      </c>
      <c r="D2053" s="27">
        <v>1</v>
      </c>
      <c r="E2053" t="s">
        <v>75</v>
      </c>
      <c r="G2053">
        <v>176</v>
      </c>
      <c r="H2053">
        <v>176.1</v>
      </c>
      <c r="I2053" t="s">
        <v>94</v>
      </c>
      <c r="K2053">
        <f t="shared" si="64"/>
        <v>176</v>
      </c>
      <c r="L2053">
        <f t="shared" si="65"/>
        <v>176.1</v>
      </c>
      <c r="M2053" t="s">
        <v>286</v>
      </c>
      <c r="N2053" t="s">
        <v>415</v>
      </c>
      <c r="O2053" s="26">
        <v>44388</v>
      </c>
    </row>
    <row r="2054" spans="1:15" x14ac:dyDescent="0.15">
      <c r="A2054" s="25" t="s">
        <v>402</v>
      </c>
      <c r="B2054" t="s">
        <v>403</v>
      </c>
      <c r="D2054" s="27">
        <v>1</v>
      </c>
      <c r="E2054" t="s">
        <v>75</v>
      </c>
      <c r="G2054">
        <v>175.95</v>
      </c>
      <c r="H2054">
        <v>176.1</v>
      </c>
      <c r="I2054" t="s">
        <v>22</v>
      </c>
      <c r="K2054">
        <f t="shared" si="64"/>
        <v>175.95</v>
      </c>
      <c r="L2054">
        <f t="shared" si="65"/>
        <v>176.1</v>
      </c>
      <c r="M2054" t="s">
        <v>286</v>
      </c>
      <c r="N2054" t="s">
        <v>415</v>
      </c>
      <c r="O2054" s="26">
        <v>44388</v>
      </c>
    </row>
    <row r="2055" spans="1:15" x14ac:dyDescent="0.15">
      <c r="A2055" s="25" t="s">
        <v>402</v>
      </c>
      <c r="B2055" t="s">
        <v>403</v>
      </c>
      <c r="D2055" s="31">
        <v>1</v>
      </c>
      <c r="E2055" t="s">
        <v>75</v>
      </c>
      <c r="G2055">
        <v>175.95</v>
      </c>
      <c r="H2055">
        <v>176.1</v>
      </c>
      <c r="I2055" t="s">
        <v>97</v>
      </c>
      <c r="K2055">
        <f t="shared" si="64"/>
        <v>175.95</v>
      </c>
      <c r="L2055">
        <f t="shared" si="65"/>
        <v>176.1</v>
      </c>
      <c r="M2055" t="s">
        <v>286</v>
      </c>
      <c r="N2055" t="s">
        <v>415</v>
      </c>
      <c r="O2055" s="26">
        <v>44388</v>
      </c>
    </row>
    <row r="2056" spans="1:15" x14ac:dyDescent="0.15">
      <c r="A2056" s="25" t="s">
        <v>402</v>
      </c>
      <c r="B2056" t="s">
        <v>403</v>
      </c>
      <c r="D2056" s="31">
        <v>1</v>
      </c>
      <c r="E2056" t="s">
        <v>75</v>
      </c>
      <c r="G2056">
        <v>177.01</v>
      </c>
      <c r="H2056">
        <v>176.88</v>
      </c>
      <c r="I2056" t="s">
        <v>96</v>
      </c>
      <c r="K2056">
        <f t="shared" si="64"/>
        <v>176.88</v>
      </c>
      <c r="L2056">
        <f t="shared" si="65"/>
        <v>177.01</v>
      </c>
      <c r="M2056" t="s">
        <v>286</v>
      </c>
      <c r="N2056" t="s">
        <v>416</v>
      </c>
      <c r="O2056" s="26">
        <v>44388</v>
      </c>
    </row>
    <row r="2057" spans="1:15" x14ac:dyDescent="0.15">
      <c r="A2057" s="25" t="s">
        <v>402</v>
      </c>
      <c r="B2057" t="s">
        <v>403</v>
      </c>
      <c r="D2057" s="27">
        <v>1</v>
      </c>
      <c r="E2057" t="s">
        <v>75</v>
      </c>
      <c r="G2057">
        <v>177.01</v>
      </c>
      <c r="H2057">
        <v>176.88</v>
      </c>
      <c r="I2057" t="s">
        <v>94</v>
      </c>
      <c r="K2057">
        <f t="shared" si="64"/>
        <v>176.88</v>
      </c>
      <c r="L2057">
        <f t="shared" si="65"/>
        <v>177.01</v>
      </c>
      <c r="M2057" t="s">
        <v>286</v>
      </c>
      <c r="N2057" t="s">
        <v>416</v>
      </c>
      <c r="O2057" s="26">
        <v>44388</v>
      </c>
    </row>
    <row r="2058" spans="1:15" x14ac:dyDescent="0.15">
      <c r="A2058" s="25" t="s">
        <v>402</v>
      </c>
      <c r="B2058" t="s">
        <v>403</v>
      </c>
      <c r="D2058" s="27">
        <v>1</v>
      </c>
      <c r="E2058" t="s">
        <v>75</v>
      </c>
      <c r="G2058">
        <v>177.01</v>
      </c>
      <c r="H2058">
        <v>176.88</v>
      </c>
      <c r="I2058" t="s">
        <v>97</v>
      </c>
      <c r="K2058">
        <f t="shared" si="64"/>
        <v>176.88</v>
      </c>
      <c r="L2058">
        <f t="shared" si="65"/>
        <v>177.01</v>
      </c>
      <c r="M2058" t="s">
        <v>286</v>
      </c>
      <c r="N2058" t="s">
        <v>416</v>
      </c>
      <c r="O2058" s="26">
        <v>44388</v>
      </c>
    </row>
    <row r="2059" spans="1:15" x14ac:dyDescent="0.15">
      <c r="A2059" s="25" t="s">
        <v>402</v>
      </c>
      <c r="B2059" t="s">
        <v>403</v>
      </c>
      <c r="D2059" s="27">
        <v>1</v>
      </c>
      <c r="E2059" t="s">
        <v>75</v>
      </c>
      <c r="G2059">
        <v>177.2</v>
      </c>
      <c r="H2059">
        <v>177.01</v>
      </c>
      <c r="I2059" t="s">
        <v>94</v>
      </c>
      <c r="K2059">
        <f t="shared" si="64"/>
        <v>177.01</v>
      </c>
      <c r="L2059">
        <f t="shared" si="65"/>
        <v>177.2</v>
      </c>
      <c r="M2059" t="s">
        <v>143</v>
      </c>
      <c r="N2059" t="s">
        <v>414</v>
      </c>
      <c r="O2059" s="26">
        <v>44388</v>
      </c>
    </row>
    <row r="2060" spans="1:15" x14ac:dyDescent="0.15">
      <c r="A2060" s="25" t="s">
        <v>402</v>
      </c>
      <c r="B2060" t="s">
        <v>403</v>
      </c>
      <c r="D2060" s="27">
        <v>1</v>
      </c>
      <c r="E2060" t="s">
        <v>75</v>
      </c>
      <c r="G2060">
        <v>177.3</v>
      </c>
      <c r="H2060">
        <v>177.2</v>
      </c>
      <c r="I2060" t="s">
        <v>96</v>
      </c>
      <c r="K2060">
        <f t="shared" si="64"/>
        <v>177.2</v>
      </c>
      <c r="L2060">
        <f t="shared" si="65"/>
        <v>177.3</v>
      </c>
      <c r="M2060" t="s">
        <v>143</v>
      </c>
      <c r="N2060" t="s">
        <v>414</v>
      </c>
      <c r="O2060" s="26">
        <v>44388</v>
      </c>
    </row>
    <row r="2061" spans="1:15" x14ac:dyDescent="0.15">
      <c r="A2061" s="25" t="s">
        <v>402</v>
      </c>
      <c r="B2061" t="s">
        <v>403</v>
      </c>
      <c r="D2061" s="27">
        <v>1</v>
      </c>
      <c r="E2061" t="s">
        <v>75</v>
      </c>
      <c r="G2061">
        <v>177.3</v>
      </c>
      <c r="H2061">
        <v>177.2</v>
      </c>
      <c r="I2061" t="s">
        <v>94</v>
      </c>
      <c r="K2061">
        <f t="shared" si="64"/>
        <v>177.2</v>
      </c>
      <c r="L2061">
        <f t="shared" si="65"/>
        <v>177.3</v>
      </c>
      <c r="M2061" t="s">
        <v>143</v>
      </c>
      <c r="N2061" t="s">
        <v>414</v>
      </c>
      <c r="O2061" s="26">
        <v>44388</v>
      </c>
    </row>
    <row r="2062" spans="1:15" x14ac:dyDescent="0.15">
      <c r="A2062" s="25" t="s">
        <v>402</v>
      </c>
      <c r="B2062" t="s">
        <v>403</v>
      </c>
      <c r="D2062" s="27">
        <v>1</v>
      </c>
      <c r="E2062" t="s">
        <v>75</v>
      </c>
      <c r="G2062">
        <v>177.3</v>
      </c>
      <c r="H2062">
        <v>177.2</v>
      </c>
      <c r="I2062" t="s">
        <v>97</v>
      </c>
      <c r="K2062">
        <f t="shared" si="64"/>
        <v>177.2</v>
      </c>
      <c r="L2062">
        <f t="shared" si="65"/>
        <v>177.3</v>
      </c>
      <c r="M2062" t="s">
        <v>143</v>
      </c>
      <c r="N2062" t="s">
        <v>414</v>
      </c>
      <c r="O2062" s="26">
        <v>44388</v>
      </c>
    </row>
    <row r="2063" spans="1:15" x14ac:dyDescent="0.15">
      <c r="A2063" s="25" t="s">
        <v>402</v>
      </c>
      <c r="B2063" t="s">
        <v>403</v>
      </c>
      <c r="D2063" s="30">
        <v>35</v>
      </c>
      <c r="E2063" t="s">
        <v>75</v>
      </c>
      <c r="G2063">
        <v>36.475000000000001</v>
      </c>
      <c r="H2063">
        <v>37.075000000000003</v>
      </c>
      <c r="I2063" t="s">
        <v>96</v>
      </c>
      <c r="K2063">
        <f t="shared" si="64"/>
        <v>36.475000000000001</v>
      </c>
      <c r="L2063">
        <f t="shared" si="65"/>
        <v>37.075000000000003</v>
      </c>
      <c r="M2063" t="s">
        <v>420</v>
      </c>
      <c r="N2063" t="s">
        <v>410</v>
      </c>
      <c r="O2063" s="26">
        <v>44541</v>
      </c>
    </row>
    <row r="2064" spans="1:15" x14ac:dyDescent="0.15">
      <c r="A2064" s="25" t="s">
        <v>402</v>
      </c>
      <c r="B2064" t="s">
        <v>403</v>
      </c>
      <c r="D2064" s="30">
        <v>35</v>
      </c>
      <c r="E2064" t="s">
        <v>75</v>
      </c>
      <c r="G2064">
        <v>35.78</v>
      </c>
      <c r="H2064">
        <v>36</v>
      </c>
      <c r="I2064" t="s">
        <v>94</v>
      </c>
      <c r="K2064">
        <f t="shared" si="64"/>
        <v>35.78</v>
      </c>
      <c r="L2064">
        <f t="shared" si="65"/>
        <v>36</v>
      </c>
      <c r="M2064" t="s">
        <v>421</v>
      </c>
      <c r="N2064" t="s">
        <v>417</v>
      </c>
      <c r="O2064" s="26">
        <v>44541</v>
      </c>
    </row>
    <row r="2065" spans="1:19" x14ac:dyDescent="0.15">
      <c r="A2065" s="25" t="s">
        <v>402</v>
      </c>
      <c r="B2065" t="s">
        <v>403</v>
      </c>
      <c r="D2065" s="30">
        <v>35</v>
      </c>
      <c r="E2065" t="s">
        <v>404</v>
      </c>
      <c r="G2065">
        <v>37.475000000000001</v>
      </c>
      <c r="H2065">
        <v>37.585000000000001</v>
      </c>
      <c r="I2065" t="s">
        <v>96</v>
      </c>
      <c r="K2065">
        <f t="shared" si="64"/>
        <v>37.475000000000001</v>
      </c>
      <c r="L2065">
        <f t="shared" si="65"/>
        <v>37.585000000000001</v>
      </c>
      <c r="M2065" t="s">
        <v>420</v>
      </c>
      <c r="N2065" t="s">
        <v>418</v>
      </c>
      <c r="O2065" s="26">
        <v>44541</v>
      </c>
    </row>
    <row r="2066" spans="1:19" x14ac:dyDescent="0.15">
      <c r="A2066" s="25" t="s">
        <v>402</v>
      </c>
      <c r="B2066" t="s">
        <v>403</v>
      </c>
      <c r="D2066" s="30">
        <v>35</v>
      </c>
      <c r="E2066" t="s">
        <v>404</v>
      </c>
      <c r="G2066">
        <v>37.475000000000001</v>
      </c>
      <c r="H2066">
        <v>37.585000000000001</v>
      </c>
      <c r="I2066" t="s">
        <v>91</v>
      </c>
      <c r="K2066">
        <f t="shared" si="64"/>
        <v>37.475000000000001</v>
      </c>
      <c r="L2066">
        <f t="shared" si="65"/>
        <v>37.585000000000001</v>
      </c>
      <c r="M2066" t="s">
        <v>420</v>
      </c>
      <c r="N2066" t="s">
        <v>418</v>
      </c>
      <c r="O2066" s="26">
        <v>44541</v>
      </c>
    </row>
    <row r="2067" spans="1:19" x14ac:dyDescent="0.15">
      <c r="A2067" s="25" t="s">
        <v>402</v>
      </c>
      <c r="B2067" t="s">
        <v>403</v>
      </c>
      <c r="D2067" s="32">
        <v>35</v>
      </c>
      <c r="E2067" t="s">
        <v>76</v>
      </c>
      <c r="F2067" t="s">
        <v>82</v>
      </c>
      <c r="G2067">
        <v>43.62</v>
      </c>
      <c r="H2067">
        <v>43.91</v>
      </c>
      <c r="I2067" t="s">
        <v>96</v>
      </c>
      <c r="K2067">
        <f t="shared" si="64"/>
        <v>43.62</v>
      </c>
      <c r="L2067">
        <f t="shared" si="65"/>
        <v>43.91</v>
      </c>
      <c r="M2067" t="s">
        <v>420</v>
      </c>
      <c r="N2067" t="s">
        <v>413</v>
      </c>
      <c r="O2067" s="26">
        <v>44540</v>
      </c>
    </row>
    <row r="2068" spans="1:19" x14ac:dyDescent="0.15">
      <c r="A2068" s="25" t="s">
        <v>402</v>
      </c>
      <c r="B2068" t="s">
        <v>403</v>
      </c>
      <c r="D2068" s="30">
        <v>35</v>
      </c>
      <c r="E2068" t="s">
        <v>76</v>
      </c>
      <c r="F2068" t="s">
        <v>82</v>
      </c>
      <c r="G2068">
        <v>43.62</v>
      </c>
      <c r="H2068">
        <v>43.91</v>
      </c>
      <c r="I2068" t="s">
        <v>97</v>
      </c>
      <c r="K2068">
        <f t="shared" si="64"/>
        <v>43.62</v>
      </c>
      <c r="L2068">
        <f t="shared" si="65"/>
        <v>43.91</v>
      </c>
      <c r="M2068" t="s">
        <v>25</v>
      </c>
      <c r="N2068" t="s">
        <v>413</v>
      </c>
      <c r="O2068" s="26">
        <v>44540</v>
      </c>
    </row>
    <row r="2069" spans="1:19" x14ac:dyDescent="0.15">
      <c r="A2069" s="25" t="s">
        <v>402</v>
      </c>
      <c r="B2069" t="s">
        <v>403</v>
      </c>
      <c r="D2069" s="30">
        <v>36</v>
      </c>
      <c r="E2069" t="s">
        <v>75</v>
      </c>
      <c r="G2069">
        <v>3.19</v>
      </c>
      <c r="H2069">
        <v>3.33</v>
      </c>
      <c r="I2069" t="s">
        <v>96</v>
      </c>
      <c r="K2069">
        <f t="shared" si="64"/>
        <v>3.19</v>
      </c>
      <c r="L2069">
        <f t="shared" si="65"/>
        <v>3.33</v>
      </c>
      <c r="M2069" t="s">
        <v>420</v>
      </c>
      <c r="N2069" t="s">
        <v>410</v>
      </c>
      <c r="O2069" s="26">
        <v>44540</v>
      </c>
    </row>
    <row r="2070" spans="1:19" x14ac:dyDescent="0.15">
      <c r="A2070" s="25" t="s">
        <v>402</v>
      </c>
      <c r="B2070" t="s">
        <v>403</v>
      </c>
      <c r="D2070" s="30">
        <v>36</v>
      </c>
      <c r="E2070" t="s">
        <v>75</v>
      </c>
      <c r="G2070">
        <v>3.33</v>
      </c>
      <c r="H2070">
        <v>3.39</v>
      </c>
      <c r="I2070" t="s">
        <v>96</v>
      </c>
      <c r="K2070">
        <f t="shared" si="64"/>
        <v>3.33</v>
      </c>
      <c r="L2070">
        <f t="shared" si="65"/>
        <v>3.39</v>
      </c>
      <c r="M2070" t="s">
        <v>25</v>
      </c>
      <c r="N2070" t="s">
        <v>413</v>
      </c>
      <c r="O2070" s="26">
        <v>44540</v>
      </c>
    </row>
    <row r="2071" spans="1:19" x14ac:dyDescent="0.15">
      <c r="A2071" s="25" t="s">
        <v>402</v>
      </c>
      <c r="B2071" t="s">
        <v>403</v>
      </c>
      <c r="D2071" s="30">
        <v>36</v>
      </c>
      <c r="E2071" t="s">
        <v>75</v>
      </c>
      <c r="G2071">
        <v>3.39</v>
      </c>
      <c r="H2071">
        <v>3.5950000000000002</v>
      </c>
      <c r="I2071" t="s">
        <v>96</v>
      </c>
      <c r="K2071">
        <f t="shared" si="64"/>
        <v>3.39</v>
      </c>
      <c r="L2071">
        <f t="shared" si="65"/>
        <v>3.5950000000000002</v>
      </c>
      <c r="M2071" t="s">
        <v>420</v>
      </c>
      <c r="N2071" t="s">
        <v>410</v>
      </c>
      <c r="O2071" s="26">
        <v>44540</v>
      </c>
    </row>
    <row r="2072" spans="1:19" x14ac:dyDescent="0.15">
      <c r="A2072" s="25" t="s">
        <v>402</v>
      </c>
      <c r="B2072" t="s">
        <v>403</v>
      </c>
      <c r="D2072" s="30">
        <v>36</v>
      </c>
      <c r="E2072" t="s">
        <v>75</v>
      </c>
      <c r="G2072">
        <v>3.47</v>
      </c>
      <c r="H2072">
        <v>3.5950000000000002</v>
      </c>
      <c r="I2072" t="s">
        <v>94</v>
      </c>
      <c r="K2072">
        <f t="shared" si="64"/>
        <v>3.47</v>
      </c>
      <c r="L2072">
        <f t="shared" si="65"/>
        <v>3.5950000000000002</v>
      </c>
      <c r="M2072" t="s">
        <v>420</v>
      </c>
      <c r="N2072" t="s">
        <v>410</v>
      </c>
      <c r="O2072" s="26">
        <v>44540</v>
      </c>
    </row>
    <row r="2073" spans="1:19" x14ac:dyDescent="0.15">
      <c r="A2073" s="25" t="s">
        <v>402</v>
      </c>
      <c r="B2073" t="s">
        <v>403</v>
      </c>
      <c r="D2073" s="30">
        <v>35</v>
      </c>
      <c r="E2073" t="s">
        <v>76</v>
      </c>
      <c r="F2073" t="s">
        <v>80</v>
      </c>
      <c r="G2073">
        <v>43.76</v>
      </c>
      <c r="H2073">
        <v>43.825000000000003</v>
      </c>
      <c r="I2073" t="s">
        <v>91</v>
      </c>
      <c r="K2073">
        <f t="shared" si="64"/>
        <v>43.76</v>
      </c>
      <c r="L2073">
        <f t="shared" si="65"/>
        <v>43.825000000000003</v>
      </c>
      <c r="M2073" t="s">
        <v>420</v>
      </c>
      <c r="N2073" t="s">
        <v>410</v>
      </c>
      <c r="O2073" s="26">
        <v>44540</v>
      </c>
    </row>
    <row r="2074" spans="1:19" x14ac:dyDescent="0.15">
      <c r="A2074" s="25" t="s">
        <v>402</v>
      </c>
      <c r="B2074" t="s">
        <v>403</v>
      </c>
      <c r="D2074" s="31">
        <v>1</v>
      </c>
      <c r="E2074" t="s">
        <v>74</v>
      </c>
      <c r="G2074">
        <v>157.15</v>
      </c>
      <c r="H2074">
        <v>156.35</v>
      </c>
      <c r="I2074" t="s">
        <v>91</v>
      </c>
      <c r="K2074">
        <f t="shared" si="64"/>
        <v>156.35</v>
      </c>
      <c r="L2074">
        <f t="shared" si="65"/>
        <v>157.15</v>
      </c>
      <c r="M2074" t="s">
        <v>143</v>
      </c>
      <c r="N2074" t="s">
        <v>419</v>
      </c>
      <c r="O2074" s="26">
        <v>44551</v>
      </c>
    </row>
    <row r="2075" spans="1:19" x14ac:dyDescent="0.15">
      <c r="A2075" s="25" t="s">
        <v>402</v>
      </c>
      <c r="B2075" t="s">
        <v>403</v>
      </c>
      <c r="D2075" s="27">
        <v>1</v>
      </c>
      <c r="E2075" t="s">
        <v>74</v>
      </c>
      <c r="G2075">
        <v>157.15</v>
      </c>
      <c r="H2075">
        <v>156.35</v>
      </c>
      <c r="I2075" t="s">
        <v>92</v>
      </c>
      <c r="K2075">
        <f t="shared" si="64"/>
        <v>156.35</v>
      </c>
      <c r="L2075">
        <f t="shared" si="65"/>
        <v>157.15</v>
      </c>
      <c r="M2075" t="s">
        <v>143</v>
      </c>
      <c r="N2075" t="s">
        <v>419</v>
      </c>
      <c r="O2075" s="26">
        <v>44551</v>
      </c>
    </row>
    <row r="2076" spans="1:19" x14ac:dyDescent="0.15">
      <c r="A2076" s="25" t="s">
        <v>402</v>
      </c>
      <c r="B2076" t="s">
        <v>403</v>
      </c>
      <c r="D2076" s="27">
        <v>1</v>
      </c>
      <c r="E2076" t="s">
        <v>75</v>
      </c>
      <c r="G2076">
        <v>156.38</v>
      </c>
      <c r="H2076">
        <v>157.15</v>
      </c>
      <c r="I2076" t="s">
        <v>96</v>
      </c>
      <c r="K2076">
        <f t="shared" si="64"/>
        <v>156.38</v>
      </c>
      <c r="L2076">
        <f t="shared" si="65"/>
        <v>157.15</v>
      </c>
      <c r="M2076" t="s">
        <v>143</v>
      </c>
      <c r="N2076" t="s">
        <v>419</v>
      </c>
      <c r="O2076" s="26">
        <v>44551</v>
      </c>
    </row>
    <row r="2077" spans="1:19" x14ac:dyDescent="0.15">
      <c r="A2077" s="25" t="s">
        <v>402</v>
      </c>
      <c r="B2077" t="s">
        <v>403</v>
      </c>
      <c r="D2077" s="27">
        <v>1</v>
      </c>
      <c r="E2077" t="s">
        <v>75</v>
      </c>
      <c r="G2077">
        <v>156.38</v>
      </c>
      <c r="H2077">
        <v>157.15</v>
      </c>
      <c r="I2077" t="s">
        <v>94</v>
      </c>
      <c r="K2077">
        <f t="shared" ref="K2077" si="66">MIN(G2077:H2077)</f>
        <v>156.38</v>
      </c>
      <c r="L2077">
        <f t="shared" ref="L2077" si="67">MAX(G2077:H2077)</f>
        <v>157.15</v>
      </c>
      <c r="M2077" t="s">
        <v>143</v>
      </c>
      <c r="N2077" t="s">
        <v>419</v>
      </c>
      <c r="O2077" s="26">
        <v>44551</v>
      </c>
    </row>
    <row r="2078" spans="1:19" x14ac:dyDescent="0.15">
      <c r="A2078" t="s">
        <v>422</v>
      </c>
      <c r="B2078" t="s">
        <v>423</v>
      </c>
      <c r="C2078">
        <v>31108570</v>
      </c>
      <c r="D2078">
        <v>16</v>
      </c>
      <c r="E2078" t="s">
        <v>74</v>
      </c>
      <c r="G2078">
        <v>19.899999999999999</v>
      </c>
      <c r="H2078">
        <v>19.7</v>
      </c>
      <c r="I2078" t="s">
        <v>92</v>
      </c>
      <c r="K2078">
        <f t="shared" ref="K2078:K2141" si="68">MIN(G2078:H2078)</f>
        <v>19.7</v>
      </c>
      <c r="L2078">
        <f t="shared" ref="L2078:L2141" si="69">MAX(G2078:H2078)</f>
        <v>19.899999999999999</v>
      </c>
      <c r="M2078" t="s">
        <v>25</v>
      </c>
      <c r="O2078" s="7">
        <v>44267</v>
      </c>
      <c r="P2078" t="s">
        <v>145</v>
      </c>
      <c r="Q2078">
        <v>76300601</v>
      </c>
      <c r="R2078" t="s">
        <v>429</v>
      </c>
      <c r="S2078">
        <v>73.49999999999973</v>
      </c>
    </row>
    <row r="2079" spans="1:19" x14ac:dyDescent="0.15">
      <c r="A2079" t="s">
        <v>422</v>
      </c>
      <c r="B2079" t="s">
        <v>423</v>
      </c>
      <c r="C2079">
        <v>31108570</v>
      </c>
      <c r="D2079">
        <v>16</v>
      </c>
      <c r="E2079" t="s">
        <v>74</v>
      </c>
      <c r="G2079">
        <v>19.25</v>
      </c>
      <c r="H2079">
        <v>19.2</v>
      </c>
      <c r="I2079" t="s">
        <v>424</v>
      </c>
      <c r="K2079">
        <f t="shared" si="68"/>
        <v>19.2</v>
      </c>
      <c r="L2079">
        <f t="shared" si="69"/>
        <v>19.25</v>
      </c>
      <c r="M2079" t="s">
        <v>25</v>
      </c>
      <c r="O2079" s="7">
        <v>44267</v>
      </c>
      <c r="P2079" t="s">
        <v>145</v>
      </c>
      <c r="Q2079">
        <v>76300601</v>
      </c>
      <c r="R2079" t="s">
        <v>429</v>
      </c>
      <c r="S2079">
        <v>23.625000000000334</v>
      </c>
    </row>
    <row r="2080" spans="1:19" x14ac:dyDescent="0.15">
      <c r="A2080" t="s">
        <v>422</v>
      </c>
      <c r="B2080" t="s">
        <v>423</v>
      </c>
      <c r="C2080">
        <v>31108570</v>
      </c>
      <c r="D2080">
        <v>16</v>
      </c>
      <c r="E2080" t="s">
        <v>74</v>
      </c>
      <c r="G2080">
        <v>19.3</v>
      </c>
      <c r="H2080">
        <v>19.100000000000001</v>
      </c>
      <c r="I2080" t="s">
        <v>425</v>
      </c>
      <c r="K2080">
        <f t="shared" si="68"/>
        <v>19.100000000000001</v>
      </c>
      <c r="L2080">
        <f t="shared" si="69"/>
        <v>19.3</v>
      </c>
      <c r="M2080" t="s">
        <v>25</v>
      </c>
      <c r="O2080" s="7">
        <v>44267</v>
      </c>
      <c r="P2080" t="s">
        <v>145</v>
      </c>
      <c r="Q2080">
        <v>76300601</v>
      </c>
      <c r="R2080" t="s">
        <v>429</v>
      </c>
      <c r="S2080">
        <v>241.49999999999912</v>
      </c>
    </row>
    <row r="2081" spans="1:19" x14ac:dyDescent="0.15">
      <c r="A2081" t="s">
        <v>422</v>
      </c>
      <c r="B2081" t="s">
        <v>423</v>
      </c>
      <c r="C2081">
        <v>31108570</v>
      </c>
      <c r="D2081">
        <v>16</v>
      </c>
      <c r="E2081" t="s">
        <v>74</v>
      </c>
      <c r="G2081">
        <v>19</v>
      </c>
      <c r="H2081">
        <v>18.899999999999999</v>
      </c>
      <c r="I2081" t="s">
        <v>91</v>
      </c>
      <c r="K2081">
        <f t="shared" si="68"/>
        <v>18.899999999999999</v>
      </c>
      <c r="L2081">
        <f t="shared" si="69"/>
        <v>19</v>
      </c>
      <c r="M2081" t="s">
        <v>25</v>
      </c>
      <c r="O2081" s="7">
        <v>44267</v>
      </c>
      <c r="P2081" t="s">
        <v>145</v>
      </c>
      <c r="Q2081">
        <v>76300601</v>
      </c>
      <c r="R2081" t="s">
        <v>429</v>
      </c>
      <c r="S2081">
        <v>38.06250000000054</v>
      </c>
    </row>
    <row r="2082" spans="1:19" x14ac:dyDescent="0.15">
      <c r="A2082" t="s">
        <v>422</v>
      </c>
      <c r="B2082" t="s">
        <v>423</v>
      </c>
      <c r="C2082">
        <v>31108570</v>
      </c>
      <c r="D2082">
        <v>16</v>
      </c>
      <c r="E2082" t="s">
        <v>74</v>
      </c>
      <c r="G2082">
        <v>18.899999999999999</v>
      </c>
      <c r="H2082">
        <v>18.649999999999999</v>
      </c>
      <c r="I2082" t="s">
        <v>425</v>
      </c>
      <c r="K2082">
        <f t="shared" si="68"/>
        <v>18.649999999999999</v>
      </c>
      <c r="L2082">
        <f t="shared" si="69"/>
        <v>18.899999999999999</v>
      </c>
      <c r="M2082" t="s">
        <v>25</v>
      </c>
      <c r="O2082" s="7">
        <v>44267</v>
      </c>
      <c r="P2082" t="s">
        <v>145</v>
      </c>
      <c r="Q2082">
        <v>76300601</v>
      </c>
      <c r="R2082" t="s">
        <v>429</v>
      </c>
      <c r="S2082">
        <v>301.875</v>
      </c>
    </row>
    <row r="2083" spans="1:19" x14ac:dyDescent="0.15">
      <c r="A2083" t="s">
        <v>422</v>
      </c>
      <c r="B2083" t="s">
        <v>423</v>
      </c>
      <c r="C2083">
        <v>31108570</v>
      </c>
      <c r="D2083">
        <v>16</v>
      </c>
      <c r="E2083" t="s">
        <v>74</v>
      </c>
      <c r="G2083">
        <v>18.350000000000001</v>
      </c>
      <c r="H2083">
        <v>18.3</v>
      </c>
      <c r="I2083" t="s">
        <v>91</v>
      </c>
      <c r="K2083">
        <f t="shared" si="68"/>
        <v>18.3</v>
      </c>
      <c r="L2083">
        <f t="shared" si="69"/>
        <v>18.350000000000001</v>
      </c>
      <c r="M2083" t="s">
        <v>25</v>
      </c>
      <c r="O2083" s="7">
        <v>44267</v>
      </c>
      <c r="P2083" t="s">
        <v>145</v>
      </c>
      <c r="Q2083">
        <v>76300601</v>
      </c>
      <c r="R2083" t="s">
        <v>429</v>
      </c>
      <c r="S2083">
        <v>19.03125000000027</v>
      </c>
    </row>
    <row r="2084" spans="1:19" x14ac:dyDescent="0.15">
      <c r="A2084" t="s">
        <v>422</v>
      </c>
      <c r="B2084" t="s">
        <v>423</v>
      </c>
      <c r="C2084">
        <v>31108570</v>
      </c>
      <c r="D2084">
        <v>16</v>
      </c>
      <c r="E2084" t="s">
        <v>74</v>
      </c>
      <c r="G2084">
        <v>17.8</v>
      </c>
      <c r="H2084">
        <v>17.7</v>
      </c>
      <c r="I2084" t="s">
        <v>304</v>
      </c>
      <c r="K2084">
        <f t="shared" si="68"/>
        <v>17.7</v>
      </c>
      <c r="L2084">
        <f t="shared" si="69"/>
        <v>17.8</v>
      </c>
      <c r="M2084" t="s">
        <v>25</v>
      </c>
      <c r="O2084" s="7">
        <v>44267</v>
      </c>
      <c r="P2084" t="s">
        <v>145</v>
      </c>
      <c r="Q2084">
        <v>76300601</v>
      </c>
      <c r="R2084" t="s">
        <v>429</v>
      </c>
      <c r="S2084">
        <v>45.937500000000647</v>
      </c>
    </row>
    <row r="2085" spans="1:19" x14ac:dyDescent="0.15">
      <c r="A2085" t="s">
        <v>422</v>
      </c>
      <c r="B2085" t="s">
        <v>423</v>
      </c>
      <c r="C2085">
        <v>31108570</v>
      </c>
      <c r="D2085">
        <v>16</v>
      </c>
      <c r="E2085" t="s">
        <v>74</v>
      </c>
      <c r="G2085">
        <v>17.600000000000001</v>
      </c>
      <c r="H2085">
        <v>17.5</v>
      </c>
      <c r="I2085" t="s">
        <v>426</v>
      </c>
      <c r="K2085">
        <f t="shared" si="68"/>
        <v>17.5</v>
      </c>
      <c r="L2085">
        <f t="shared" si="69"/>
        <v>17.600000000000001</v>
      </c>
      <c r="M2085" t="s">
        <v>25</v>
      </c>
      <c r="O2085" s="7">
        <v>44267</v>
      </c>
      <c r="P2085" t="s">
        <v>145</v>
      </c>
      <c r="Q2085">
        <v>76300601</v>
      </c>
      <c r="R2085" t="s">
        <v>429</v>
      </c>
      <c r="S2085">
        <v>74.812500000001066</v>
      </c>
    </row>
    <row r="2086" spans="1:19" x14ac:dyDescent="0.15">
      <c r="A2086" t="s">
        <v>422</v>
      </c>
      <c r="B2086" t="s">
        <v>423</v>
      </c>
      <c r="C2086">
        <v>31108570</v>
      </c>
      <c r="D2086">
        <v>4</v>
      </c>
      <c r="E2086" t="s">
        <v>74</v>
      </c>
      <c r="G2086">
        <v>71.930000000000007</v>
      </c>
      <c r="H2086">
        <v>71.900000000000006</v>
      </c>
      <c r="I2086" t="s">
        <v>217</v>
      </c>
      <c r="J2086" t="s">
        <v>23</v>
      </c>
      <c r="K2086">
        <f t="shared" si="68"/>
        <v>71.900000000000006</v>
      </c>
      <c r="L2086">
        <f t="shared" si="69"/>
        <v>71.930000000000007</v>
      </c>
      <c r="M2086" t="s">
        <v>25</v>
      </c>
      <c r="O2086" s="7">
        <v>44358</v>
      </c>
      <c r="P2086" t="s">
        <v>145</v>
      </c>
      <c r="Q2086">
        <v>76300601</v>
      </c>
      <c r="R2086" t="s">
        <v>429</v>
      </c>
      <c r="S2086">
        <v>78.750000000002984</v>
      </c>
    </row>
    <row r="2087" spans="1:19" x14ac:dyDescent="0.15">
      <c r="A2087" t="s">
        <v>422</v>
      </c>
      <c r="B2087" t="s">
        <v>423</v>
      </c>
      <c r="C2087">
        <v>31108570</v>
      </c>
      <c r="D2087">
        <v>4</v>
      </c>
      <c r="E2087" t="s">
        <v>76</v>
      </c>
      <c r="F2087" t="s">
        <v>80</v>
      </c>
      <c r="G2087">
        <v>29.2</v>
      </c>
      <c r="H2087">
        <v>29.3</v>
      </c>
      <c r="I2087" t="s">
        <v>91</v>
      </c>
      <c r="K2087">
        <f t="shared" si="68"/>
        <v>29.2</v>
      </c>
      <c r="L2087">
        <f t="shared" si="69"/>
        <v>29.3</v>
      </c>
      <c r="M2087" t="s">
        <v>25</v>
      </c>
      <c r="O2087" s="7">
        <v>44382</v>
      </c>
      <c r="P2087" t="s">
        <v>145</v>
      </c>
      <c r="Q2087">
        <v>36330400</v>
      </c>
      <c r="R2087" t="s">
        <v>430</v>
      </c>
      <c r="S2087">
        <v>85.05</v>
      </c>
    </row>
    <row r="2088" spans="1:19" x14ac:dyDescent="0.15">
      <c r="A2088" t="s">
        <v>422</v>
      </c>
      <c r="B2088" t="s">
        <v>423</v>
      </c>
      <c r="C2088">
        <v>31108570</v>
      </c>
      <c r="D2088">
        <v>4</v>
      </c>
      <c r="E2088" t="s">
        <v>76</v>
      </c>
      <c r="F2088" t="s">
        <v>80</v>
      </c>
      <c r="G2088">
        <v>29.1</v>
      </c>
      <c r="H2088">
        <v>29.2</v>
      </c>
      <c r="I2088" t="s">
        <v>91</v>
      </c>
      <c r="K2088">
        <f t="shared" si="68"/>
        <v>29.1</v>
      </c>
      <c r="L2088">
        <f t="shared" si="69"/>
        <v>29.2</v>
      </c>
      <c r="M2088" t="s">
        <v>25</v>
      </c>
      <c r="O2088" s="7">
        <v>44382</v>
      </c>
      <c r="P2088" t="s">
        <v>145</v>
      </c>
      <c r="Q2088">
        <v>36330400</v>
      </c>
      <c r="R2088" t="s">
        <v>430</v>
      </c>
      <c r="S2088">
        <v>85.05</v>
      </c>
    </row>
    <row r="2089" spans="1:19" x14ac:dyDescent="0.15">
      <c r="A2089" t="s">
        <v>422</v>
      </c>
      <c r="B2089" t="s">
        <v>423</v>
      </c>
      <c r="C2089">
        <v>31108570</v>
      </c>
      <c r="D2089">
        <v>4</v>
      </c>
      <c r="E2089" t="s">
        <v>76</v>
      </c>
      <c r="F2089" t="s">
        <v>80</v>
      </c>
      <c r="G2089">
        <v>29</v>
      </c>
      <c r="H2089">
        <v>29.1</v>
      </c>
      <c r="I2089" t="s">
        <v>91</v>
      </c>
      <c r="K2089">
        <f t="shared" si="68"/>
        <v>29</v>
      </c>
      <c r="L2089">
        <f t="shared" si="69"/>
        <v>29.1</v>
      </c>
      <c r="M2089" t="s">
        <v>25</v>
      </c>
      <c r="O2089" s="7">
        <v>44382</v>
      </c>
      <c r="P2089" t="s">
        <v>145</v>
      </c>
      <c r="Q2089">
        <v>36330400</v>
      </c>
      <c r="R2089" t="s">
        <v>430</v>
      </c>
      <c r="S2089">
        <v>85.05</v>
      </c>
    </row>
    <row r="2090" spans="1:19" x14ac:dyDescent="0.15">
      <c r="A2090" t="s">
        <v>422</v>
      </c>
      <c r="B2090" t="s">
        <v>423</v>
      </c>
      <c r="C2090">
        <v>31108570</v>
      </c>
      <c r="D2090">
        <v>20</v>
      </c>
      <c r="E2090" t="s">
        <v>74</v>
      </c>
      <c r="G2090">
        <v>41.92</v>
      </c>
      <c r="H2090">
        <v>41.97</v>
      </c>
      <c r="I2090" t="s">
        <v>217</v>
      </c>
      <c r="J2090" t="s">
        <v>23</v>
      </c>
      <c r="K2090">
        <f t="shared" si="68"/>
        <v>41.92</v>
      </c>
      <c r="L2090">
        <f t="shared" si="69"/>
        <v>41.97</v>
      </c>
      <c r="M2090" t="s">
        <v>25</v>
      </c>
      <c r="O2090" s="7">
        <v>44384</v>
      </c>
      <c r="P2090" t="s">
        <v>145</v>
      </c>
      <c r="Q2090">
        <v>76300601</v>
      </c>
      <c r="R2090" t="s">
        <v>429</v>
      </c>
      <c r="S2090">
        <v>84</v>
      </c>
    </row>
    <row r="2091" spans="1:19" x14ac:dyDescent="0.15">
      <c r="A2091" t="s">
        <v>422</v>
      </c>
      <c r="B2091" t="s">
        <v>423</v>
      </c>
      <c r="C2091">
        <v>31108570</v>
      </c>
      <c r="D2091">
        <v>20</v>
      </c>
      <c r="E2091" t="s">
        <v>75</v>
      </c>
      <c r="G2091">
        <v>29.175000000000001</v>
      </c>
      <c r="H2091">
        <v>29.2</v>
      </c>
      <c r="I2091" t="s">
        <v>217</v>
      </c>
      <c r="J2091" t="s">
        <v>23</v>
      </c>
      <c r="K2091">
        <f t="shared" si="68"/>
        <v>29.175000000000001</v>
      </c>
      <c r="L2091">
        <f t="shared" si="69"/>
        <v>29.2</v>
      </c>
      <c r="M2091" t="s">
        <v>25</v>
      </c>
      <c r="O2091" s="7">
        <v>44424</v>
      </c>
      <c r="P2091" t="s">
        <v>145</v>
      </c>
      <c r="Q2091">
        <v>76300601</v>
      </c>
      <c r="R2091" t="s">
        <v>429</v>
      </c>
      <c r="S2091">
        <v>42</v>
      </c>
    </row>
    <row r="2092" spans="1:19" x14ac:dyDescent="0.15">
      <c r="A2092" t="s">
        <v>422</v>
      </c>
      <c r="B2092" t="s">
        <v>423</v>
      </c>
      <c r="C2092">
        <v>31108570</v>
      </c>
      <c r="D2092">
        <v>4</v>
      </c>
      <c r="E2092" t="s">
        <v>74</v>
      </c>
      <c r="G2092">
        <v>29.925000000000001</v>
      </c>
      <c r="H2092">
        <v>29.95</v>
      </c>
      <c r="I2092" t="s">
        <v>217</v>
      </c>
      <c r="J2092" t="s">
        <v>23</v>
      </c>
      <c r="K2092">
        <f t="shared" si="68"/>
        <v>29.925000000000001</v>
      </c>
      <c r="L2092">
        <f t="shared" si="69"/>
        <v>29.95</v>
      </c>
      <c r="M2092" t="s">
        <v>25</v>
      </c>
      <c r="O2092" s="7">
        <v>44425</v>
      </c>
      <c r="P2092" t="s">
        <v>145</v>
      </c>
      <c r="Q2092">
        <v>36330400</v>
      </c>
      <c r="R2092" t="s">
        <v>430</v>
      </c>
      <c r="S2092">
        <v>60.375</v>
      </c>
    </row>
    <row r="2093" spans="1:19" x14ac:dyDescent="0.15">
      <c r="A2093" t="s">
        <v>422</v>
      </c>
      <c r="B2093" t="s">
        <v>423</v>
      </c>
      <c r="C2093">
        <v>31108570</v>
      </c>
      <c r="D2093">
        <v>4</v>
      </c>
      <c r="E2093" t="s">
        <v>76</v>
      </c>
      <c r="F2093" t="s">
        <v>80</v>
      </c>
      <c r="G2093">
        <v>29.97</v>
      </c>
      <c r="H2093">
        <v>29.995000000000001</v>
      </c>
      <c r="I2093" t="s">
        <v>217</v>
      </c>
      <c r="J2093" t="s">
        <v>23</v>
      </c>
      <c r="K2093">
        <f t="shared" si="68"/>
        <v>29.97</v>
      </c>
      <c r="L2093">
        <f t="shared" si="69"/>
        <v>29.995000000000001</v>
      </c>
      <c r="M2093" t="s">
        <v>25</v>
      </c>
      <c r="O2093" s="7">
        <v>44425</v>
      </c>
      <c r="P2093" t="s">
        <v>145</v>
      </c>
      <c r="Q2093">
        <v>36330400</v>
      </c>
      <c r="R2093" t="s">
        <v>430</v>
      </c>
      <c r="S2093">
        <v>60.375</v>
      </c>
    </row>
    <row r="2094" spans="1:19" x14ac:dyDescent="0.15">
      <c r="A2094" t="s">
        <v>422</v>
      </c>
      <c r="B2094" t="s">
        <v>423</v>
      </c>
      <c r="C2094">
        <v>31108570</v>
      </c>
      <c r="D2094">
        <v>20</v>
      </c>
      <c r="E2094" t="s">
        <v>74</v>
      </c>
      <c r="G2094">
        <v>41.9</v>
      </c>
      <c r="H2094">
        <v>41.7</v>
      </c>
      <c r="I2094" t="s">
        <v>182</v>
      </c>
      <c r="K2094">
        <f t="shared" si="68"/>
        <v>41.7</v>
      </c>
      <c r="L2094">
        <f t="shared" si="69"/>
        <v>41.9</v>
      </c>
      <c r="M2094" t="s">
        <v>25</v>
      </c>
      <c r="O2094" s="7">
        <v>44426</v>
      </c>
      <c r="P2094" t="s">
        <v>145</v>
      </c>
      <c r="Q2094">
        <v>76300601</v>
      </c>
      <c r="R2094" t="s">
        <v>429</v>
      </c>
      <c r="S2094">
        <v>91.875</v>
      </c>
    </row>
    <row r="2095" spans="1:19" x14ac:dyDescent="0.15">
      <c r="A2095" t="s">
        <v>422</v>
      </c>
      <c r="B2095" t="s">
        <v>423</v>
      </c>
      <c r="C2095">
        <v>31108570</v>
      </c>
      <c r="D2095">
        <v>20</v>
      </c>
      <c r="E2095" t="s">
        <v>75</v>
      </c>
      <c r="G2095">
        <v>45.9</v>
      </c>
      <c r="H2095">
        <v>46.1</v>
      </c>
      <c r="I2095" t="s">
        <v>94</v>
      </c>
      <c r="K2095">
        <f t="shared" si="68"/>
        <v>45.9</v>
      </c>
      <c r="L2095">
        <f t="shared" si="69"/>
        <v>46.1</v>
      </c>
      <c r="M2095" t="s">
        <v>25</v>
      </c>
      <c r="O2095" s="7">
        <v>44426</v>
      </c>
      <c r="P2095" t="s">
        <v>145</v>
      </c>
      <c r="Q2095">
        <v>76300601</v>
      </c>
      <c r="R2095" t="s">
        <v>429</v>
      </c>
      <c r="S2095">
        <v>92.4</v>
      </c>
    </row>
    <row r="2096" spans="1:19" x14ac:dyDescent="0.15">
      <c r="A2096" t="s">
        <v>422</v>
      </c>
      <c r="B2096" t="s">
        <v>423</v>
      </c>
      <c r="C2096">
        <v>31108570</v>
      </c>
      <c r="D2096">
        <v>20</v>
      </c>
      <c r="E2096" t="s">
        <v>74</v>
      </c>
      <c r="G2096">
        <v>46.2</v>
      </c>
      <c r="H2096">
        <v>46.1</v>
      </c>
      <c r="I2096" t="s">
        <v>92</v>
      </c>
      <c r="K2096">
        <f t="shared" si="68"/>
        <v>46.1</v>
      </c>
      <c r="L2096">
        <f t="shared" si="69"/>
        <v>46.2</v>
      </c>
      <c r="M2096" t="s">
        <v>25</v>
      </c>
      <c r="O2096" s="7">
        <v>44427</v>
      </c>
      <c r="P2096" t="s">
        <v>145</v>
      </c>
      <c r="Q2096">
        <v>76300601</v>
      </c>
      <c r="R2096" t="s">
        <v>429</v>
      </c>
      <c r="S2096">
        <v>46.200000000000664</v>
      </c>
    </row>
    <row r="2097" spans="1:19" x14ac:dyDescent="0.15">
      <c r="A2097" t="s">
        <v>422</v>
      </c>
      <c r="B2097" t="s">
        <v>423</v>
      </c>
      <c r="C2097">
        <v>31108570</v>
      </c>
      <c r="D2097">
        <v>20</v>
      </c>
      <c r="E2097" t="s">
        <v>74</v>
      </c>
      <c r="G2097">
        <v>11.16</v>
      </c>
      <c r="H2097">
        <v>11.19</v>
      </c>
      <c r="I2097" t="s">
        <v>217</v>
      </c>
      <c r="J2097" t="s">
        <v>23</v>
      </c>
      <c r="K2097">
        <f t="shared" si="68"/>
        <v>11.16</v>
      </c>
      <c r="L2097">
        <f t="shared" si="69"/>
        <v>11.19</v>
      </c>
      <c r="M2097" t="s">
        <v>25</v>
      </c>
      <c r="O2097" s="7">
        <v>44455</v>
      </c>
      <c r="P2097" t="s">
        <v>145</v>
      </c>
      <c r="Q2097">
        <v>76300601</v>
      </c>
      <c r="R2097" t="s">
        <v>429</v>
      </c>
      <c r="S2097">
        <v>24.254999999999999</v>
      </c>
    </row>
    <row r="2098" spans="1:19" x14ac:dyDescent="0.15">
      <c r="A2098" t="s">
        <v>422</v>
      </c>
      <c r="B2098" t="s">
        <v>423</v>
      </c>
      <c r="C2098">
        <v>31108570</v>
      </c>
      <c r="D2098">
        <v>20</v>
      </c>
      <c r="E2098" t="s">
        <v>76</v>
      </c>
      <c r="G2098">
        <v>29.38</v>
      </c>
      <c r="H2098">
        <v>29.41</v>
      </c>
      <c r="I2098" t="s">
        <v>217</v>
      </c>
      <c r="J2098" t="s">
        <v>23</v>
      </c>
      <c r="K2098">
        <f t="shared" si="68"/>
        <v>29.38</v>
      </c>
      <c r="L2098">
        <f t="shared" si="69"/>
        <v>29.41</v>
      </c>
      <c r="M2098" t="s">
        <v>25</v>
      </c>
      <c r="O2098" s="7">
        <v>44460</v>
      </c>
      <c r="P2098" t="s">
        <v>145</v>
      </c>
      <c r="Q2098">
        <v>76300601</v>
      </c>
      <c r="R2098" t="s">
        <v>430</v>
      </c>
      <c r="S2098">
        <v>25.2</v>
      </c>
    </row>
    <row r="2099" spans="1:19" x14ac:dyDescent="0.15">
      <c r="A2099" t="s">
        <v>422</v>
      </c>
      <c r="B2099" t="s">
        <v>423</v>
      </c>
      <c r="C2099">
        <v>31108570</v>
      </c>
      <c r="D2099">
        <v>20</v>
      </c>
      <c r="E2099" t="s">
        <v>76</v>
      </c>
      <c r="G2099">
        <v>29.524999999999999</v>
      </c>
      <c r="H2099">
        <v>29.574999999999999</v>
      </c>
      <c r="I2099" t="s">
        <v>217</v>
      </c>
      <c r="J2099" t="s">
        <v>23</v>
      </c>
      <c r="K2099">
        <f t="shared" si="68"/>
        <v>29.524999999999999</v>
      </c>
      <c r="L2099">
        <f t="shared" si="69"/>
        <v>29.574999999999999</v>
      </c>
      <c r="M2099" t="s">
        <v>25</v>
      </c>
      <c r="O2099" s="7">
        <v>44460</v>
      </c>
      <c r="P2099" t="s">
        <v>145</v>
      </c>
      <c r="Q2099">
        <v>76300601</v>
      </c>
      <c r="R2099" t="s">
        <v>430</v>
      </c>
      <c r="S2099">
        <v>42</v>
      </c>
    </row>
    <row r="2100" spans="1:19" x14ac:dyDescent="0.15">
      <c r="A2100" t="s">
        <v>422</v>
      </c>
      <c r="B2100" t="s">
        <v>423</v>
      </c>
      <c r="C2100">
        <v>31108570</v>
      </c>
      <c r="D2100">
        <v>13</v>
      </c>
      <c r="E2100" t="s">
        <v>76</v>
      </c>
      <c r="F2100" t="s">
        <v>84</v>
      </c>
      <c r="G2100">
        <v>18.93</v>
      </c>
      <c r="H2100">
        <v>19.3</v>
      </c>
      <c r="I2100" t="s">
        <v>94</v>
      </c>
      <c r="K2100">
        <f t="shared" si="68"/>
        <v>18.93</v>
      </c>
      <c r="L2100">
        <f t="shared" si="69"/>
        <v>19.3</v>
      </c>
      <c r="M2100" t="s">
        <v>25</v>
      </c>
      <c r="O2100" s="7">
        <v>44480</v>
      </c>
      <c r="P2100" t="s">
        <v>145</v>
      </c>
      <c r="Q2100" t="s">
        <v>431</v>
      </c>
      <c r="R2100" t="s">
        <v>432</v>
      </c>
      <c r="S2100">
        <v>170.94000000000003</v>
      </c>
    </row>
    <row r="2101" spans="1:19" x14ac:dyDescent="0.15">
      <c r="A2101" t="s">
        <v>422</v>
      </c>
      <c r="B2101" t="s">
        <v>423</v>
      </c>
      <c r="C2101">
        <v>31108570</v>
      </c>
      <c r="D2101">
        <v>20</v>
      </c>
      <c r="E2101" t="s">
        <v>74</v>
      </c>
      <c r="G2101">
        <v>30.9</v>
      </c>
      <c r="H2101">
        <v>30.8</v>
      </c>
      <c r="I2101" t="s">
        <v>92</v>
      </c>
      <c r="K2101">
        <f t="shared" si="68"/>
        <v>30.8</v>
      </c>
      <c r="L2101">
        <f t="shared" si="69"/>
        <v>30.9</v>
      </c>
      <c r="M2101" t="s">
        <v>25</v>
      </c>
      <c r="O2101" s="7">
        <v>44484</v>
      </c>
      <c r="P2101" t="s">
        <v>145</v>
      </c>
      <c r="Q2101">
        <v>76300601</v>
      </c>
      <c r="R2101" t="s">
        <v>430</v>
      </c>
      <c r="S2101">
        <v>45.9375</v>
      </c>
    </row>
    <row r="2102" spans="1:19" x14ac:dyDescent="0.15">
      <c r="A2102" t="s">
        <v>422</v>
      </c>
      <c r="B2102" t="s">
        <v>423</v>
      </c>
      <c r="C2102">
        <v>31108570</v>
      </c>
      <c r="D2102">
        <v>20</v>
      </c>
      <c r="E2102" t="s">
        <v>75</v>
      </c>
      <c r="G2102">
        <v>43.95</v>
      </c>
      <c r="H2102">
        <v>44.05</v>
      </c>
      <c r="I2102" t="s">
        <v>94</v>
      </c>
      <c r="K2102">
        <f t="shared" si="68"/>
        <v>43.95</v>
      </c>
      <c r="L2102">
        <f t="shared" si="69"/>
        <v>44.05</v>
      </c>
      <c r="M2102" t="s">
        <v>25</v>
      </c>
      <c r="O2102" s="7">
        <v>44488</v>
      </c>
      <c r="P2102" t="s">
        <v>145</v>
      </c>
      <c r="Q2102">
        <v>76300601</v>
      </c>
      <c r="R2102" t="s">
        <v>430</v>
      </c>
      <c r="S2102">
        <v>36.75</v>
      </c>
    </row>
    <row r="2103" spans="1:19" x14ac:dyDescent="0.15">
      <c r="A2103" t="s">
        <v>422</v>
      </c>
      <c r="B2103" t="s">
        <v>423</v>
      </c>
      <c r="C2103">
        <v>31108570</v>
      </c>
      <c r="D2103">
        <v>20</v>
      </c>
      <c r="E2103" t="s">
        <v>75</v>
      </c>
      <c r="G2103">
        <v>47.4</v>
      </c>
      <c r="H2103">
        <v>47.3</v>
      </c>
      <c r="I2103" t="s">
        <v>94</v>
      </c>
      <c r="K2103">
        <f t="shared" si="68"/>
        <v>47.3</v>
      </c>
      <c r="L2103">
        <f t="shared" si="69"/>
        <v>47.4</v>
      </c>
      <c r="M2103" t="s">
        <v>25</v>
      </c>
      <c r="O2103" s="7">
        <v>44488</v>
      </c>
      <c r="P2103" t="s">
        <v>145</v>
      </c>
      <c r="Q2103">
        <v>76300601</v>
      </c>
      <c r="R2103" t="s">
        <v>430</v>
      </c>
      <c r="S2103">
        <v>45.9375</v>
      </c>
    </row>
    <row r="2104" spans="1:19" x14ac:dyDescent="0.15">
      <c r="A2104" t="s">
        <v>422</v>
      </c>
      <c r="B2104" t="s">
        <v>423</v>
      </c>
      <c r="C2104">
        <v>31108570</v>
      </c>
      <c r="D2104">
        <v>20</v>
      </c>
      <c r="E2104" t="s">
        <v>75</v>
      </c>
      <c r="G2104">
        <v>48.05</v>
      </c>
      <c r="H2104">
        <v>48.1</v>
      </c>
      <c r="I2104" t="s">
        <v>97</v>
      </c>
      <c r="K2104">
        <f t="shared" si="68"/>
        <v>48.05</v>
      </c>
      <c r="L2104">
        <f t="shared" si="69"/>
        <v>48.1</v>
      </c>
      <c r="M2104" t="s">
        <v>25</v>
      </c>
      <c r="O2104" s="7">
        <v>44488</v>
      </c>
      <c r="P2104" t="s">
        <v>145</v>
      </c>
      <c r="Q2104">
        <v>76300601</v>
      </c>
      <c r="R2104" t="s">
        <v>430</v>
      </c>
      <c r="S2104">
        <v>16.8</v>
      </c>
    </row>
    <row r="2105" spans="1:19" x14ac:dyDescent="0.15">
      <c r="A2105" t="s">
        <v>422</v>
      </c>
      <c r="B2105" t="s">
        <v>423</v>
      </c>
      <c r="C2105">
        <v>31108570</v>
      </c>
      <c r="D2105">
        <v>12</v>
      </c>
      <c r="E2105" t="s">
        <v>76</v>
      </c>
      <c r="F2105" t="s">
        <v>88</v>
      </c>
      <c r="G2105">
        <v>16.100000000000001</v>
      </c>
      <c r="H2105">
        <v>16.2</v>
      </c>
      <c r="I2105" t="s">
        <v>96</v>
      </c>
      <c r="K2105">
        <f t="shared" si="68"/>
        <v>16.100000000000001</v>
      </c>
      <c r="L2105">
        <f t="shared" si="69"/>
        <v>16.2</v>
      </c>
      <c r="M2105" t="s">
        <v>25</v>
      </c>
      <c r="O2105" s="7">
        <v>44489</v>
      </c>
      <c r="P2105" t="s">
        <v>145</v>
      </c>
      <c r="Q2105">
        <v>76300601</v>
      </c>
      <c r="R2105" t="s">
        <v>430</v>
      </c>
      <c r="S2105">
        <v>45.9375</v>
      </c>
    </row>
    <row r="2106" spans="1:19" x14ac:dyDescent="0.15">
      <c r="A2106" t="s">
        <v>422</v>
      </c>
      <c r="B2106" t="s">
        <v>423</v>
      </c>
      <c r="C2106">
        <v>31108570</v>
      </c>
      <c r="D2106">
        <v>12</v>
      </c>
      <c r="E2106" t="s">
        <v>75</v>
      </c>
      <c r="G2106">
        <v>17.100000000000001</v>
      </c>
      <c r="H2106">
        <v>17.2</v>
      </c>
      <c r="I2106" t="s">
        <v>181</v>
      </c>
      <c r="K2106">
        <f t="shared" si="68"/>
        <v>17.100000000000001</v>
      </c>
      <c r="L2106">
        <f t="shared" si="69"/>
        <v>17.2</v>
      </c>
      <c r="M2106" t="s">
        <v>25</v>
      </c>
      <c r="O2106" s="7">
        <v>44489</v>
      </c>
      <c r="P2106" t="s">
        <v>145</v>
      </c>
      <c r="Q2106">
        <v>76300601</v>
      </c>
      <c r="R2106" t="s">
        <v>430</v>
      </c>
      <c r="S2106">
        <v>45.937499999999019</v>
      </c>
    </row>
    <row r="2107" spans="1:19" x14ac:dyDescent="0.15">
      <c r="A2107" t="s">
        <v>422</v>
      </c>
      <c r="B2107" t="s">
        <v>423</v>
      </c>
      <c r="C2107">
        <v>31108570</v>
      </c>
      <c r="D2107">
        <v>12</v>
      </c>
      <c r="E2107" t="s">
        <v>75</v>
      </c>
      <c r="G2107">
        <v>18</v>
      </c>
      <c r="H2107">
        <v>18.2</v>
      </c>
      <c r="I2107" t="s">
        <v>181</v>
      </c>
      <c r="K2107">
        <f t="shared" si="68"/>
        <v>18</v>
      </c>
      <c r="L2107">
        <f t="shared" si="69"/>
        <v>18.2</v>
      </c>
      <c r="M2107" t="s">
        <v>25</v>
      </c>
      <c r="O2107" s="7">
        <v>44491</v>
      </c>
      <c r="P2107" t="s">
        <v>145</v>
      </c>
      <c r="Q2107">
        <v>76300601</v>
      </c>
      <c r="R2107" t="s">
        <v>430</v>
      </c>
      <c r="S2107">
        <v>91.875</v>
      </c>
    </row>
    <row r="2108" spans="1:19" x14ac:dyDescent="0.15">
      <c r="A2108" t="s">
        <v>422</v>
      </c>
      <c r="B2108" t="s">
        <v>423</v>
      </c>
      <c r="C2108">
        <v>31108570</v>
      </c>
      <c r="D2108">
        <v>12</v>
      </c>
      <c r="E2108" t="s">
        <v>75</v>
      </c>
      <c r="G2108">
        <v>19</v>
      </c>
      <c r="H2108">
        <v>19.2</v>
      </c>
      <c r="I2108" t="s">
        <v>181</v>
      </c>
      <c r="K2108">
        <f t="shared" si="68"/>
        <v>19</v>
      </c>
      <c r="L2108">
        <f t="shared" si="69"/>
        <v>19.2</v>
      </c>
      <c r="M2108" t="s">
        <v>25</v>
      </c>
      <c r="O2108" s="7">
        <v>44491</v>
      </c>
      <c r="P2108" t="s">
        <v>145</v>
      </c>
      <c r="Q2108">
        <v>76300601</v>
      </c>
      <c r="R2108" t="s">
        <v>430</v>
      </c>
      <c r="S2108">
        <v>91.875</v>
      </c>
    </row>
    <row r="2109" spans="1:19" x14ac:dyDescent="0.15">
      <c r="A2109" t="s">
        <v>422</v>
      </c>
      <c r="B2109" t="s">
        <v>423</v>
      </c>
      <c r="C2109">
        <v>31108570</v>
      </c>
      <c r="D2109">
        <v>13</v>
      </c>
      <c r="E2109" t="s">
        <v>75</v>
      </c>
      <c r="G2109">
        <v>10.8</v>
      </c>
      <c r="H2109">
        <v>10.9</v>
      </c>
      <c r="I2109" t="s">
        <v>181</v>
      </c>
      <c r="K2109">
        <f t="shared" si="68"/>
        <v>10.8</v>
      </c>
      <c r="L2109">
        <f t="shared" si="69"/>
        <v>10.9</v>
      </c>
      <c r="M2109" t="s">
        <v>25</v>
      </c>
      <c r="O2109" s="7">
        <v>44491</v>
      </c>
      <c r="P2109" t="s">
        <v>145</v>
      </c>
      <c r="Q2109">
        <v>76300601</v>
      </c>
      <c r="R2109" t="s">
        <v>430</v>
      </c>
      <c r="S2109">
        <v>45.9375</v>
      </c>
    </row>
    <row r="2110" spans="1:19" x14ac:dyDescent="0.15">
      <c r="A2110" t="s">
        <v>422</v>
      </c>
      <c r="B2110" t="s">
        <v>423</v>
      </c>
      <c r="C2110">
        <v>31108570</v>
      </c>
      <c r="D2110">
        <v>13</v>
      </c>
      <c r="E2110" t="s">
        <v>75</v>
      </c>
      <c r="G2110">
        <v>11.2</v>
      </c>
      <c r="H2110">
        <v>11.3</v>
      </c>
      <c r="I2110" t="s">
        <v>181</v>
      </c>
      <c r="K2110">
        <f t="shared" si="68"/>
        <v>11.2</v>
      </c>
      <c r="L2110">
        <f t="shared" si="69"/>
        <v>11.3</v>
      </c>
      <c r="M2110" t="s">
        <v>25</v>
      </c>
      <c r="O2110" s="7">
        <v>44491</v>
      </c>
      <c r="P2110" t="s">
        <v>145</v>
      </c>
      <c r="Q2110">
        <v>76300601</v>
      </c>
      <c r="R2110" t="s">
        <v>430</v>
      </c>
      <c r="S2110">
        <v>45.9375</v>
      </c>
    </row>
    <row r="2111" spans="1:19" x14ac:dyDescent="0.15">
      <c r="A2111" t="s">
        <v>422</v>
      </c>
      <c r="B2111" t="s">
        <v>423</v>
      </c>
      <c r="C2111">
        <v>31108570</v>
      </c>
      <c r="D2111">
        <v>13</v>
      </c>
      <c r="E2111" t="s">
        <v>75</v>
      </c>
      <c r="G2111">
        <v>12.2</v>
      </c>
      <c r="H2111">
        <v>12.5</v>
      </c>
      <c r="I2111" t="s">
        <v>181</v>
      </c>
      <c r="K2111">
        <f t="shared" si="68"/>
        <v>12.2</v>
      </c>
      <c r="L2111">
        <f t="shared" si="69"/>
        <v>12.5</v>
      </c>
      <c r="M2111" t="s">
        <v>25</v>
      </c>
      <c r="O2111" s="7">
        <v>44491</v>
      </c>
      <c r="P2111" t="s">
        <v>145</v>
      </c>
      <c r="Q2111">
        <v>76300601</v>
      </c>
      <c r="R2111" t="s">
        <v>430</v>
      </c>
      <c r="S2111">
        <v>137.655</v>
      </c>
    </row>
    <row r="2112" spans="1:19" x14ac:dyDescent="0.15">
      <c r="A2112" t="s">
        <v>422</v>
      </c>
      <c r="B2112" t="s">
        <v>423</v>
      </c>
      <c r="C2112">
        <v>31108570</v>
      </c>
      <c r="D2112">
        <v>12</v>
      </c>
      <c r="E2112" t="s">
        <v>75</v>
      </c>
      <c r="G2112">
        <v>9.6999999999999993</v>
      </c>
      <c r="H2112">
        <v>9.8000000000000007</v>
      </c>
      <c r="I2112" t="s">
        <v>181</v>
      </c>
      <c r="K2112">
        <f t="shared" si="68"/>
        <v>9.6999999999999993</v>
      </c>
      <c r="L2112">
        <f t="shared" si="69"/>
        <v>9.8000000000000007</v>
      </c>
      <c r="M2112" t="s">
        <v>25</v>
      </c>
      <c r="O2112" s="7">
        <v>44494</v>
      </c>
      <c r="P2112" t="s">
        <v>145</v>
      </c>
      <c r="Q2112">
        <v>76300601</v>
      </c>
      <c r="R2112" t="s">
        <v>430</v>
      </c>
      <c r="S2112">
        <v>45.9375</v>
      </c>
    </row>
    <row r="2113" spans="1:19" x14ac:dyDescent="0.15">
      <c r="A2113" t="s">
        <v>422</v>
      </c>
      <c r="B2113" t="s">
        <v>423</v>
      </c>
      <c r="C2113">
        <v>31108570</v>
      </c>
      <c r="D2113">
        <v>12</v>
      </c>
      <c r="E2113" t="s">
        <v>75</v>
      </c>
      <c r="G2113">
        <v>20.100000000000001</v>
      </c>
      <c r="H2113">
        <v>20.5</v>
      </c>
      <c r="I2113" t="s">
        <v>181</v>
      </c>
      <c r="K2113">
        <f t="shared" si="68"/>
        <v>20.100000000000001</v>
      </c>
      <c r="L2113">
        <f t="shared" si="69"/>
        <v>20.5</v>
      </c>
      <c r="M2113" t="s">
        <v>25</v>
      </c>
      <c r="O2113" s="7">
        <v>44495</v>
      </c>
      <c r="P2113" t="s">
        <v>145</v>
      </c>
      <c r="Q2113">
        <v>76300601</v>
      </c>
      <c r="R2113" t="s">
        <v>430</v>
      </c>
      <c r="S2113">
        <v>275.625</v>
      </c>
    </row>
    <row r="2114" spans="1:19" x14ac:dyDescent="0.15">
      <c r="A2114" t="s">
        <v>422</v>
      </c>
      <c r="B2114" t="s">
        <v>423</v>
      </c>
      <c r="C2114">
        <v>31108570</v>
      </c>
      <c r="D2114">
        <v>12</v>
      </c>
      <c r="E2114" t="s">
        <v>75</v>
      </c>
      <c r="G2114">
        <v>21.7</v>
      </c>
      <c r="H2114">
        <v>21.9</v>
      </c>
      <c r="I2114" t="s">
        <v>181</v>
      </c>
      <c r="K2114">
        <f t="shared" si="68"/>
        <v>21.7</v>
      </c>
      <c r="L2114">
        <f t="shared" si="69"/>
        <v>21.9</v>
      </c>
      <c r="M2114" t="s">
        <v>25</v>
      </c>
      <c r="O2114" s="7">
        <v>44496</v>
      </c>
      <c r="P2114" t="s">
        <v>145</v>
      </c>
      <c r="Q2114">
        <v>76300601</v>
      </c>
      <c r="R2114" t="s">
        <v>430</v>
      </c>
      <c r="S2114">
        <v>91.875</v>
      </c>
    </row>
    <row r="2115" spans="1:19" x14ac:dyDescent="0.15">
      <c r="A2115" t="s">
        <v>422</v>
      </c>
      <c r="B2115" t="s">
        <v>423</v>
      </c>
      <c r="C2115">
        <v>31108570</v>
      </c>
      <c r="D2115">
        <v>12</v>
      </c>
      <c r="E2115" t="s">
        <v>74</v>
      </c>
      <c r="G2115">
        <v>30.7</v>
      </c>
      <c r="H2115">
        <v>30.4</v>
      </c>
      <c r="I2115" t="s">
        <v>91</v>
      </c>
      <c r="K2115">
        <f t="shared" si="68"/>
        <v>30.4</v>
      </c>
      <c r="L2115">
        <f t="shared" si="69"/>
        <v>30.7</v>
      </c>
      <c r="M2115" t="s">
        <v>25</v>
      </c>
      <c r="O2115" s="7">
        <v>44499</v>
      </c>
      <c r="P2115" t="s">
        <v>145</v>
      </c>
      <c r="Q2115">
        <v>76300601</v>
      </c>
      <c r="R2115" t="s">
        <v>430</v>
      </c>
      <c r="S2115">
        <v>114.1875</v>
      </c>
    </row>
    <row r="2116" spans="1:19" x14ac:dyDescent="0.15">
      <c r="A2116" t="s">
        <v>422</v>
      </c>
      <c r="B2116" t="s">
        <v>423</v>
      </c>
      <c r="C2116">
        <v>31108570</v>
      </c>
      <c r="D2116">
        <v>12</v>
      </c>
      <c r="E2116" t="s">
        <v>74</v>
      </c>
      <c r="G2116">
        <v>28</v>
      </c>
      <c r="H2116">
        <v>27.9</v>
      </c>
      <c r="I2116" t="s">
        <v>91</v>
      </c>
      <c r="K2116">
        <f t="shared" si="68"/>
        <v>27.9</v>
      </c>
      <c r="L2116">
        <f t="shared" si="69"/>
        <v>28</v>
      </c>
      <c r="M2116" t="s">
        <v>25</v>
      </c>
      <c r="O2116" s="7">
        <v>44499</v>
      </c>
      <c r="P2116" t="s">
        <v>145</v>
      </c>
      <c r="Q2116">
        <v>76300601</v>
      </c>
      <c r="R2116" t="s">
        <v>430</v>
      </c>
      <c r="S2116">
        <v>36.75</v>
      </c>
    </row>
    <row r="2117" spans="1:19" x14ac:dyDescent="0.15">
      <c r="A2117" t="s">
        <v>422</v>
      </c>
      <c r="B2117" t="s">
        <v>423</v>
      </c>
      <c r="C2117">
        <v>31108570</v>
      </c>
      <c r="D2117">
        <v>20</v>
      </c>
      <c r="E2117" t="s">
        <v>74</v>
      </c>
      <c r="G2117">
        <v>40.4</v>
      </c>
      <c r="H2117">
        <v>40.299999999999997</v>
      </c>
      <c r="I2117" t="s">
        <v>182</v>
      </c>
      <c r="K2117">
        <f t="shared" si="68"/>
        <v>40.299999999999997</v>
      </c>
      <c r="L2117">
        <f t="shared" si="69"/>
        <v>40.4</v>
      </c>
      <c r="M2117" t="s">
        <v>25</v>
      </c>
      <c r="O2117" s="7">
        <v>44501</v>
      </c>
      <c r="P2117" t="s">
        <v>145</v>
      </c>
      <c r="Q2117">
        <v>76300601</v>
      </c>
      <c r="R2117" t="s">
        <v>430</v>
      </c>
      <c r="S2117">
        <v>45.9375</v>
      </c>
    </row>
    <row r="2118" spans="1:19" x14ac:dyDescent="0.15">
      <c r="A2118" t="s">
        <v>422</v>
      </c>
      <c r="B2118" t="s">
        <v>423</v>
      </c>
      <c r="C2118">
        <v>31108570</v>
      </c>
      <c r="D2118">
        <v>13</v>
      </c>
      <c r="E2118" t="s">
        <v>75</v>
      </c>
      <c r="G2118">
        <v>7.5</v>
      </c>
      <c r="H2118">
        <v>7.8</v>
      </c>
      <c r="I2118" t="s">
        <v>94</v>
      </c>
      <c r="K2118">
        <f t="shared" si="68"/>
        <v>7.5</v>
      </c>
      <c r="L2118">
        <f t="shared" si="69"/>
        <v>7.8</v>
      </c>
      <c r="M2118" t="s">
        <v>25</v>
      </c>
      <c r="O2118" s="7">
        <v>44502</v>
      </c>
      <c r="P2118" t="s">
        <v>145</v>
      </c>
      <c r="Q2118">
        <v>76300601</v>
      </c>
      <c r="R2118" t="s">
        <v>430</v>
      </c>
      <c r="S2118">
        <v>110.25</v>
      </c>
    </row>
    <row r="2119" spans="1:19" x14ac:dyDescent="0.15">
      <c r="A2119" t="s">
        <v>422</v>
      </c>
      <c r="B2119" t="s">
        <v>423</v>
      </c>
      <c r="C2119">
        <v>31108570</v>
      </c>
      <c r="D2119">
        <v>13</v>
      </c>
      <c r="E2119" t="s">
        <v>75</v>
      </c>
      <c r="G2119">
        <v>7.8</v>
      </c>
      <c r="H2119">
        <v>7.9</v>
      </c>
      <c r="I2119" t="s">
        <v>181</v>
      </c>
      <c r="K2119">
        <f t="shared" si="68"/>
        <v>7.8</v>
      </c>
      <c r="L2119">
        <f t="shared" si="69"/>
        <v>7.9</v>
      </c>
      <c r="M2119" t="s">
        <v>25</v>
      </c>
      <c r="O2119" s="7">
        <v>44502</v>
      </c>
      <c r="P2119" t="s">
        <v>145</v>
      </c>
      <c r="Q2119">
        <v>76300601</v>
      </c>
      <c r="R2119" t="s">
        <v>430</v>
      </c>
      <c r="S2119">
        <v>45.9375</v>
      </c>
    </row>
    <row r="2120" spans="1:19" x14ac:dyDescent="0.15">
      <c r="A2120" t="s">
        <v>422</v>
      </c>
      <c r="B2120" t="s">
        <v>423</v>
      </c>
      <c r="C2120">
        <v>31108570</v>
      </c>
      <c r="D2120">
        <v>13</v>
      </c>
      <c r="E2120" t="s">
        <v>75</v>
      </c>
      <c r="G2120">
        <v>9.1</v>
      </c>
      <c r="H2120">
        <v>9.1999999999999993</v>
      </c>
      <c r="I2120" t="s">
        <v>181</v>
      </c>
      <c r="K2120">
        <f t="shared" si="68"/>
        <v>9.1</v>
      </c>
      <c r="L2120">
        <f t="shared" si="69"/>
        <v>9.1999999999999993</v>
      </c>
      <c r="M2120" t="s">
        <v>25</v>
      </c>
      <c r="O2120" s="7">
        <v>44502</v>
      </c>
      <c r="P2120" t="s">
        <v>145</v>
      </c>
      <c r="Q2120">
        <v>76300601</v>
      </c>
      <c r="R2120" t="s">
        <v>430</v>
      </c>
      <c r="S2120">
        <v>45.9375</v>
      </c>
    </row>
    <row r="2121" spans="1:19" x14ac:dyDescent="0.15">
      <c r="A2121" t="s">
        <v>422</v>
      </c>
      <c r="B2121" t="s">
        <v>423</v>
      </c>
      <c r="C2121">
        <v>31108570</v>
      </c>
      <c r="D2121">
        <v>13</v>
      </c>
      <c r="E2121" t="s">
        <v>75</v>
      </c>
      <c r="G2121">
        <v>5.5</v>
      </c>
      <c r="H2121">
        <v>5.55</v>
      </c>
      <c r="I2121" t="s">
        <v>427</v>
      </c>
      <c r="K2121">
        <f t="shared" si="68"/>
        <v>5.5</v>
      </c>
      <c r="L2121">
        <f t="shared" si="69"/>
        <v>5.55</v>
      </c>
      <c r="M2121" t="s">
        <v>25</v>
      </c>
      <c r="O2121" s="7">
        <v>44502</v>
      </c>
      <c r="P2121" t="s">
        <v>145</v>
      </c>
      <c r="Q2121">
        <v>76300601</v>
      </c>
      <c r="R2121" t="s">
        <v>430</v>
      </c>
      <c r="S2121">
        <v>36.75</v>
      </c>
    </row>
    <row r="2122" spans="1:19" x14ac:dyDescent="0.15">
      <c r="A2122" t="s">
        <v>422</v>
      </c>
      <c r="B2122" t="s">
        <v>423</v>
      </c>
      <c r="C2122">
        <v>31108570</v>
      </c>
      <c r="D2122">
        <v>13</v>
      </c>
      <c r="E2122" t="s">
        <v>75</v>
      </c>
      <c r="G2122">
        <v>5.8</v>
      </c>
      <c r="H2122">
        <v>5.9</v>
      </c>
      <c r="I2122" t="s">
        <v>181</v>
      </c>
      <c r="K2122">
        <f t="shared" si="68"/>
        <v>5.8</v>
      </c>
      <c r="L2122">
        <f t="shared" si="69"/>
        <v>5.9</v>
      </c>
      <c r="M2122" t="s">
        <v>25</v>
      </c>
      <c r="O2122" s="7">
        <v>44502</v>
      </c>
      <c r="P2122" t="s">
        <v>145</v>
      </c>
      <c r="Q2122">
        <v>76300601</v>
      </c>
      <c r="R2122" t="s">
        <v>430</v>
      </c>
      <c r="S2122">
        <v>45.9375</v>
      </c>
    </row>
    <row r="2123" spans="1:19" x14ac:dyDescent="0.15">
      <c r="A2123" t="s">
        <v>422</v>
      </c>
      <c r="B2123" t="s">
        <v>423</v>
      </c>
      <c r="C2123">
        <v>31108570</v>
      </c>
      <c r="D2123">
        <v>13</v>
      </c>
      <c r="E2123" t="s">
        <v>75</v>
      </c>
      <c r="G2123">
        <v>6</v>
      </c>
      <c r="H2123">
        <v>6.3</v>
      </c>
      <c r="I2123" t="s">
        <v>187</v>
      </c>
      <c r="K2123">
        <f t="shared" si="68"/>
        <v>6</v>
      </c>
      <c r="L2123">
        <f t="shared" si="69"/>
        <v>6.3</v>
      </c>
      <c r="M2123" t="s">
        <v>25</v>
      </c>
      <c r="O2123" s="7">
        <v>44502</v>
      </c>
      <c r="P2123" t="s">
        <v>145</v>
      </c>
      <c r="Q2123">
        <v>76300601</v>
      </c>
      <c r="R2123" t="s">
        <v>430</v>
      </c>
      <c r="S2123">
        <v>36.75</v>
      </c>
    </row>
    <row r="2124" spans="1:19" x14ac:dyDescent="0.15">
      <c r="A2124" t="s">
        <v>422</v>
      </c>
      <c r="B2124" t="s">
        <v>423</v>
      </c>
      <c r="C2124">
        <v>31108570</v>
      </c>
      <c r="D2124">
        <v>13</v>
      </c>
      <c r="E2124" t="s">
        <v>75</v>
      </c>
      <c r="G2124">
        <v>6.4</v>
      </c>
      <c r="H2124">
        <v>6.6</v>
      </c>
      <c r="I2124" t="s">
        <v>187</v>
      </c>
      <c r="K2124">
        <f t="shared" si="68"/>
        <v>6.4</v>
      </c>
      <c r="L2124">
        <f t="shared" si="69"/>
        <v>6.6</v>
      </c>
      <c r="M2124" t="s">
        <v>25</v>
      </c>
      <c r="O2124" s="7">
        <v>44503</v>
      </c>
      <c r="P2124" t="s">
        <v>145</v>
      </c>
      <c r="Q2124">
        <v>76300601</v>
      </c>
      <c r="R2124" t="s">
        <v>430</v>
      </c>
      <c r="S2124">
        <v>73.5</v>
      </c>
    </row>
    <row r="2125" spans="1:19" x14ac:dyDescent="0.15">
      <c r="A2125" t="s">
        <v>422</v>
      </c>
      <c r="B2125" t="s">
        <v>423</v>
      </c>
      <c r="C2125">
        <v>31108570</v>
      </c>
      <c r="D2125">
        <v>12</v>
      </c>
      <c r="E2125" t="s">
        <v>74</v>
      </c>
      <c r="G2125">
        <v>34.700000000000003</v>
      </c>
      <c r="H2125">
        <v>34.6</v>
      </c>
      <c r="I2125" t="s">
        <v>209</v>
      </c>
      <c r="K2125">
        <f t="shared" si="68"/>
        <v>34.6</v>
      </c>
      <c r="L2125">
        <f t="shared" si="69"/>
        <v>34.700000000000003</v>
      </c>
      <c r="M2125" t="s">
        <v>25</v>
      </c>
      <c r="O2125" s="7">
        <v>44506</v>
      </c>
      <c r="P2125" t="s">
        <v>145</v>
      </c>
      <c r="Q2125">
        <v>76300601</v>
      </c>
      <c r="R2125" t="s">
        <v>430</v>
      </c>
      <c r="S2125">
        <v>45.9375</v>
      </c>
    </row>
    <row r="2126" spans="1:19" x14ac:dyDescent="0.15">
      <c r="A2126" t="s">
        <v>422</v>
      </c>
      <c r="B2126" t="s">
        <v>423</v>
      </c>
      <c r="C2126">
        <v>31108570</v>
      </c>
      <c r="D2126">
        <v>12</v>
      </c>
      <c r="E2126" t="s">
        <v>74</v>
      </c>
      <c r="G2126">
        <v>33.299999999999997</v>
      </c>
      <c r="H2126">
        <v>32.799999999999997</v>
      </c>
      <c r="I2126" t="s">
        <v>209</v>
      </c>
      <c r="K2126">
        <f t="shared" si="68"/>
        <v>32.799999999999997</v>
      </c>
      <c r="L2126">
        <f t="shared" si="69"/>
        <v>33.299999999999997</v>
      </c>
      <c r="M2126" t="s">
        <v>25</v>
      </c>
      <c r="O2126" s="7">
        <v>44506</v>
      </c>
      <c r="P2126" t="s">
        <v>145</v>
      </c>
      <c r="Q2126">
        <v>76300601</v>
      </c>
      <c r="R2126" t="s">
        <v>430</v>
      </c>
      <c r="S2126">
        <v>229.6875</v>
      </c>
    </row>
    <row r="2127" spans="1:19" x14ac:dyDescent="0.15">
      <c r="A2127" t="s">
        <v>422</v>
      </c>
      <c r="B2127" t="s">
        <v>423</v>
      </c>
      <c r="C2127">
        <v>31108570</v>
      </c>
      <c r="D2127">
        <v>12</v>
      </c>
      <c r="E2127" t="s">
        <v>75</v>
      </c>
      <c r="G2127">
        <v>22.5</v>
      </c>
      <c r="H2127">
        <v>22.6</v>
      </c>
      <c r="I2127" t="s">
        <v>181</v>
      </c>
      <c r="K2127">
        <f t="shared" si="68"/>
        <v>22.5</v>
      </c>
      <c r="L2127">
        <f t="shared" si="69"/>
        <v>22.6</v>
      </c>
      <c r="M2127" t="s">
        <v>25</v>
      </c>
      <c r="O2127" s="7">
        <v>44508</v>
      </c>
      <c r="P2127" t="s">
        <v>145</v>
      </c>
      <c r="Q2127">
        <v>76300601</v>
      </c>
      <c r="R2127" t="s">
        <v>430</v>
      </c>
      <c r="S2127">
        <v>45.9375</v>
      </c>
    </row>
    <row r="2128" spans="1:19" x14ac:dyDescent="0.15">
      <c r="A2128" t="s">
        <v>422</v>
      </c>
      <c r="B2128" t="s">
        <v>423</v>
      </c>
      <c r="C2128">
        <v>31108570</v>
      </c>
      <c r="D2128">
        <v>12</v>
      </c>
      <c r="E2128" t="s">
        <v>75</v>
      </c>
      <c r="G2128">
        <v>23.4</v>
      </c>
      <c r="H2128">
        <v>23.6</v>
      </c>
      <c r="I2128" t="s">
        <v>181</v>
      </c>
      <c r="K2128">
        <f t="shared" si="68"/>
        <v>23.4</v>
      </c>
      <c r="L2128">
        <f t="shared" si="69"/>
        <v>23.6</v>
      </c>
      <c r="M2128" t="s">
        <v>25</v>
      </c>
      <c r="O2128" s="7">
        <v>44508</v>
      </c>
      <c r="P2128" t="s">
        <v>145</v>
      </c>
      <c r="Q2128">
        <v>76300601</v>
      </c>
      <c r="R2128" t="s">
        <v>430</v>
      </c>
      <c r="S2128">
        <v>91.875</v>
      </c>
    </row>
    <row r="2129" spans="1:19" x14ac:dyDescent="0.15">
      <c r="A2129" t="s">
        <v>422</v>
      </c>
      <c r="B2129" t="s">
        <v>423</v>
      </c>
      <c r="C2129">
        <v>31108570</v>
      </c>
      <c r="D2129">
        <v>12</v>
      </c>
      <c r="E2129" t="s">
        <v>75</v>
      </c>
      <c r="G2129">
        <v>23.8</v>
      </c>
      <c r="H2129">
        <v>23.9</v>
      </c>
      <c r="I2129" t="s">
        <v>428</v>
      </c>
      <c r="K2129">
        <f t="shared" si="68"/>
        <v>23.8</v>
      </c>
      <c r="L2129">
        <f t="shared" si="69"/>
        <v>23.9</v>
      </c>
      <c r="M2129" t="s">
        <v>25</v>
      </c>
      <c r="O2129" s="7">
        <v>44509</v>
      </c>
      <c r="P2129" t="s">
        <v>145</v>
      </c>
      <c r="Q2129">
        <v>76300601</v>
      </c>
      <c r="R2129" t="s">
        <v>430</v>
      </c>
      <c r="S2129">
        <v>105</v>
      </c>
    </row>
    <row r="2130" spans="1:19" x14ac:dyDescent="0.15">
      <c r="A2130" t="s">
        <v>422</v>
      </c>
      <c r="B2130" t="s">
        <v>423</v>
      </c>
      <c r="C2130">
        <v>31108570</v>
      </c>
      <c r="D2130">
        <v>12</v>
      </c>
      <c r="E2130" t="s">
        <v>75</v>
      </c>
      <c r="G2130">
        <v>24</v>
      </c>
      <c r="H2130">
        <v>24.2</v>
      </c>
      <c r="I2130" t="s">
        <v>181</v>
      </c>
      <c r="K2130">
        <f t="shared" si="68"/>
        <v>24</v>
      </c>
      <c r="L2130">
        <f t="shared" si="69"/>
        <v>24.2</v>
      </c>
      <c r="M2130" t="s">
        <v>25</v>
      </c>
      <c r="O2130" s="7">
        <v>44509</v>
      </c>
      <c r="P2130" t="s">
        <v>145</v>
      </c>
      <c r="Q2130">
        <v>76300601</v>
      </c>
      <c r="R2130" t="s">
        <v>430</v>
      </c>
      <c r="S2130">
        <v>91.875</v>
      </c>
    </row>
    <row r="2131" spans="1:19" x14ac:dyDescent="0.15">
      <c r="A2131" t="s">
        <v>422</v>
      </c>
      <c r="B2131" t="s">
        <v>423</v>
      </c>
      <c r="C2131">
        <v>31108570</v>
      </c>
      <c r="D2131">
        <v>12</v>
      </c>
      <c r="E2131" t="s">
        <v>75</v>
      </c>
      <c r="G2131">
        <v>24.5</v>
      </c>
      <c r="H2131">
        <v>24.6</v>
      </c>
      <c r="I2131" t="s">
        <v>94</v>
      </c>
      <c r="K2131">
        <f t="shared" si="68"/>
        <v>24.5</v>
      </c>
      <c r="L2131">
        <f t="shared" si="69"/>
        <v>24.6</v>
      </c>
      <c r="M2131" t="s">
        <v>25</v>
      </c>
      <c r="O2131" s="7">
        <v>44509</v>
      </c>
      <c r="P2131" t="s">
        <v>145</v>
      </c>
      <c r="Q2131">
        <v>76300601</v>
      </c>
      <c r="R2131" t="s">
        <v>430</v>
      </c>
      <c r="S2131">
        <v>36.75</v>
      </c>
    </row>
    <row r="2132" spans="1:19" x14ac:dyDescent="0.15">
      <c r="A2132" t="s">
        <v>422</v>
      </c>
      <c r="B2132" t="s">
        <v>423</v>
      </c>
      <c r="C2132">
        <v>31108570</v>
      </c>
      <c r="D2132">
        <v>12</v>
      </c>
      <c r="E2132" t="s">
        <v>75</v>
      </c>
      <c r="G2132">
        <v>26.7</v>
      </c>
      <c r="H2132">
        <v>27</v>
      </c>
      <c r="I2132" t="s">
        <v>94</v>
      </c>
      <c r="K2132">
        <f t="shared" si="68"/>
        <v>26.7</v>
      </c>
      <c r="L2132">
        <f t="shared" si="69"/>
        <v>27</v>
      </c>
      <c r="M2132" t="s">
        <v>25</v>
      </c>
      <c r="O2132" s="7">
        <v>44510</v>
      </c>
      <c r="P2132" t="s">
        <v>145</v>
      </c>
      <c r="Q2132">
        <v>76300601</v>
      </c>
      <c r="R2132" t="s">
        <v>430</v>
      </c>
      <c r="S2132">
        <v>248.11499999999998</v>
      </c>
    </row>
    <row r="2133" spans="1:19" x14ac:dyDescent="0.15">
      <c r="A2133" t="s">
        <v>422</v>
      </c>
      <c r="B2133" t="s">
        <v>423</v>
      </c>
      <c r="C2133">
        <v>31108570</v>
      </c>
      <c r="D2133">
        <v>12</v>
      </c>
      <c r="E2133" t="s">
        <v>75</v>
      </c>
      <c r="G2133">
        <v>27.8</v>
      </c>
      <c r="H2133">
        <v>28</v>
      </c>
      <c r="I2133" t="s">
        <v>98</v>
      </c>
      <c r="K2133">
        <f t="shared" si="68"/>
        <v>27.8</v>
      </c>
      <c r="L2133">
        <f t="shared" si="69"/>
        <v>28</v>
      </c>
      <c r="M2133" t="s">
        <v>25</v>
      </c>
      <c r="O2133" s="7">
        <v>44516</v>
      </c>
      <c r="P2133" t="s">
        <v>145</v>
      </c>
      <c r="Q2133">
        <v>76300601</v>
      </c>
      <c r="R2133" t="s">
        <v>430</v>
      </c>
      <c r="S2133">
        <v>91.875</v>
      </c>
    </row>
    <row r="2134" spans="1:19" x14ac:dyDescent="0.15">
      <c r="A2134" t="s">
        <v>422</v>
      </c>
      <c r="B2134" t="s">
        <v>423</v>
      </c>
      <c r="C2134">
        <v>31108570</v>
      </c>
      <c r="D2134">
        <v>12</v>
      </c>
      <c r="E2134" t="s">
        <v>74</v>
      </c>
      <c r="G2134">
        <v>24.9</v>
      </c>
      <c r="H2134">
        <v>24.8</v>
      </c>
      <c r="I2134" t="s">
        <v>92</v>
      </c>
      <c r="K2134">
        <f t="shared" si="68"/>
        <v>24.8</v>
      </c>
      <c r="L2134">
        <f t="shared" si="69"/>
        <v>24.9</v>
      </c>
      <c r="M2134" t="s">
        <v>25</v>
      </c>
      <c r="O2134" s="7">
        <v>44522</v>
      </c>
      <c r="P2134" t="s">
        <v>145</v>
      </c>
      <c r="Q2134">
        <v>76300601</v>
      </c>
      <c r="R2134" t="s">
        <v>430</v>
      </c>
      <c r="S2134">
        <v>36.75</v>
      </c>
    </row>
    <row r="2135" spans="1:19" x14ac:dyDescent="0.15">
      <c r="A2135" t="s">
        <v>422</v>
      </c>
      <c r="B2135" t="s">
        <v>423</v>
      </c>
      <c r="C2135">
        <v>31108570</v>
      </c>
      <c r="D2135">
        <v>12</v>
      </c>
      <c r="E2135" t="s">
        <v>74</v>
      </c>
      <c r="G2135">
        <v>23.9</v>
      </c>
      <c r="H2135">
        <v>23.7</v>
      </c>
      <c r="I2135" t="s">
        <v>92</v>
      </c>
      <c r="K2135">
        <f t="shared" si="68"/>
        <v>23.7</v>
      </c>
      <c r="L2135">
        <f t="shared" si="69"/>
        <v>23.9</v>
      </c>
      <c r="M2135" t="s">
        <v>25</v>
      </c>
      <c r="O2135" s="7">
        <v>44522</v>
      </c>
      <c r="P2135" t="s">
        <v>145</v>
      </c>
      <c r="Q2135">
        <v>76300601</v>
      </c>
      <c r="R2135" t="s">
        <v>430</v>
      </c>
      <c r="S2135">
        <v>73.5</v>
      </c>
    </row>
    <row r="2136" spans="1:19" x14ac:dyDescent="0.15">
      <c r="A2136" t="s">
        <v>422</v>
      </c>
      <c r="B2136" t="s">
        <v>423</v>
      </c>
      <c r="C2136">
        <v>31108570</v>
      </c>
      <c r="D2136">
        <v>12</v>
      </c>
      <c r="E2136" t="s">
        <v>75</v>
      </c>
      <c r="G2136">
        <v>22.7</v>
      </c>
      <c r="H2136">
        <v>22.8</v>
      </c>
      <c r="I2136" t="s">
        <v>182</v>
      </c>
      <c r="K2136">
        <f t="shared" si="68"/>
        <v>22.7</v>
      </c>
      <c r="L2136">
        <f t="shared" si="69"/>
        <v>22.8</v>
      </c>
      <c r="M2136" t="s">
        <v>25</v>
      </c>
      <c r="O2136" s="7">
        <v>44523</v>
      </c>
      <c r="P2136" t="s">
        <v>145</v>
      </c>
      <c r="Q2136">
        <v>76300601</v>
      </c>
      <c r="R2136" t="s">
        <v>430</v>
      </c>
      <c r="S2136">
        <v>45.9375</v>
      </c>
    </row>
    <row r="2137" spans="1:19" x14ac:dyDescent="0.15">
      <c r="A2137" t="s">
        <v>422</v>
      </c>
      <c r="B2137" t="s">
        <v>423</v>
      </c>
      <c r="C2137">
        <v>31108570</v>
      </c>
      <c r="D2137">
        <v>12</v>
      </c>
      <c r="E2137" t="s">
        <v>74</v>
      </c>
      <c r="G2137">
        <v>16</v>
      </c>
      <c r="H2137">
        <v>15.8</v>
      </c>
      <c r="I2137" t="s">
        <v>182</v>
      </c>
      <c r="K2137">
        <f t="shared" si="68"/>
        <v>15.8</v>
      </c>
      <c r="L2137">
        <f t="shared" si="69"/>
        <v>16</v>
      </c>
      <c r="M2137" t="s">
        <v>25</v>
      </c>
      <c r="O2137" s="7">
        <v>44523</v>
      </c>
      <c r="P2137" t="s">
        <v>145</v>
      </c>
      <c r="Q2137">
        <v>76300601</v>
      </c>
      <c r="R2137" t="s">
        <v>430</v>
      </c>
      <c r="S2137">
        <v>91.875</v>
      </c>
    </row>
    <row r="2138" spans="1:19" x14ac:dyDescent="0.15">
      <c r="A2138" t="s">
        <v>422</v>
      </c>
      <c r="B2138" t="s">
        <v>423</v>
      </c>
      <c r="C2138">
        <v>31108570</v>
      </c>
      <c r="D2138">
        <v>20</v>
      </c>
      <c r="E2138" t="s">
        <v>74</v>
      </c>
      <c r="G2138">
        <v>46.8</v>
      </c>
      <c r="H2138">
        <v>46.7</v>
      </c>
      <c r="I2138" t="s">
        <v>92</v>
      </c>
      <c r="K2138">
        <f t="shared" si="68"/>
        <v>46.7</v>
      </c>
      <c r="L2138">
        <f t="shared" si="69"/>
        <v>46.8</v>
      </c>
      <c r="M2138" t="s">
        <v>25</v>
      </c>
      <c r="O2138" s="7">
        <v>44524</v>
      </c>
      <c r="P2138" t="s">
        <v>145</v>
      </c>
      <c r="Q2138">
        <v>76300601</v>
      </c>
      <c r="R2138" t="s">
        <v>430</v>
      </c>
      <c r="S2138">
        <v>45.9375</v>
      </c>
    </row>
    <row r="2139" spans="1:19" x14ac:dyDescent="0.15">
      <c r="A2139" t="s">
        <v>422</v>
      </c>
      <c r="B2139" t="s">
        <v>423</v>
      </c>
      <c r="C2139">
        <v>31108570</v>
      </c>
      <c r="D2139">
        <v>20</v>
      </c>
      <c r="E2139" t="s">
        <v>74</v>
      </c>
      <c r="G2139">
        <v>45.3</v>
      </c>
      <c r="H2139">
        <v>45.2</v>
      </c>
      <c r="I2139" t="s">
        <v>91</v>
      </c>
      <c r="K2139">
        <f t="shared" si="68"/>
        <v>45.2</v>
      </c>
      <c r="L2139">
        <f t="shared" si="69"/>
        <v>45.3</v>
      </c>
      <c r="M2139" t="s">
        <v>25</v>
      </c>
      <c r="O2139" s="7">
        <v>44524</v>
      </c>
      <c r="P2139" t="s">
        <v>145</v>
      </c>
      <c r="Q2139">
        <v>76300601</v>
      </c>
      <c r="R2139" t="s">
        <v>430</v>
      </c>
      <c r="S2139">
        <v>45.9375</v>
      </c>
    </row>
    <row r="2140" spans="1:19" x14ac:dyDescent="0.15">
      <c r="A2140" t="s">
        <v>422</v>
      </c>
      <c r="B2140" t="s">
        <v>423</v>
      </c>
      <c r="C2140">
        <v>31108570</v>
      </c>
      <c r="D2140">
        <v>13</v>
      </c>
      <c r="E2140" t="s">
        <v>75</v>
      </c>
      <c r="G2140">
        <v>18</v>
      </c>
      <c r="H2140">
        <v>18.149999999999999</v>
      </c>
      <c r="I2140" t="s">
        <v>94</v>
      </c>
      <c r="K2140">
        <f t="shared" si="68"/>
        <v>18</v>
      </c>
      <c r="L2140">
        <f t="shared" si="69"/>
        <v>18.149999999999999</v>
      </c>
      <c r="M2140" t="s">
        <v>25</v>
      </c>
      <c r="O2140" s="7">
        <v>44525</v>
      </c>
      <c r="P2140" t="s">
        <v>145</v>
      </c>
      <c r="Q2140">
        <v>76300601</v>
      </c>
      <c r="R2140" t="s">
        <v>430</v>
      </c>
      <c r="S2140">
        <v>55.125</v>
      </c>
    </row>
    <row r="2141" spans="1:19" x14ac:dyDescent="0.15">
      <c r="A2141" t="s">
        <v>422</v>
      </c>
      <c r="B2141" t="s">
        <v>423</v>
      </c>
      <c r="C2141">
        <v>31108570</v>
      </c>
      <c r="D2141">
        <v>13</v>
      </c>
      <c r="E2141" t="s">
        <v>75</v>
      </c>
      <c r="G2141">
        <v>18.399999999999999</v>
      </c>
      <c r="H2141">
        <v>18.600000000000001</v>
      </c>
      <c r="I2141" t="s">
        <v>181</v>
      </c>
      <c r="K2141">
        <f t="shared" si="68"/>
        <v>18.399999999999999</v>
      </c>
      <c r="L2141">
        <f t="shared" si="69"/>
        <v>18.600000000000001</v>
      </c>
      <c r="M2141" t="s">
        <v>25</v>
      </c>
      <c r="O2141" s="7">
        <v>44525</v>
      </c>
      <c r="P2141" t="s">
        <v>145</v>
      </c>
      <c r="Q2141">
        <v>76300601</v>
      </c>
      <c r="R2141" t="s">
        <v>430</v>
      </c>
      <c r="S2141">
        <v>91.875</v>
      </c>
    </row>
    <row r="2142" spans="1:19" x14ac:dyDescent="0.15">
      <c r="A2142" t="s">
        <v>422</v>
      </c>
      <c r="B2142" t="s">
        <v>423</v>
      </c>
      <c r="C2142">
        <v>31108570</v>
      </c>
      <c r="D2142">
        <v>20</v>
      </c>
      <c r="E2142" t="s">
        <v>75</v>
      </c>
      <c r="G2142">
        <v>29.524999999999999</v>
      </c>
      <c r="H2142">
        <v>29.574999999999999</v>
      </c>
      <c r="I2142" t="s">
        <v>217</v>
      </c>
      <c r="J2142" t="s">
        <v>23</v>
      </c>
      <c r="K2142">
        <f t="shared" ref="K2142:K2157" si="70">MIN(G2142:H2142)</f>
        <v>29.524999999999999</v>
      </c>
      <c r="L2142">
        <f t="shared" ref="L2142:L2157" si="71">MAX(G2142:H2142)</f>
        <v>29.574999999999999</v>
      </c>
      <c r="M2142" t="s">
        <v>25</v>
      </c>
      <c r="O2142" s="7">
        <v>44526</v>
      </c>
      <c r="P2142" t="s">
        <v>145</v>
      </c>
      <c r="Q2142">
        <v>76300601</v>
      </c>
      <c r="R2142" t="s">
        <v>430</v>
      </c>
      <c r="S2142">
        <v>94.5</v>
      </c>
    </row>
    <row r="2143" spans="1:19" x14ac:dyDescent="0.15">
      <c r="A2143" t="s">
        <v>422</v>
      </c>
      <c r="B2143" t="s">
        <v>423</v>
      </c>
      <c r="C2143">
        <v>31108570</v>
      </c>
      <c r="D2143">
        <v>12</v>
      </c>
      <c r="E2143" t="s">
        <v>75</v>
      </c>
      <c r="G2143">
        <v>3.7</v>
      </c>
      <c r="H2143">
        <v>4.3</v>
      </c>
      <c r="I2143" t="s">
        <v>181</v>
      </c>
      <c r="K2143">
        <f t="shared" si="70"/>
        <v>3.7</v>
      </c>
      <c r="L2143">
        <f t="shared" si="71"/>
        <v>4.3</v>
      </c>
      <c r="M2143" t="s">
        <v>25</v>
      </c>
      <c r="O2143" s="7">
        <v>44526</v>
      </c>
      <c r="P2143" t="s">
        <v>145</v>
      </c>
      <c r="Q2143">
        <v>76300601</v>
      </c>
      <c r="R2143" t="s">
        <v>430</v>
      </c>
      <c r="S2143">
        <v>275.625</v>
      </c>
    </row>
    <row r="2144" spans="1:19" x14ac:dyDescent="0.15">
      <c r="A2144" t="s">
        <v>422</v>
      </c>
      <c r="B2144" t="s">
        <v>423</v>
      </c>
      <c r="C2144">
        <v>31108570</v>
      </c>
      <c r="D2144">
        <v>12</v>
      </c>
      <c r="E2144" t="s">
        <v>75</v>
      </c>
      <c r="G2144">
        <v>5.3</v>
      </c>
      <c r="H2144">
        <v>5.5</v>
      </c>
      <c r="I2144" t="s">
        <v>181</v>
      </c>
      <c r="K2144">
        <f t="shared" si="70"/>
        <v>5.3</v>
      </c>
      <c r="L2144">
        <f t="shared" si="71"/>
        <v>5.5</v>
      </c>
      <c r="M2144" t="s">
        <v>25</v>
      </c>
      <c r="O2144" s="7">
        <v>44526</v>
      </c>
      <c r="P2144" t="s">
        <v>145</v>
      </c>
      <c r="Q2144">
        <v>76300601</v>
      </c>
      <c r="R2144" t="s">
        <v>430</v>
      </c>
      <c r="S2144">
        <v>91.875</v>
      </c>
    </row>
    <row r="2145" spans="1:19" x14ac:dyDescent="0.15">
      <c r="A2145" t="s">
        <v>422</v>
      </c>
      <c r="B2145" t="s">
        <v>423</v>
      </c>
      <c r="C2145">
        <v>31108570</v>
      </c>
      <c r="D2145">
        <v>12</v>
      </c>
      <c r="E2145" t="s">
        <v>75</v>
      </c>
      <c r="G2145">
        <v>6</v>
      </c>
      <c r="H2145">
        <v>6.2</v>
      </c>
      <c r="I2145" t="s">
        <v>94</v>
      </c>
      <c r="K2145">
        <f t="shared" si="70"/>
        <v>6</v>
      </c>
      <c r="L2145">
        <f t="shared" si="71"/>
        <v>6.2</v>
      </c>
      <c r="M2145" t="s">
        <v>25</v>
      </c>
      <c r="O2145" s="7">
        <v>44529</v>
      </c>
      <c r="P2145" t="s">
        <v>145</v>
      </c>
      <c r="Q2145">
        <v>76300601</v>
      </c>
      <c r="R2145" t="s">
        <v>430</v>
      </c>
      <c r="S2145">
        <v>73.5</v>
      </c>
    </row>
    <row r="2146" spans="1:19" x14ac:dyDescent="0.15">
      <c r="A2146" t="s">
        <v>422</v>
      </c>
      <c r="B2146" t="s">
        <v>423</v>
      </c>
      <c r="C2146">
        <v>31108570</v>
      </c>
      <c r="D2146">
        <v>12</v>
      </c>
      <c r="E2146" t="s">
        <v>75</v>
      </c>
      <c r="G2146">
        <v>6.6</v>
      </c>
      <c r="H2146">
        <v>6.7</v>
      </c>
      <c r="I2146" t="s">
        <v>98</v>
      </c>
      <c r="K2146">
        <f t="shared" si="70"/>
        <v>6.6</v>
      </c>
      <c r="L2146">
        <f t="shared" si="71"/>
        <v>6.7</v>
      </c>
      <c r="M2146" t="s">
        <v>25</v>
      </c>
      <c r="O2146" s="7">
        <v>44529</v>
      </c>
      <c r="P2146" t="s">
        <v>145</v>
      </c>
      <c r="Q2146">
        <v>76300601</v>
      </c>
      <c r="R2146" t="s">
        <v>430</v>
      </c>
      <c r="S2146">
        <v>45.9375</v>
      </c>
    </row>
    <row r="2147" spans="1:19" x14ac:dyDescent="0.15">
      <c r="A2147" t="s">
        <v>422</v>
      </c>
      <c r="B2147" t="s">
        <v>423</v>
      </c>
      <c r="C2147">
        <v>31108570</v>
      </c>
      <c r="D2147">
        <v>13</v>
      </c>
      <c r="E2147" t="s">
        <v>75</v>
      </c>
      <c r="G2147">
        <v>6.1</v>
      </c>
      <c r="H2147">
        <v>6.8</v>
      </c>
      <c r="I2147" t="s">
        <v>181</v>
      </c>
      <c r="K2147">
        <f t="shared" si="70"/>
        <v>6.1</v>
      </c>
      <c r="L2147">
        <f t="shared" si="71"/>
        <v>6.8</v>
      </c>
      <c r="M2147" t="s">
        <v>25</v>
      </c>
      <c r="O2147" s="7">
        <v>44530</v>
      </c>
      <c r="P2147" t="s">
        <v>145</v>
      </c>
      <c r="Q2147">
        <v>76300601</v>
      </c>
      <c r="R2147" t="s">
        <v>430</v>
      </c>
      <c r="S2147">
        <v>321.40499999999997</v>
      </c>
    </row>
    <row r="2148" spans="1:19" x14ac:dyDescent="0.15">
      <c r="A2148" t="s">
        <v>422</v>
      </c>
      <c r="B2148" t="s">
        <v>423</v>
      </c>
      <c r="C2148">
        <v>31108570</v>
      </c>
      <c r="D2148">
        <v>12</v>
      </c>
      <c r="E2148" t="s">
        <v>75</v>
      </c>
      <c r="G2148">
        <v>19.5</v>
      </c>
      <c r="H2148">
        <v>19.7</v>
      </c>
      <c r="I2148" t="s">
        <v>181</v>
      </c>
      <c r="K2148">
        <f t="shared" si="70"/>
        <v>19.5</v>
      </c>
      <c r="L2148">
        <f t="shared" si="71"/>
        <v>19.7</v>
      </c>
      <c r="M2148" t="s">
        <v>25</v>
      </c>
      <c r="O2148" s="7">
        <v>44531</v>
      </c>
      <c r="P2148" t="s">
        <v>145</v>
      </c>
      <c r="Q2148">
        <v>76300601</v>
      </c>
      <c r="R2148" t="s">
        <v>430</v>
      </c>
      <c r="S2148">
        <v>165.375</v>
      </c>
    </row>
    <row r="2149" spans="1:19" x14ac:dyDescent="0.15">
      <c r="A2149" t="s">
        <v>422</v>
      </c>
      <c r="B2149" t="s">
        <v>423</v>
      </c>
      <c r="C2149">
        <v>31108570</v>
      </c>
      <c r="D2149">
        <v>20</v>
      </c>
      <c r="E2149" t="s">
        <v>75</v>
      </c>
      <c r="G2149">
        <v>10.6</v>
      </c>
      <c r="H2149">
        <v>10.7</v>
      </c>
      <c r="I2149" t="s">
        <v>94</v>
      </c>
      <c r="K2149">
        <f t="shared" si="70"/>
        <v>10.6</v>
      </c>
      <c r="L2149">
        <f t="shared" si="71"/>
        <v>10.7</v>
      </c>
      <c r="M2149" t="s">
        <v>25</v>
      </c>
      <c r="O2149" s="7">
        <v>44532</v>
      </c>
      <c r="P2149" t="s">
        <v>145</v>
      </c>
      <c r="Q2149">
        <v>76300601</v>
      </c>
      <c r="R2149" t="s">
        <v>430</v>
      </c>
      <c r="S2149">
        <v>45.9375</v>
      </c>
    </row>
    <row r="2150" spans="1:19" x14ac:dyDescent="0.15">
      <c r="A2150" t="s">
        <v>422</v>
      </c>
      <c r="B2150" t="s">
        <v>423</v>
      </c>
      <c r="C2150">
        <v>31108570</v>
      </c>
      <c r="D2150">
        <v>20</v>
      </c>
      <c r="E2150" t="s">
        <v>75</v>
      </c>
      <c r="G2150">
        <v>12.9</v>
      </c>
      <c r="H2150">
        <v>13</v>
      </c>
      <c r="I2150" t="s">
        <v>22</v>
      </c>
      <c r="K2150">
        <f t="shared" si="70"/>
        <v>12.9</v>
      </c>
      <c r="L2150">
        <f t="shared" si="71"/>
        <v>13</v>
      </c>
      <c r="M2150" t="s">
        <v>25</v>
      </c>
      <c r="O2150" s="7">
        <v>44532</v>
      </c>
      <c r="P2150" t="s">
        <v>145</v>
      </c>
      <c r="Q2150">
        <v>76300601</v>
      </c>
      <c r="R2150" t="s">
        <v>430</v>
      </c>
      <c r="S2150">
        <v>45.9375</v>
      </c>
    </row>
    <row r="2151" spans="1:19" x14ac:dyDescent="0.15">
      <c r="A2151" t="s">
        <v>422</v>
      </c>
      <c r="B2151" t="s">
        <v>423</v>
      </c>
      <c r="C2151">
        <v>31108570</v>
      </c>
      <c r="D2151">
        <v>20</v>
      </c>
      <c r="E2151" t="s">
        <v>75</v>
      </c>
      <c r="G2151">
        <v>13.4</v>
      </c>
      <c r="H2151">
        <v>13.5</v>
      </c>
      <c r="I2151" t="s">
        <v>94</v>
      </c>
      <c r="K2151">
        <f t="shared" si="70"/>
        <v>13.4</v>
      </c>
      <c r="L2151">
        <f t="shared" si="71"/>
        <v>13.5</v>
      </c>
      <c r="M2151" t="s">
        <v>25</v>
      </c>
      <c r="O2151" s="7">
        <v>44532</v>
      </c>
      <c r="P2151" t="s">
        <v>145</v>
      </c>
      <c r="Q2151">
        <v>76300601</v>
      </c>
      <c r="R2151" t="s">
        <v>430</v>
      </c>
      <c r="S2151">
        <v>45.9375</v>
      </c>
    </row>
    <row r="2152" spans="1:19" x14ac:dyDescent="0.15">
      <c r="A2152" t="s">
        <v>422</v>
      </c>
      <c r="B2152" t="s">
        <v>423</v>
      </c>
      <c r="C2152">
        <v>31108570</v>
      </c>
      <c r="D2152">
        <v>20</v>
      </c>
      <c r="E2152" t="s">
        <v>75</v>
      </c>
      <c r="G2152">
        <v>24.65</v>
      </c>
      <c r="H2152">
        <v>24.7</v>
      </c>
      <c r="I2152" t="s">
        <v>94</v>
      </c>
      <c r="K2152">
        <f t="shared" si="70"/>
        <v>24.65</v>
      </c>
      <c r="L2152">
        <f t="shared" si="71"/>
        <v>24.7</v>
      </c>
      <c r="M2152" t="s">
        <v>25</v>
      </c>
      <c r="O2152" s="7">
        <v>44536</v>
      </c>
      <c r="P2152" t="s">
        <v>145</v>
      </c>
      <c r="Q2152">
        <v>76300601</v>
      </c>
      <c r="R2152" t="s">
        <v>429</v>
      </c>
      <c r="S2152">
        <v>45.9375</v>
      </c>
    </row>
    <row r="2153" spans="1:19" x14ac:dyDescent="0.15">
      <c r="A2153" t="s">
        <v>422</v>
      </c>
      <c r="B2153" t="s">
        <v>423</v>
      </c>
      <c r="C2153">
        <v>31108570</v>
      </c>
      <c r="D2153">
        <v>20</v>
      </c>
      <c r="E2153" t="s">
        <v>75</v>
      </c>
      <c r="G2153">
        <v>24.9</v>
      </c>
      <c r="H2153">
        <v>25.3</v>
      </c>
      <c r="I2153" t="s">
        <v>96</v>
      </c>
      <c r="K2153">
        <f t="shared" si="70"/>
        <v>24.9</v>
      </c>
      <c r="L2153">
        <f t="shared" si="71"/>
        <v>25.3</v>
      </c>
      <c r="M2153" t="s">
        <v>25</v>
      </c>
      <c r="O2153" s="7">
        <v>44536</v>
      </c>
      <c r="P2153" t="s">
        <v>145</v>
      </c>
      <c r="Q2153">
        <v>76300601</v>
      </c>
      <c r="R2153" t="s">
        <v>429</v>
      </c>
      <c r="S2153">
        <v>152.25</v>
      </c>
    </row>
    <row r="2154" spans="1:19" x14ac:dyDescent="0.15">
      <c r="A2154" t="s">
        <v>422</v>
      </c>
      <c r="B2154" t="s">
        <v>423</v>
      </c>
      <c r="C2154">
        <v>31108570</v>
      </c>
      <c r="D2154">
        <v>20</v>
      </c>
      <c r="E2154" t="s">
        <v>75</v>
      </c>
      <c r="G2154">
        <v>25.6</v>
      </c>
      <c r="H2154">
        <v>25.8</v>
      </c>
      <c r="I2154" t="s">
        <v>96</v>
      </c>
      <c r="K2154">
        <f t="shared" si="70"/>
        <v>25.6</v>
      </c>
      <c r="L2154">
        <f t="shared" si="71"/>
        <v>25.8</v>
      </c>
      <c r="M2154" t="s">
        <v>25</v>
      </c>
      <c r="O2154" s="7">
        <v>44536</v>
      </c>
      <c r="P2154" t="s">
        <v>145</v>
      </c>
      <c r="Q2154">
        <v>76300601</v>
      </c>
      <c r="R2154" t="s">
        <v>429</v>
      </c>
      <c r="S2154">
        <v>76.125</v>
      </c>
    </row>
    <row r="2155" spans="1:19" x14ac:dyDescent="0.15">
      <c r="A2155" t="s">
        <v>422</v>
      </c>
      <c r="B2155" t="s">
        <v>423</v>
      </c>
      <c r="C2155">
        <v>31108570</v>
      </c>
      <c r="D2155">
        <v>12</v>
      </c>
      <c r="E2155" t="s">
        <v>74</v>
      </c>
      <c r="G2155">
        <v>38.9</v>
      </c>
      <c r="H2155">
        <v>38.799999999999997</v>
      </c>
      <c r="I2155" t="s">
        <v>209</v>
      </c>
      <c r="K2155">
        <f t="shared" si="70"/>
        <v>38.799999999999997</v>
      </c>
      <c r="L2155">
        <f t="shared" si="71"/>
        <v>38.9</v>
      </c>
      <c r="M2155" t="s">
        <v>25</v>
      </c>
      <c r="O2155" s="7">
        <v>44547</v>
      </c>
      <c r="P2155" t="s">
        <v>145</v>
      </c>
      <c r="Q2155">
        <v>76300601</v>
      </c>
      <c r="R2155" t="s">
        <v>429</v>
      </c>
      <c r="S2155">
        <v>45.885000000000652</v>
      </c>
    </row>
    <row r="2156" spans="1:19" x14ac:dyDescent="0.15">
      <c r="A2156" t="s">
        <v>422</v>
      </c>
      <c r="B2156" t="s">
        <v>423</v>
      </c>
      <c r="C2156">
        <v>31108570</v>
      </c>
      <c r="D2156">
        <v>12</v>
      </c>
      <c r="E2156" t="s">
        <v>74</v>
      </c>
      <c r="G2156">
        <v>38.1</v>
      </c>
      <c r="H2156">
        <v>37.9</v>
      </c>
      <c r="I2156" t="s">
        <v>209</v>
      </c>
      <c r="K2156">
        <f t="shared" si="70"/>
        <v>37.9</v>
      </c>
      <c r="L2156">
        <f t="shared" si="71"/>
        <v>38.1</v>
      </c>
      <c r="M2156" t="s">
        <v>25</v>
      </c>
      <c r="O2156" s="7">
        <v>44547</v>
      </c>
      <c r="P2156" t="s">
        <v>145</v>
      </c>
      <c r="Q2156">
        <v>76300601</v>
      </c>
      <c r="R2156" t="s">
        <v>429</v>
      </c>
      <c r="S2156">
        <v>91.770000000001303</v>
      </c>
    </row>
    <row r="2157" spans="1:19" x14ac:dyDescent="0.15">
      <c r="A2157" t="s">
        <v>422</v>
      </c>
      <c r="B2157" t="s">
        <v>423</v>
      </c>
      <c r="C2157">
        <v>31108570</v>
      </c>
      <c r="D2157">
        <v>12</v>
      </c>
      <c r="E2157" t="s">
        <v>74</v>
      </c>
      <c r="G2157">
        <v>37.700000000000003</v>
      </c>
      <c r="H2157">
        <v>37.6</v>
      </c>
      <c r="I2157" t="s">
        <v>209</v>
      </c>
      <c r="K2157">
        <f t="shared" si="70"/>
        <v>37.6</v>
      </c>
      <c r="L2157">
        <f t="shared" si="71"/>
        <v>37.700000000000003</v>
      </c>
      <c r="M2157" t="s">
        <v>25</v>
      </c>
      <c r="O2157" s="7">
        <v>44547</v>
      </c>
      <c r="P2157" t="s">
        <v>145</v>
      </c>
      <c r="Q2157">
        <v>76300601</v>
      </c>
      <c r="R2157" t="s">
        <v>429</v>
      </c>
      <c r="S2157">
        <v>45.885000000000652</v>
      </c>
    </row>
    <row r="2158" spans="1:19" x14ac:dyDescent="0.15">
      <c r="B2158" t="s">
        <v>151</v>
      </c>
      <c r="D2158">
        <v>58</v>
      </c>
      <c r="E2158" t="s">
        <v>74</v>
      </c>
      <c r="G2158">
        <v>162.15</v>
      </c>
      <c r="H2158">
        <v>160.80000000000001</v>
      </c>
      <c r="I2158" t="s">
        <v>92</v>
      </c>
      <c r="K2158">
        <f t="shared" ref="K2158:K2160" si="72">MIN(G2158:H2158)</f>
        <v>160.80000000000001</v>
      </c>
      <c r="L2158">
        <f t="shared" ref="L2158:L2160" si="73">MAX(G2158:H2158)</f>
        <v>162.15</v>
      </c>
      <c r="M2158" t="s">
        <v>99</v>
      </c>
      <c r="O2158" s="7">
        <v>44459</v>
      </c>
    </row>
    <row r="2159" spans="1:19" x14ac:dyDescent="0.15">
      <c r="B2159" t="s">
        <v>151</v>
      </c>
      <c r="D2159">
        <v>58</v>
      </c>
      <c r="E2159" t="s">
        <v>74</v>
      </c>
      <c r="G2159">
        <v>161.84</v>
      </c>
      <c r="H2159">
        <v>161.5</v>
      </c>
      <c r="I2159" t="s">
        <v>91</v>
      </c>
      <c r="K2159">
        <f t="shared" si="72"/>
        <v>161.5</v>
      </c>
      <c r="L2159">
        <f t="shared" si="73"/>
        <v>161.84</v>
      </c>
      <c r="M2159" t="s">
        <v>99</v>
      </c>
      <c r="O2159" s="7">
        <v>44459</v>
      </c>
    </row>
    <row r="2160" spans="1:19" x14ac:dyDescent="0.15">
      <c r="B2160" t="s">
        <v>151</v>
      </c>
      <c r="D2160">
        <v>57</v>
      </c>
      <c r="E2160" t="s">
        <v>164</v>
      </c>
      <c r="G2160">
        <v>75.92</v>
      </c>
      <c r="H2160">
        <v>77.8</v>
      </c>
      <c r="I2160" t="s">
        <v>96</v>
      </c>
      <c r="K2160">
        <f t="shared" si="72"/>
        <v>75.92</v>
      </c>
      <c r="L2160">
        <f t="shared" si="73"/>
        <v>77.8</v>
      </c>
      <c r="M2160" t="s">
        <v>99</v>
      </c>
      <c r="O2160" s="7">
        <v>44469</v>
      </c>
    </row>
    <row r="2161" spans="1:18" x14ac:dyDescent="0.15">
      <c r="B2161" t="s">
        <v>151</v>
      </c>
      <c r="D2161">
        <v>58</v>
      </c>
      <c r="E2161" t="s">
        <v>76</v>
      </c>
      <c r="F2161" t="s">
        <v>87</v>
      </c>
      <c r="G2161">
        <v>166.9</v>
      </c>
      <c r="H2161">
        <v>166.3</v>
      </c>
      <c r="I2161" t="s">
        <v>91</v>
      </c>
      <c r="K2161">
        <f t="shared" ref="K2161:K2170" si="74">MIN(G2161:H2161)</f>
        <v>166.3</v>
      </c>
      <c r="L2161">
        <f t="shared" ref="L2161:L2170" si="75">MAX(G2161:H2161)</f>
        <v>166.9</v>
      </c>
      <c r="M2161" t="s">
        <v>437</v>
      </c>
      <c r="O2161" s="7">
        <v>44350</v>
      </c>
    </row>
    <row r="2162" spans="1:18" x14ac:dyDescent="0.15">
      <c r="B2162" t="s">
        <v>349</v>
      </c>
      <c r="D2162">
        <v>73</v>
      </c>
      <c r="E2162" t="s">
        <v>75</v>
      </c>
      <c r="G2162">
        <v>91.4</v>
      </c>
      <c r="H2162">
        <v>92.1</v>
      </c>
      <c r="I2162" t="s">
        <v>96</v>
      </c>
      <c r="K2162">
        <f t="shared" si="74"/>
        <v>91.4</v>
      </c>
      <c r="L2162">
        <f t="shared" si="75"/>
        <v>92.1</v>
      </c>
      <c r="M2162" t="s">
        <v>99</v>
      </c>
      <c r="O2162" s="7">
        <v>44352</v>
      </c>
    </row>
    <row r="2163" spans="1:18" x14ac:dyDescent="0.15">
      <c r="B2163" t="s">
        <v>349</v>
      </c>
      <c r="D2163">
        <v>73</v>
      </c>
      <c r="E2163" t="s">
        <v>75</v>
      </c>
      <c r="G2163">
        <v>86.15</v>
      </c>
      <c r="H2163">
        <v>86.7</v>
      </c>
      <c r="I2163" t="s">
        <v>96</v>
      </c>
      <c r="K2163">
        <f t="shared" si="74"/>
        <v>86.15</v>
      </c>
      <c r="L2163">
        <f t="shared" si="75"/>
        <v>86.7</v>
      </c>
      <c r="M2163" t="s">
        <v>99</v>
      </c>
      <c r="O2163" s="7">
        <v>44352</v>
      </c>
    </row>
    <row r="2164" spans="1:18" x14ac:dyDescent="0.15">
      <c r="A2164" s="12" t="s">
        <v>19</v>
      </c>
      <c r="B2164" t="s">
        <v>20</v>
      </c>
      <c r="C2164" s="6">
        <v>31142564</v>
      </c>
      <c r="D2164">
        <v>12</v>
      </c>
      <c r="E2164" t="s">
        <v>74</v>
      </c>
      <c r="G2164">
        <v>43.625</v>
      </c>
      <c r="H2164">
        <v>42.35</v>
      </c>
      <c r="J2164" t="s">
        <v>23</v>
      </c>
      <c r="K2164">
        <f t="shared" si="74"/>
        <v>42.35</v>
      </c>
      <c r="L2164">
        <f t="shared" si="75"/>
        <v>43.625</v>
      </c>
      <c r="M2164" s="41" t="s">
        <v>27</v>
      </c>
      <c r="O2164" s="7">
        <v>44476</v>
      </c>
    </row>
    <row r="2165" spans="1:18" x14ac:dyDescent="0.15">
      <c r="A2165" s="12" t="s">
        <v>19</v>
      </c>
      <c r="B2165" t="s">
        <v>20</v>
      </c>
      <c r="C2165" s="6">
        <v>31142564</v>
      </c>
      <c r="D2165">
        <v>12</v>
      </c>
      <c r="E2165" t="s">
        <v>74</v>
      </c>
      <c r="G2165">
        <v>42.35</v>
      </c>
      <c r="H2165">
        <v>42.3</v>
      </c>
      <c r="J2165" t="s">
        <v>23</v>
      </c>
      <c r="K2165">
        <f t="shared" si="74"/>
        <v>42.3</v>
      </c>
      <c r="L2165">
        <f t="shared" si="75"/>
        <v>42.35</v>
      </c>
      <c r="M2165" t="s">
        <v>156</v>
      </c>
      <c r="O2165" s="7">
        <v>44476</v>
      </c>
    </row>
    <row r="2166" spans="1:18" x14ac:dyDescent="0.15">
      <c r="A2166" s="12" t="s">
        <v>19</v>
      </c>
      <c r="B2166" t="s">
        <v>20</v>
      </c>
      <c r="C2166" s="6">
        <v>31142564</v>
      </c>
      <c r="D2166">
        <v>12</v>
      </c>
      <c r="E2166" t="s">
        <v>74</v>
      </c>
      <c r="G2166">
        <v>42.3</v>
      </c>
      <c r="H2166">
        <v>41.575000000000003</v>
      </c>
      <c r="J2166" t="s">
        <v>23</v>
      </c>
      <c r="K2166">
        <f t="shared" si="74"/>
        <v>41.575000000000003</v>
      </c>
      <c r="L2166">
        <f t="shared" si="75"/>
        <v>42.3</v>
      </c>
      <c r="M2166" s="41" t="s">
        <v>27</v>
      </c>
      <c r="O2166" s="7">
        <v>44476</v>
      </c>
    </row>
    <row r="2167" spans="1:18" x14ac:dyDescent="0.15">
      <c r="A2167" s="12" t="s">
        <v>19</v>
      </c>
      <c r="B2167" t="s">
        <v>20</v>
      </c>
      <c r="C2167" s="6">
        <v>31142564</v>
      </c>
      <c r="D2167">
        <v>12</v>
      </c>
      <c r="E2167" t="s">
        <v>74</v>
      </c>
      <c r="G2167">
        <v>41.575000000000003</v>
      </c>
      <c r="H2167">
        <v>41.534999999999997</v>
      </c>
      <c r="J2167" t="s">
        <v>23</v>
      </c>
      <c r="K2167">
        <f t="shared" si="74"/>
        <v>41.534999999999997</v>
      </c>
      <c r="L2167">
        <f t="shared" si="75"/>
        <v>41.575000000000003</v>
      </c>
      <c r="M2167" t="s">
        <v>156</v>
      </c>
      <c r="O2167" s="7">
        <v>44476</v>
      </c>
    </row>
    <row r="2168" spans="1:18" x14ac:dyDescent="0.15">
      <c r="A2168" s="12" t="s">
        <v>19</v>
      </c>
      <c r="B2168" t="s">
        <v>20</v>
      </c>
      <c r="C2168" s="6">
        <v>31142564</v>
      </c>
      <c r="D2168">
        <v>12</v>
      </c>
      <c r="E2168" t="s">
        <v>74</v>
      </c>
      <c r="G2168">
        <v>41.534999999999997</v>
      </c>
      <c r="H2168">
        <v>40.5</v>
      </c>
      <c r="J2168" t="s">
        <v>23</v>
      </c>
      <c r="K2168">
        <f t="shared" si="74"/>
        <v>40.5</v>
      </c>
      <c r="L2168">
        <f t="shared" si="75"/>
        <v>41.534999999999997</v>
      </c>
      <c r="M2168" s="41" t="s">
        <v>27</v>
      </c>
      <c r="O2168" s="7">
        <v>44476</v>
      </c>
    </row>
    <row r="2169" spans="1:18" x14ac:dyDescent="0.15">
      <c r="A2169" s="12" t="s">
        <v>19</v>
      </c>
      <c r="B2169" t="s">
        <v>423</v>
      </c>
      <c r="C2169" s="6">
        <v>31142564</v>
      </c>
      <c r="D2169">
        <v>12</v>
      </c>
      <c r="E2169" t="s">
        <v>74</v>
      </c>
      <c r="G2169">
        <v>40.5</v>
      </c>
      <c r="H2169">
        <v>40.005000000000003</v>
      </c>
      <c r="J2169" t="s">
        <v>23</v>
      </c>
      <c r="K2169">
        <f t="shared" si="74"/>
        <v>40.005000000000003</v>
      </c>
      <c r="L2169">
        <f t="shared" si="75"/>
        <v>40.5</v>
      </c>
      <c r="M2169" s="41" t="s">
        <v>27</v>
      </c>
      <c r="O2169" s="7">
        <v>44476</v>
      </c>
    </row>
    <row r="2170" spans="1:18" x14ac:dyDescent="0.15">
      <c r="A2170" s="12" t="s">
        <v>19</v>
      </c>
      <c r="B2170" t="s">
        <v>423</v>
      </c>
      <c r="C2170" s="6">
        <v>31142564</v>
      </c>
      <c r="D2170">
        <v>12</v>
      </c>
      <c r="E2170" t="s">
        <v>74</v>
      </c>
      <c r="G2170">
        <v>40.005000000000003</v>
      </c>
      <c r="H2170">
        <v>39.935000000000002</v>
      </c>
      <c r="J2170" t="s">
        <v>23</v>
      </c>
      <c r="K2170">
        <f t="shared" si="74"/>
        <v>39.935000000000002</v>
      </c>
      <c r="L2170">
        <f t="shared" si="75"/>
        <v>40.005000000000003</v>
      </c>
      <c r="M2170" t="s">
        <v>156</v>
      </c>
      <c r="O2170" s="7">
        <v>44476</v>
      </c>
    </row>
    <row r="2171" spans="1:18" x14ac:dyDescent="0.15">
      <c r="A2171" s="12" t="s">
        <v>19</v>
      </c>
      <c r="B2171" t="s">
        <v>423</v>
      </c>
      <c r="C2171" s="6">
        <v>31142564</v>
      </c>
      <c r="D2171">
        <v>12</v>
      </c>
      <c r="E2171" t="s">
        <v>74</v>
      </c>
      <c r="G2171">
        <v>39.935000000000002</v>
      </c>
      <c r="H2171">
        <v>39.15</v>
      </c>
      <c r="J2171" t="s">
        <v>23</v>
      </c>
      <c r="K2171">
        <f t="shared" ref="K2171" si="76">MIN(G2171:H2171)</f>
        <v>39.15</v>
      </c>
      <c r="L2171">
        <f t="shared" ref="L2171" si="77">MAX(G2171:H2171)</f>
        <v>39.935000000000002</v>
      </c>
      <c r="M2171" s="41" t="s">
        <v>27</v>
      </c>
      <c r="O2171" s="7">
        <v>44476</v>
      </c>
    </row>
    <row r="2172" spans="1:18" x14ac:dyDescent="0.15">
      <c r="B2172" t="s">
        <v>151</v>
      </c>
      <c r="D2172">
        <v>57</v>
      </c>
      <c r="E2172" t="s">
        <v>164</v>
      </c>
      <c r="G2172">
        <v>75.25</v>
      </c>
      <c r="H2172">
        <v>75.92</v>
      </c>
      <c r="I2172" t="s">
        <v>96</v>
      </c>
      <c r="K2172">
        <f t="shared" ref="K2172" si="78">MIN(G2172:H2172)</f>
        <v>75.25</v>
      </c>
      <c r="L2172">
        <f t="shared" ref="L2172" si="79">MAX(G2172:H2172)</f>
        <v>75.92</v>
      </c>
      <c r="M2172" t="s">
        <v>438</v>
      </c>
      <c r="O2172" s="7">
        <v>44469</v>
      </c>
    </row>
    <row r="2173" spans="1:18" x14ac:dyDescent="0.15">
      <c r="A2173" s="12" t="s">
        <v>449</v>
      </c>
      <c r="B2173" t="s">
        <v>403</v>
      </c>
      <c r="D2173" t="s">
        <v>450</v>
      </c>
      <c r="E2173" t="s">
        <v>74</v>
      </c>
      <c r="G2173">
        <v>98</v>
      </c>
      <c r="H2173">
        <v>97.5</v>
      </c>
      <c r="J2173" s="36" t="s">
        <v>23</v>
      </c>
      <c r="K2173">
        <f t="shared" ref="K2173:K2194" si="80">MIN(G2173:H2173)</f>
        <v>97.5</v>
      </c>
      <c r="L2173">
        <f t="shared" ref="L2173:L2194" si="81">MAX(G2173:H2173)</f>
        <v>98</v>
      </c>
      <c r="M2173" t="s">
        <v>28</v>
      </c>
      <c r="N2173" t="s">
        <v>451</v>
      </c>
      <c r="O2173" s="7">
        <v>44394</v>
      </c>
      <c r="P2173" t="s">
        <v>159</v>
      </c>
      <c r="Q2173">
        <v>43095</v>
      </c>
      <c r="R2173" t="s">
        <v>440</v>
      </c>
    </row>
    <row r="2174" spans="1:18" x14ac:dyDescent="0.15">
      <c r="A2174" s="12" t="s">
        <v>449</v>
      </c>
      <c r="B2174" t="s">
        <v>403</v>
      </c>
      <c r="D2174" t="s">
        <v>450</v>
      </c>
      <c r="E2174" t="s">
        <v>74</v>
      </c>
      <c r="G2174">
        <v>100</v>
      </c>
      <c r="H2174">
        <v>98</v>
      </c>
      <c r="J2174" s="36" t="s">
        <v>23</v>
      </c>
      <c r="K2174">
        <f t="shared" si="80"/>
        <v>98</v>
      </c>
      <c r="L2174">
        <f t="shared" si="81"/>
        <v>100</v>
      </c>
      <c r="M2174" t="s">
        <v>28</v>
      </c>
      <c r="N2174" t="s">
        <v>451</v>
      </c>
      <c r="O2174" s="7">
        <v>44390</v>
      </c>
      <c r="P2174" t="s">
        <v>159</v>
      </c>
      <c r="Q2174">
        <v>43095</v>
      </c>
      <c r="R2174" t="s">
        <v>440</v>
      </c>
    </row>
    <row r="2175" spans="1:18" x14ac:dyDescent="0.15">
      <c r="A2175" s="12" t="s">
        <v>449</v>
      </c>
      <c r="B2175" t="s">
        <v>403</v>
      </c>
      <c r="D2175" t="s">
        <v>450</v>
      </c>
      <c r="E2175" t="s">
        <v>74</v>
      </c>
      <c r="G2175">
        <v>100</v>
      </c>
      <c r="H2175">
        <v>98</v>
      </c>
      <c r="J2175" s="36" t="s">
        <v>23</v>
      </c>
      <c r="K2175">
        <f t="shared" si="80"/>
        <v>98</v>
      </c>
      <c r="L2175">
        <f t="shared" si="81"/>
        <v>100</v>
      </c>
      <c r="M2175" t="s">
        <v>28</v>
      </c>
      <c r="N2175" t="s">
        <v>451</v>
      </c>
      <c r="O2175" s="7">
        <v>44390</v>
      </c>
      <c r="P2175" t="s">
        <v>159</v>
      </c>
      <c r="Q2175">
        <v>43095</v>
      </c>
      <c r="R2175" t="s">
        <v>452</v>
      </c>
    </row>
    <row r="2176" spans="1:18" x14ac:dyDescent="0.15">
      <c r="A2176" s="12" t="s">
        <v>449</v>
      </c>
      <c r="B2176" t="s">
        <v>403</v>
      </c>
      <c r="D2176" t="s">
        <v>450</v>
      </c>
      <c r="E2176" t="s">
        <v>74</v>
      </c>
      <c r="G2176">
        <v>99.8</v>
      </c>
      <c r="H2176">
        <v>98</v>
      </c>
      <c r="J2176" s="36" t="s">
        <v>23</v>
      </c>
      <c r="K2176">
        <f t="shared" si="80"/>
        <v>98</v>
      </c>
      <c r="L2176">
        <f t="shared" si="81"/>
        <v>99.8</v>
      </c>
      <c r="M2176" t="s">
        <v>28</v>
      </c>
      <c r="N2176" t="s">
        <v>451</v>
      </c>
      <c r="O2176" s="7">
        <v>44393</v>
      </c>
      <c r="P2176" t="s">
        <v>159</v>
      </c>
      <c r="Q2176">
        <v>43095</v>
      </c>
      <c r="R2176" t="s">
        <v>440</v>
      </c>
    </row>
    <row r="2177" spans="1:18" x14ac:dyDescent="0.15">
      <c r="A2177" s="12" t="s">
        <v>449</v>
      </c>
      <c r="B2177" t="s">
        <v>403</v>
      </c>
      <c r="D2177" t="s">
        <v>450</v>
      </c>
      <c r="E2177" t="s">
        <v>74</v>
      </c>
      <c r="G2177">
        <v>99.8</v>
      </c>
      <c r="H2177">
        <v>98</v>
      </c>
      <c r="J2177" s="36" t="s">
        <v>23</v>
      </c>
      <c r="K2177">
        <f t="shared" si="80"/>
        <v>98</v>
      </c>
      <c r="L2177">
        <f t="shared" si="81"/>
        <v>99.8</v>
      </c>
      <c r="M2177" t="s">
        <v>28</v>
      </c>
      <c r="N2177" t="s">
        <v>451</v>
      </c>
      <c r="O2177" s="7">
        <v>44393</v>
      </c>
      <c r="P2177" t="s">
        <v>159</v>
      </c>
      <c r="Q2177">
        <v>43095</v>
      </c>
      <c r="R2177" t="s">
        <v>452</v>
      </c>
    </row>
    <row r="2178" spans="1:18" x14ac:dyDescent="0.15">
      <c r="A2178" s="12" t="s">
        <v>449</v>
      </c>
      <c r="B2178" t="s">
        <v>403</v>
      </c>
      <c r="D2178" t="s">
        <v>450</v>
      </c>
      <c r="E2178" t="s">
        <v>75</v>
      </c>
      <c r="G2178">
        <v>101.5</v>
      </c>
      <c r="H2178">
        <v>98.5</v>
      </c>
      <c r="J2178" s="36" t="s">
        <v>23</v>
      </c>
      <c r="K2178">
        <f t="shared" si="80"/>
        <v>98.5</v>
      </c>
      <c r="L2178">
        <f t="shared" si="81"/>
        <v>101.5</v>
      </c>
      <c r="M2178" t="s">
        <v>28</v>
      </c>
      <c r="N2178" t="s">
        <v>451</v>
      </c>
      <c r="O2178" s="7">
        <v>44380</v>
      </c>
      <c r="P2178" t="s">
        <v>159</v>
      </c>
      <c r="Q2178">
        <v>43095</v>
      </c>
      <c r="R2178" t="s">
        <v>440</v>
      </c>
    </row>
    <row r="2179" spans="1:18" x14ac:dyDescent="0.15">
      <c r="A2179" s="12" t="s">
        <v>449</v>
      </c>
      <c r="B2179" t="s">
        <v>403</v>
      </c>
      <c r="D2179" t="s">
        <v>450</v>
      </c>
      <c r="E2179" t="s">
        <v>75</v>
      </c>
      <c r="G2179">
        <v>101.5</v>
      </c>
      <c r="H2179">
        <v>98.5</v>
      </c>
      <c r="J2179" s="36" t="s">
        <v>23</v>
      </c>
      <c r="K2179">
        <f t="shared" si="80"/>
        <v>98.5</v>
      </c>
      <c r="L2179">
        <f t="shared" si="81"/>
        <v>101.5</v>
      </c>
      <c r="M2179" t="s">
        <v>28</v>
      </c>
      <c r="N2179" t="s">
        <v>451</v>
      </c>
      <c r="O2179" s="7">
        <v>44380</v>
      </c>
      <c r="P2179" t="s">
        <v>159</v>
      </c>
      <c r="Q2179">
        <v>43095</v>
      </c>
      <c r="R2179" t="s">
        <v>452</v>
      </c>
    </row>
    <row r="2180" spans="1:18" x14ac:dyDescent="0.15">
      <c r="A2180" s="12" t="s">
        <v>449</v>
      </c>
      <c r="B2180" t="s">
        <v>403</v>
      </c>
      <c r="D2180" t="s">
        <v>450</v>
      </c>
      <c r="E2180" t="s">
        <v>75</v>
      </c>
      <c r="G2180">
        <v>101.5</v>
      </c>
      <c r="H2180">
        <v>98.5</v>
      </c>
      <c r="J2180" s="36" t="s">
        <v>23</v>
      </c>
      <c r="K2180">
        <f t="shared" si="80"/>
        <v>98.5</v>
      </c>
      <c r="L2180">
        <f t="shared" si="81"/>
        <v>101.5</v>
      </c>
      <c r="M2180" t="s">
        <v>28</v>
      </c>
      <c r="N2180" t="s">
        <v>453</v>
      </c>
      <c r="O2180" s="7">
        <v>44390</v>
      </c>
      <c r="P2180" t="s">
        <v>43</v>
      </c>
      <c r="Q2180">
        <v>44004</v>
      </c>
      <c r="R2180" t="s">
        <v>440</v>
      </c>
    </row>
    <row r="2181" spans="1:18" x14ac:dyDescent="0.15">
      <c r="A2181" s="12" t="s">
        <v>449</v>
      </c>
      <c r="B2181" t="s">
        <v>403</v>
      </c>
      <c r="D2181" t="s">
        <v>450</v>
      </c>
      <c r="E2181" t="s">
        <v>75</v>
      </c>
      <c r="G2181">
        <v>102</v>
      </c>
      <c r="H2181">
        <v>99.8</v>
      </c>
      <c r="J2181" s="36" t="s">
        <v>23</v>
      </c>
      <c r="K2181">
        <f t="shared" si="80"/>
        <v>99.8</v>
      </c>
      <c r="L2181">
        <f t="shared" si="81"/>
        <v>102</v>
      </c>
      <c r="M2181" t="s">
        <v>28</v>
      </c>
      <c r="N2181" t="s">
        <v>451</v>
      </c>
      <c r="O2181" s="7">
        <v>44392</v>
      </c>
      <c r="P2181" t="s">
        <v>159</v>
      </c>
      <c r="Q2181">
        <v>43095</v>
      </c>
      <c r="R2181" t="s">
        <v>440</v>
      </c>
    </row>
    <row r="2182" spans="1:18" x14ac:dyDescent="0.15">
      <c r="A2182" s="12" t="s">
        <v>449</v>
      </c>
      <c r="B2182" t="s">
        <v>403</v>
      </c>
      <c r="D2182" t="s">
        <v>450</v>
      </c>
      <c r="E2182" t="s">
        <v>75</v>
      </c>
      <c r="G2182">
        <v>102</v>
      </c>
      <c r="H2182">
        <v>99.8</v>
      </c>
      <c r="J2182" s="36" t="s">
        <v>23</v>
      </c>
      <c r="K2182">
        <f t="shared" si="80"/>
        <v>99.8</v>
      </c>
      <c r="L2182">
        <f t="shared" si="81"/>
        <v>102</v>
      </c>
      <c r="M2182" t="s">
        <v>28</v>
      </c>
      <c r="N2182" t="s">
        <v>451</v>
      </c>
      <c r="O2182" s="7">
        <v>44392</v>
      </c>
      <c r="P2182" t="s">
        <v>159</v>
      </c>
      <c r="Q2182">
        <v>43095</v>
      </c>
      <c r="R2182" t="s">
        <v>452</v>
      </c>
    </row>
    <row r="2183" spans="1:18" x14ac:dyDescent="0.15">
      <c r="A2183" s="12" t="s">
        <v>449</v>
      </c>
      <c r="B2183" t="s">
        <v>403</v>
      </c>
      <c r="D2183" t="s">
        <v>450</v>
      </c>
      <c r="E2183" t="s">
        <v>75</v>
      </c>
      <c r="G2183">
        <v>103.35</v>
      </c>
      <c r="H2183">
        <v>101.5</v>
      </c>
      <c r="J2183" s="36" t="s">
        <v>23</v>
      </c>
      <c r="K2183">
        <f t="shared" si="80"/>
        <v>101.5</v>
      </c>
      <c r="L2183">
        <f t="shared" si="81"/>
        <v>103.35</v>
      </c>
      <c r="M2183" t="s">
        <v>28</v>
      </c>
      <c r="N2183" t="s">
        <v>451</v>
      </c>
      <c r="O2183" s="7">
        <v>44379</v>
      </c>
      <c r="P2183" t="s">
        <v>159</v>
      </c>
      <c r="Q2183">
        <v>43095</v>
      </c>
      <c r="R2183" t="s">
        <v>440</v>
      </c>
    </row>
    <row r="2184" spans="1:18" x14ac:dyDescent="0.15">
      <c r="A2184" s="12" t="s">
        <v>449</v>
      </c>
      <c r="B2184" t="s">
        <v>403</v>
      </c>
      <c r="D2184" t="s">
        <v>450</v>
      </c>
      <c r="E2184" t="s">
        <v>75</v>
      </c>
      <c r="G2184">
        <v>103.35</v>
      </c>
      <c r="H2184">
        <v>101.5</v>
      </c>
      <c r="J2184" s="36" t="s">
        <v>23</v>
      </c>
      <c r="K2184">
        <f t="shared" si="80"/>
        <v>101.5</v>
      </c>
      <c r="L2184">
        <f t="shared" si="81"/>
        <v>103.35</v>
      </c>
      <c r="M2184" t="s">
        <v>28</v>
      </c>
      <c r="N2184" t="s">
        <v>451</v>
      </c>
      <c r="O2184" s="7">
        <v>44379</v>
      </c>
      <c r="P2184" t="s">
        <v>159</v>
      </c>
      <c r="Q2184">
        <v>43095</v>
      </c>
      <c r="R2184" t="s">
        <v>452</v>
      </c>
    </row>
    <row r="2185" spans="1:18" x14ac:dyDescent="0.15">
      <c r="A2185" s="12" t="s">
        <v>449</v>
      </c>
      <c r="B2185" t="s">
        <v>403</v>
      </c>
      <c r="D2185" t="s">
        <v>450</v>
      </c>
      <c r="E2185" t="s">
        <v>74</v>
      </c>
      <c r="G2185">
        <v>103.2</v>
      </c>
      <c r="H2185">
        <v>102</v>
      </c>
      <c r="J2185" s="36" t="s">
        <v>23</v>
      </c>
      <c r="K2185">
        <f t="shared" si="80"/>
        <v>102</v>
      </c>
      <c r="L2185">
        <f t="shared" si="81"/>
        <v>103.2</v>
      </c>
      <c r="M2185" t="s">
        <v>28</v>
      </c>
      <c r="N2185" t="s">
        <v>451</v>
      </c>
      <c r="O2185" s="7">
        <v>44391</v>
      </c>
      <c r="P2185" t="s">
        <v>159</v>
      </c>
      <c r="Q2185">
        <v>43095</v>
      </c>
      <c r="R2185" t="s">
        <v>440</v>
      </c>
    </row>
    <row r="2186" spans="1:18" x14ac:dyDescent="0.15">
      <c r="A2186" s="12" t="s">
        <v>449</v>
      </c>
      <c r="B2186" t="s">
        <v>403</v>
      </c>
      <c r="D2186" t="s">
        <v>450</v>
      </c>
      <c r="E2186" t="s">
        <v>74</v>
      </c>
      <c r="G2186">
        <v>103.2</v>
      </c>
      <c r="H2186">
        <v>102</v>
      </c>
      <c r="J2186" s="36" t="s">
        <v>23</v>
      </c>
      <c r="K2186">
        <f t="shared" si="80"/>
        <v>102</v>
      </c>
      <c r="L2186">
        <f t="shared" si="81"/>
        <v>103.2</v>
      </c>
      <c r="M2186" t="s">
        <v>28</v>
      </c>
      <c r="N2186" t="s">
        <v>451</v>
      </c>
      <c r="O2186" s="7">
        <v>44391</v>
      </c>
      <c r="P2186" t="s">
        <v>159</v>
      </c>
      <c r="Q2186">
        <v>43095</v>
      </c>
      <c r="R2186" t="s">
        <v>452</v>
      </c>
    </row>
    <row r="2187" spans="1:18" x14ac:dyDescent="0.15">
      <c r="A2187" s="12" t="s">
        <v>449</v>
      </c>
      <c r="B2187" t="s">
        <v>403</v>
      </c>
      <c r="D2187" t="s">
        <v>450</v>
      </c>
      <c r="E2187" t="s">
        <v>74</v>
      </c>
      <c r="G2187">
        <v>103.75</v>
      </c>
      <c r="H2187">
        <v>103.2</v>
      </c>
      <c r="J2187" s="36" t="s">
        <v>23</v>
      </c>
      <c r="K2187">
        <f t="shared" si="80"/>
        <v>103.2</v>
      </c>
      <c r="L2187">
        <f t="shared" si="81"/>
        <v>103.75</v>
      </c>
      <c r="M2187" t="s">
        <v>28</v>
      </c>
      <c r="N2187" t="s">
        <v>451</v>
      </c>
      <c r="O2187" s="7">
        <v>44378</v>
      </c>
      <c r="P2187" t="s">
        <v>159</v>
      </c>
      <c r="Q2187">
        <v>43095</v>
      </c>
      <c r="R2187" t="s">
        <v>440</v>
      </c>
    </row>
    <row r="2188" spans="1:18" x14ac:dyDescent="0.15">
      <c r="A2188" s="12" t="s">
        <v>449</v>
      </c>
      <c r="B2188" t="s">
        <v>403</v>
      </c>
      <c r="D2188" t="s">
        <v>450</v>
      </c>
      <c r="E2188" t="s">
        <v>75</v>
      </c>
      <c r="G2188">
        <v>104.04300000000001</v>
      </c>
      <c r="H2188">
        <v>103.2</v>
      </c>
      <c r="J2188" s="36" t="s">
        <v>23</v>
      </c>
      <c r="K2188">
        <f t="shared" si="80"/>
        <v>103.2</v>
      </c>
      <c r="L2188">
        <f t="shared" si="81"/>
        <v>104.04300000000001</v>
      </c>
      <c r="M2188" t="s">
        <v>28</v>
      </c>
      <c r="N2188" t="s">
        <v>451</v>
      </c>
      <c r="O2188" s="7">
        <v>44378</v>
      </c>
      <c r="P2188" t="s">
        <v>159</v>
      </c>
      <c r="Q2188">
        <v>43095</v>
      </c>
      <c r="R2188" t="s">
        <v>440</v>
      </c>
    </row>
    <row r="2189" spans="1:18" x14ac:dyDescent="0.15">
      <c r="A2189" s="12" t="s">
        <v>449</v>
      </c>
      <c r="B2189" t="s">
        <v>403</v>
      </c>
      <c r="D2189" t="s">
        <v>450</v>
      </c>
      <c r="E2189" t="s">
        <v>74</v>
      </c>
      <c r="G2189">
        <v>103.75</v>
      </c>
      <c r="H2189">
        <v>103.2</v>
      </c>
      <c r="J2189" s="36" t="s">
        <v>23</v>
      </c>
      <c r="K2189">
        <f t="shared" si="80"/>
        <v>103.2</v>
      </c>
      <c r="L2189">
        <f t="shared" si="81"/>
        <v>103.75</v>
      </c>
      <c r="M2189" t="s">
        <v>28</v>
      </c>
      <c r="N2189" t="s">
        <v>451</v>
      </c>
      <c r="O2189" s="7">
        <v>44378</v>
      </c>
      <c r="P2189" t="s">
        <v>159</v>
      </c>
      <c r="Q2189">
        <v>43095</v>
      </c>
      <c r="R2189" t="s">
        <v>452</v>
      </c>
    </row>
    <row r="2190" spans="1:18" x14ac:dyDescent="0.15">
      <c r="A2190" s="12" t="s">
        <v>449</v>
      </c>
      <c r="B2190" t="s">
        <v>403</v>
      </c>
      <c r="D2190" t="s">
        <v>450</v>
      </c>
      <c r="E2190" t="s">
        <v>75</v>
      </c>
      <c r="G2190">
        <v>104.04300000000001</v>
      </c>
      <c r="H2190">
        <v>103.2</v>
      </c>
      <c r="J2190" s="36" t="s">
        <v>23</v>
      </c>
      <c r="K2190">
        <f t="shared" si="80"/>
        <v>103.2</v>
      </c>
      <c r="L2190">
        <f t="shared" si="81"/>
        <v>104.04300000000001</v>
      </c>
      <c r="M2190" t="s">
        <v>28</v>
      </c>
      <c r="N2190" t="s">
        <v>451</v>
      </c>
      <c r="O2190" s="7">
        <v>44378</v>
      </c>
      <c r="P2190" t="s">
        <v>159</v>
      </c>
      <c r="Q2190">
        <v>43095</v>
      </c>
      <c r="R2190" t="s">
        <v>452</v>
      </c>
    </row>
    <row r="2191" spans="1:18" x14ac:dyDescent="0.15">
      <c r="A2191" s="12" t="s">
        <v>449</v>
      </c>
      <c r="B2191" t="s">
        <v>403</v>
      </c>
      <c r="D2191" t="s">
        <v>450</v>
      </c>
      <c r="E2191" t="s">
        <v>74</v>
      </c>
      <c r="G2191">
        <v>105.45</v>
      </c>
      <c r="H2191">
        <v>103.4</v>
      </c>
      <c r="J2191" s="36" t="s">
        <v>23</v>
      </c>
      <c r="K2191">
        <f t="shared" si="80"/>
        <v>103.4</v>
      </c>
      <c r="L2191">
        <f t="shared" si="81"/>
        <v>105.45</v>
      </c>
      <c r="M2191" t="s">
        <v>28</v>
      </c>
      <c r="N2191" t="s">
        <v>451</v>
      </c>
      <c r="O2191" s="7">
        <v>44376</v>
      </c>
      <c r="P2191" t="s">
        <v>159</v>
      </c>
      <c r="Q2191">
        <v>43095</v>
      </c>
      <c r="R2191" t="s">
        <v>440</v>
      </c>
    </row>
    <row r="2192" spans="1:18" x14ac:dyDescent="0.15">
      <c r="A2192" s="12" t="s">
        <v>449</v>
      </c>
      <c r="B2192" t="s">
        <v>403</v>
      </c>
      <c r="D2192" t="s">
        <v>450</v>
      </c>
      <c r="E2192" t="s">
        <v>75</v>
      </c>
      <c r="G2192">
        <v>105.45</v>
      </c>
      <c r="H2192">
        <v>103.4</v>
      </c>
      <c r="J2192" s="36" t="s">
        <v>23</v>
      </c>
      <c r="K2192">
        <f t="shared" si="80"/>
        <v>103.4</v>
      </c>
      <c r="L2192">
        <f t="shared" si="81"/>
        <v>105.45</v>
      </c>
      <c r="M2192" t="s">
        <v>28</v>
      </c>
      <c r="N2192" t="s">
        <v>451</v>
      </c>
      <c r="O2192" s="7">
        <v>44376</v>
      </c>
      <c r="P2192" t="s">
        <v>159</v>
      </c>
      <c r="Q2192">
        <v>43095</v>
      </c>
      <c r="R2192" t="s">
        <v>452</v>
      </c>
    </row>
    <row r="2193" spans="1:18" x14ac:dyDescent="0.15">
      <c r="A2193" s="12" t="s">
        <v>449</v>
      </c>
      <c r="B2193" t="s">
        <v>403</v>
      </c>
      <c r="D2193" t="s">
        <v>450</v>
      </c>
      <c r="E2193" t="s">
        <v>75</v>
      </c>
      <c r="G2193">
        <v>105.45</v>
      </c>
      <c r="H2193">
        <v>103.4</v>
      </c>
      <c r="J2193" s="36" t="s">
        <v>23</v>
      </c>
      <c r="K2193">
        <f t="shared" si="80"/>
        <v>103.4</v>
      </c>
      <c r="L2193">
        <f t="shared" si="81"/>
        <v>105.45</v>
      </c>
      <c r="M2193" t="s">
        <v>28</v>
      </c>
      <c r="N2193" t="s">
        <v>451</v>
      </c>
      <c r="O2193" s="7">
        <v>44377</v>
      </c>
      <c r="P2193" t="s">
        <v>159</v>
      </c>
      <c r="Q2193">
        <v>43095</v>
      </c>
      <c r="R2193" t="s">
        <v>440</v>
      </c>
    </row>
    <row r="2194" spans="1:18" x14ac:dyDescent="0.15">
      <c r="A2194" s="12" t="s">
        <v>449</v>
      </c>
      <c r="B2194" t="s">
        <v>403</v>
      </c>
      <c r="D2194" t="s">
        <v>450</v>
      </c>
      <c r="E2194" t="s">
        <v>75</v>
      </c>
      <c r="G2194">
        <v>105.45</v>
      </c>
      <c r="H2194">
        <v>103.4</v>
      </c>
      <c r="J2194" s="36" t="s">
        <v>23</v>
      </c>
      <c r="K2194">
        <f t="shared" si="80"/>
        <v>103.4</v>
      </c>
      <c r="L2194">
        <f t="shared" si="81"/>
        <v>105.45</v>
      </c>
      <c r="M2194" t="s">
        <v>28</v>
      </c>
      <c r="N2194" t="s">
        <v>451</v>
      </c>
      <c r="O2194" s="7">
        <v>44377</v>
      </c>
      <c r="P2194" t="s">
        <v>159</v>
      </c>
      <c r="Q2194">
        <v>43095</v>
      </c>
      <c r="R2194" t="s">
        <v>452</v>
      </c>
    </row>
    <row r="2195" spans="1:18" x14ac:dyDescent="0.15">
      <c r="A2195" s="12" t="s">
        <v>449</v>
      </c>
      <c r="B2195" t="s">
        <v>173</v>
      </c>
      <c r="C2195">
        <v>31143622</v>
      </c>
      <c r="D2195">
        <v>50</v>
      </c>
      <c r="E2195" t="s">
        <v>74</v>
      </c>
      <c r="G2195">
        <v>215</v>
      </c>
      <c r="H2195">
        <v>211.32</v>
      </c>
      <c r="J2195" s="36" t="s">
        <v>23</v>
      </c>
      <c r="K2195">
        <f t="shared" ref="K2195:K2235" si="82">MIN(G2195:H2195)</f>
        <v>211.32</v>
      </c>
      <c r="L2195">
        <f t="shared" ref="L2195:L2235" si="83">MAX(G2195:H2195)</f>
        <v>215</v>
      </c>
      <c r="M2195" t="s">
        <v>143</v>
      </c>
      <c r="N2195" s="37" t="s">
        <v>443</v>
      </c>
      <c r="O2195" s="7">
        <v>44370</v>
      </c>
      <c r="Q2195" s="37">
        <v>55302</v>
      </c>
      <c r="R2195" s="37" t="s">
        <v>440</v>
      </c>
    </row>
    <row r="2196" spans="1:18" x14ac:dyDescent="0.15">
      <c r="A2196" s="12" t="s">
        <v>449</v>
      </c>
      <c r="B2196" t="s">
        <v>173</v>
      </c>
      <c r="C2196">
        <v>31143622</v>
      </c>
      <c r="D2196">
        <v>50</v>
      </c>
      <c r="E2196" t="s">
        <v>74</v>
      </c>
      <c r="G2196">
        <v>211.32</v>
      </c>
      <c r="H2196">
        <v>208.60499999999999</v>
      </c>
      <c r="J2196" s="36" t="s">
        <v>23</v>
      </c>
      <c r="K2196">
        <f t="shared" si="82"/>
        <v>208.60499999999999</v>
      </c>
      <c r="L2196">
        <f t="shared" si="83"/>
        <v>211.32</v>
      </c>
      <c r="M2196" t="s">
        <v>27</v>
      </c>
      <c r="N2196" s="37" t="s">
        <v>448</v>
      </c>
      <c r="O2196" s="7">
        <v>44372</v>
      </c>
      <c r="Q2196" s="37">
        <v>73001</v>
      </c>
      <c r="R2196" s="37" t="s">
        <v>444</v>
      </c>
    </row>
    <row r="2197" spans="1:18" x14ac:dyDescent="0.15">
      <c r="A2197" s="12" t="s">
        <v>449</v>
      </c>
      <c r="B2197" t="s">
        <v>173</v>
      </c>
      <c r="C2197">
        <v>31143622</v>
      </c>
      <c r="D2197">
        <v>50</v>
      </c>
      <c r="E2197" t="s">
        <v>74</v>
      </c>
      <c r="G2197">
        <v>211.32</v>
      </c>
      <c r="H2197">
        <v>208.60499999999999</v>
      </c>
      <c r="J2197" s="36" t="s">
        <v>23</v>
      </c>
      <c r="K2197">
        <f t="shared" si="82"/>
        <v>208.60499999999999</v>
      </c>
      <c r="L2197">
        <f t="shared" si="83"/>
        <v>211.32</v>
      </c>
      <c r="M2197" t="s">
        <v>445</v>
      </c>
      <c r="N2197" s="37" t="s">
        <v>446</v>
      </c>
      <c r="O2197" s="7">
        <v>44372</v>
      </c>
      <c r="Q2197" s="37">
        <v>55309</v>
      </c>
      <c r="R2197" s="37" t="s">
        <v>440</v>
      </c>
    </row>
    <row r="2198" spans="1:18" x14ac:dyDescent="0.15">
      <c r="A2198" s="12" t="s">
        <v>449</v>
      </c>
      <c r="B2198" t="s">
        <v>173</v>
      </c>
      <c r="C2198">
        <v>31143622</v>
      </c>
      <c r="D2198">
        <v>50</v>
      </c>
      <c r="E2198" t="s">
        <v>74</v>
      </c>
      <c r="G2198" s="40">
        <v>208.61500000000001</v>
      </c>
      <c r="H2198" s="40">
        <f>G2198-0.075</f>
        <v>208.54000000000002</v>
      </c>
      <c r="J2198" s="36" t="s">
        <v>23</v>
      </c>
      <c r="K2198">
        <f t="shared" si="82"/>
        <v>208.54000000000002</v>
      </c>
      <c r="L2198">
        <f t="shared" si="83"/>
        <v>208.61500000000001</v>
      </c>
      <c r="M2198" t="s">
        <v>218</v>
      </c>
      <c r="N2198" s="39" t="s">
        <v>442</v>
      </c>
      <c r="O2198" s="7">
        <v>44353</v>
      </c>
      <c r="Q2198" s="37">
        <v>25317</v>
      </c>
      <c r="R2198" s="37" t="s">
        <v>440</v>
      </c>
    </row>
    <row r="2199" spans="1:18" x14ac:dyDescent="0.15">
      <c r="A2199" s="12" t="s">
        <v>449</v>
      </c>
      <c r="B2199" t="s">
        <v>173</v>
      </c>
      <c r="C2199">
        <v>31143622</v>
      </c>
      <c r="D2199">
        <v>50</v>
      </c>
      <c r="E2199" t="s">
        <v>74</v>
      </c>
      <c r="G2199">
        <v>208.54</v>
      </c>
      <c r="H2199">
        <v>207.88499999999999</v>
      </c>
      <c r="J2199" s="36" t="s">
        <v>23</v>
      </c>
      <c r="K2199">
        <f t="shared" si="82"/>
        <v>207.88499999999999</v>
      </c>
      <c r="L2199">
        <f t="shared" si="83"/>
        <v>208.54</v>
      </c>
      <c r="M2199" t="s">
        <v>27</v>
      </c>
      <c r="N2199" s="37" t="s">
        <v>447</v>
      </c>
      <c r="O2199" s="7">
        <v>44367</v>
      </c>
      <c r="Q2199" s="37">
        <v>53009</v>
      </c>
      <c r="R2199" s="37" t="s">
        <v>440</v>
      </c>
    </row>
    <row r="2200" spans="1:18" x14ac:dyDescent="0.15">
      <c r="A2200" s="12" t="s">
        <v>449</v>
      </c>
      <c r="B2200" t="s">
        <v>173</v>
      </c>
      <c r="C2200">
        <v>31143622</v>
      </c>
      <c r="D2200">
        <v>50</v>
      </c>
      <c r="E2200" t="s">
        <v>74</v>
      </c>
      <c r="G2200">
        <v>208.54</v>
      </c>
      <c r="H2200">
        <v>207.88499999999999</v>
      </c>
      <c r="J2200" s="36" t="s">
        <v>23</v>
      </c>
      <c r="K2200">
        <f t="shared" si="82"/>
        <v>207.88499999999999</v>
      </c>
      <c r="L2200">
        <f t="shared" si="83"/>
        <v>208.54</v>
      </c>
      <c r="M2200" t="s">
        <v>445</v>
      </c>
      <c r="N2200" s="37" t="s">
        <v>446</v>
      </c>
      <c r="O2200" s="7">
        <v>44367</v>
      </c>
      <c r="Q2200" s="37">
        <v>55309</v>
      </c>
      <c r="R2200" s="37" t="s">
        <v>441</v>
      </c>
    </row>
    <row r="2201" spans="1:18" x14ac:dyDescent="0.15">
      <c r="A2201" s="12" t="s">
        <v>449</v>
      </c>
      <c r="B2201" t="s">
        <v>173</v>
      </c>
      <c r="C2201">
        <v>31143622</v>
      </c>
      <c r="D2201">
        <v>50</v>
      </c>
      <c r="E2201" t="s">
        <v>74</v>
      </c>
      <c r="G2201">
        <v>207.88499999999999</v>
      </c>
      <c r="H2201">
        <v>207.875</v>
      </c>
      <c r="J2201" s="36" t="s">
        <v>23</v>
      </c>
      <c r="K2201">
        <f t="shared" si="82"/>
        <v>207.875</v>
      </c>
      <c r="L2201">
        <f t="shared" si="83"/>
        <v>207.88499999999999</v>
      </c>
      <c r="M2201" t="s">
        <v>218</v>
      </c>
      <c r="N2201" s="39" t="s">
        <v>442</v>
      </c>
      <c r="O2201" s="7">
        <v>44367</v>
      </c>
      <c r="Q2201" s="37">
        <v>25317</v>
      </c>
      <c r="R2201" s="37" t="s">
        <v>440</v>
      </c>
    </row>
    <row r="2202" spans="1:18" x14ac:dyDescent="0.15">
      <c r="A2202" s="12" t="s">
        <v>449</v>
      </c>
      <c r="B2202" t="s">
        <v>173</v>
      </c>
      <c r="C2202">
        <v>31143622</v>
      </c>
      <c r="D2202">
        <v>50</v>
      </c>
      <c r="E2202" t="s">
        <v>74</v>
      </c>
      <c r="G2202">
        <v>207.875</v>
      </c>
      <c r="H2202">
        <v>207.74</v>
      </c>
      <c r="J2202" s="36" t="s">
        <v>23</v>
      </c>
      <c r="K2202">
        <f t="shared" si="82"/>
        <v>207.74</v>
      </c>
      <c r="L2202">
        <f t="shared" si="83"/>
        <v>207.875</v>
      </c>
      <c r="M2202" t="s">
        <v>27</v>
      </c>
      <c r="N2202" s="37" t="s">
        <v>447</v>
      </c>
      <c r="O2202" s="7">
        <v>44409</v>
      </c>
      <c r="Q2202" s="37">
        <v>53009</v>
      </c>
      <c r="R2202" s="37" t="s">
        <v>440</v>
      </c>
    </row>
    <row r="2203" spans="1:18" x14ac:dyDescent="0.15">
      <c r="A2203" s="12" t="s">
        <v>449</v>
      </c>
      <c r="B2203" t="s">
        <v>173</v>
      </c>
      <c r="C2203">
        <v>31143622</v>
      </c>
      <c r="D2203">
        <v>50</v>
      </c>
      <c r="E2203" t="s">
        <v>74</v>
      </c>
      <c r="G2203">
        <v>207.875</v>
      </c>
      <c r="H2203">
        <v>207.74</v>
      </c>
      <c r="J2203" s="36" t="s">
        <v>23</v>
      </c>
      <c r="K2203">
        <f t="shared" si="82"/>
        <v>207.74</v>
      </c>
      <c r="L2203">
        <f t="shared" si="83"/>
        <v>207.875</v>
      </c>
      <c r="M2203" t="s">
        <v>445</v>
      </c>
      <c r="N2203" s="37" t="s">
        <v>446</v>
      </c>
      <c r="O2203" s="7">
        <v>44409</v>
      </c>
      <c r="Q2203" s="37">
        <v>55309</v>
      </c>
      <c r="R2203" s="37" t="s">
        <v>440</v>
      </c>
    </row>
    <row r="2204" spans="1:18" x14ac:dyDescent="0.15">
      <c r="A2204" s="12" t="s">
        <v>449</v>
      </c>
      <c r="B2204" t="s">
        <v>173</v>
      </c>
      <c r="C2204">
        <v>31143622</v>
      </c>
      <c r="D2204">
        <v>50</v>
      </c>
      <c r="E2204" t="s">
        <v>74</v>
      </c>
      <c r="G2204">
        <v>207.74</v>
      </c>
      <c r="H2204">
        <v>207.7</v>
      </c>
      <c r="J2204" s="36" t="s">
        <v>23</v>
      </c>
      <c r="K2204">
        <f t="shared" si="82"/>
        <v>207.7</v>
      </c>
      <c r="L2204">
        <f t="shared" si="83"/>
        <v>207.74</v>
      </c>
      <c r="M2204" t="s">
        <v>218</v>
      </c>
      <c r="N2204" s="39" t="s">
        <v>442</v>
      </c>
      <c r="O2204" s="7">
        <v>44353</v>
      </c>
      <c r="Q2204" s="37">
        <v>25317</v>
      </c>
      <c r="R2204" s="37" t="s">
        <v>440</v>
      </c>
    </row>
    <row r="2205" spans="1:18" x14ac:dyDescent="0.15">
      <c r="A2205" s="12" t="s">
        <v>449</v>
      </c>
      <c r="B2205" t="s">
        <v>173</v>
      </c>
      <c r="C2205">
        <v>31143622</v>
      </c>
      <c r="D2205">
        <v>50</v>
      </c>
      <c r="E2205" t="s">
        <v>74</v>
      </c>
      <c r="G2205">
        <v>207.7</v>
      </c>
      <c r="H2205">
        <v>205.315</v>
      </c>
      <c r="J2205" s="36" t="s">
        <v>23</v>
      </c>
      <c r="K2205">
        <f t="shared" si="82"/>
        <v>205.315</v>
      </c>
      <c r="L2205">
        <f t="shared" si="83"/>
        <v>207.7</v>
      </c>
      <c r="M2205" t="s">
        <v>143</v>
      </c>
      <c r="N2205" s="37" t="s">
        <v>443</v>
      </c>
      <c r="O2205" s="7">
        <v>44387</v>
      </c>
      <c r="Q2205" s="37">
        <v>55302</v>
      </c>
      <c r="R2205" s="37" t="s">
        <v>444</v>
      </c>
    </row>
    <row r="2206" spans="1:18" x14ac:dyDescent="0.15">
      <c r="A2206" s="12" t="s">
        <v>449</v>
      </c>
      <c r="B2206" t="s">
        <v>173</v>
      </c>
      <c r="C2206">
        <v>31143622</v>
      </c>
      <c r="D2206">
        <v>50</v>
      </c>
      <c r="E2206" t="s">
        <v>74</v>
      </c>
      <c r="G2206">
        <v>205.315</v>
      </c>
      <c r="H2206">
        <v>205.26499999999999</v>
      </c>
      <c r="J2206" s="36" t="s">
        <v>23</v>
      </c>
      <c r="K2206">
        <f t="shared" si="82"/>
        <v>205.26499999999999</v>
      </c>
      <c r="L2206">
        <f t="shared" si="83"/>
        <v>205.315</v>
      </c>
      <c r="M2206" t="s">
        <v>218</v>
      </c>
      <c r="N2206" s="39" t="s">
        <v>442</v>
      </c>
      <c r="O2206" s="7">
        <v>44385</v>
      </c>
      <c r="Q2206" s="37">
        <v>25317</v>
      </c>
      <c r="R2206" s="37" t="s">
        <v>440</v>
      </c>
    </row>
    <row r="2207" spans="1:18" x14ac:dyDescent="0.15">
      <c r="A2207" s="12" t="s">
        <v>449</v>
      </c>
      <c r="B2207" t="s">
        <v>173</v>
      </c>
      <c r="C2207">
        <v>31143622</v>
      </c>
      <c r="D2207">
        <v>50</v>
      </c>
      <c r="E2207" t="s">
        <v>74</v>
      </c>
      <c r="G2207">
        <v>205.26499999999999</v>
      </c>
      <c r="H2207">
        <v>203.84</v>
      </c>
      <c r="J2207" s="36" t="s">
        <v>23</v>
      </c>
      <c r="K2207">
        <f t="shared" si="82"/>
        <v>203.84</v>
      </c>
      <c r="L2207">
        <f t="shared" si="83"/>
        <v>205.26499999999999</v>
      </c>
      <c r="M2207" t="s">
        <v>143</v>
      </c>
      <c r="N2207" s="37" t="s">
        <v>443</v>
      </c>
      <c r="O2207" s="7">
        <v>44388</v>
      </c>
      <c r="Q2207" s="37">
        <v>55302</v>
      </c>
      <c r="R2207" s="37" t="s">
        <v>440</v>
      </c>
    </row>
    <row r="2208" spans="1:18" x14ac:dyDescent="0.15">
      <c r="A2208" s="12" t="s">
        <v>449</v>
      </c>
      <c r="B2208" t="s">
        <v>173</v>
      </c>
      <c r="C2208">
        <v>31143622</v>
      </c>
      <c r="D2208">
        <v>50</v>
      </c>
      <c r="E2208" t="s">
        <v>76</v>
      </c>
      <c r="F2208" t="s">
        <v>82</v>
      </c>
      <c r="G2208">
        <v>211.35</v>
      </c>
      <c r="H2208">
        <v>211.7</v>
      </c>
      <c r="J2208" s="36" t="s">
        <v>23</v>
      </c>
      <c r="K2208">
        <f t="shared" si="82"/>
        <v>211.35</v>
      </c>
      <c r="L2208">
        <f t="shared" si="83"/>
        <v>211.7</v>
      </c>
      <c r="M2208" t="s">
        <v>328</v>
      </c>
      <c r="N2208" t="s">
        <v>442</v>
      </c>
      <c r="O2208" s="7">
        <v>44353</v>
      </c>
      <c r="Q2208">
        <v>25317</v>
      </c>
      <c r="R2208" t="s">
        <v>440</v>
      </c>
    </row>
    <row r="2209" spans="1:18" x14ac:dyDescent="0.15">
      <c r="A2209" s="12" t="s">
        <v>449</v>
      </c>
      <c r="B2209" t="s">
        <v>173</v>
      </c>
      <c r="C2209">
        <v>31143622</v>
      </c>
      <c r="D2209">
        <v>50</v>
      </c>
      <c r="E2209" t="s">
        <v>76</v>
      </c>
      <c r="F2209" t="s">
        <v>88</v>
      </c>
      <c r="G2209">
        <v>211.15</v>
      </c>
      <c r="H2209">
        <v>211.63</v>
      </c>
      <c r="J2209" s="36" t="s">
        <v>23</v>
      </c>
      <c r="K2209">
        <f t="shared" si="82"/>
        <v>211.15</v>
      </c>
      <c r="L2209">
        <f t="shared" si="83"/>
        <v>211.63</v>
      </c>
      <c r="M2209" t="s">
        <v>328</v>
      </c>
      <c r="N2209" t="s">
        <v>442</v>
      </c>
      <c r="O2209" s="7">
        <v>44353</v>
      </c>
      <c r="Q2209">
        <v>25317</v>
      </c>
      <c r="R2209" t="s">
        <v>440</v>
      </c>
    </row>
    <row r="2210" spans="1:18" x14ac:dyDescent="0.15">
      <c r="A2210" s="12" t="s">
        <v>449</v>
      </c>
      <c r="B2210" t="s">
        <v>173</v>
      </c>
      <c r="C2210">
        <v>31143622</v>
      </c>
      <c r="D2210">
        <v>50</v>
      </c>
      <c r="E2210" t="s">
        <v>76</v>
      </c>
      <c r="F2210" t="s">
        <v>80</v>
      </c>
      <c r="G2210">
        <v>211.59</v>
      </c>
      <c r="H2210">
        <v>211.15</v>
      </c>
      <c r="J2210" s="36" t="s">
        <v>23</v>
      </c>
      <c r="K2210">
        <f t="shared" si="82"/>
        <v>211.15</v>
      </c>
      <c r="L2210">
        <f t="shared" si="83"/>
        <v>211.59</v>
      </c>
      <c r="M2210" t="s">
        <v>328</v>
      </c>
      <c r="N2210" t="s">
        <v>442</v>
      </c>
      <c r="O2210" s="7">
        <v>44373</v>
      </c>
      <c r="Q2210">
        <v>25317</v>
      </c>
      <c r="R2210" t="s">
        <v>440</v>
      </c>
    </row>
    <row r="2211" spans="1:18" x14ac:dyDescent="0.15">
      <c r="A2211" s="12" t="s">
        <v>449</v>
      </c>
      <c r="B2211" t="s">
        <v>173</v>
      </c>
      <c r="C2211">
        <v>31143622</v>
      </c>
      <c r="D2211">
        <v>50</v>
      </c>
      <c r="E2211" t="s">
        <v>76</v>
      </c>
      <c r="F2211" t="s">
        <v>77</v>
      </c>
      <c r="G2211">
        <v>211.65</v>
      </c>
      <c r="H2211">
        <v>211.32</v>
      </c>
      <c r="J2211" s="36" t="s">
        <v>23</v>
      </c>
      <c r="K2211">
        <f t="shared" si="82"/>
        <v>211.32</v>
      </c>
      <c r="L2211">
        <f t="shared" si="83"/>
        <v>211.65</v>
      </c>
      <c r="M2211" t="s">
        <v>328</v>
      </c>
      <c r="N2211" t="s">
        <v>442</v>
      </c>
      <c r="O2211" s="7">
        <v>44373</v>
      </c>
      <c r="Q2211">
        <v>25317</v>
      </c>
      <c r="R2211" t="s">
        <v>440</v>
      </c>
    </row>
    <row r="2212" spans="1:18" x14ac:dyDescent="0.15">
      <c r="A2212" s="12" t="s">
        <v>449</v>
      </c>
      <c r="B2212" t="s">
        <v>173</v>
      </c>
      <c r="C2212">
        <v>31143622</v>
      </c>
      <c r="D2212">
        <v>50</v>
      </c>
      <c r="E2212" t="s">
        <v>76</v>
      </c>
      <c r="F2212" t="s">
        <v>77</v>
      </c>
      <c r="G2212">
        <v>206.24</v>
      </c>
      <c r="H2212">
        <v>205.9</v>
      </c>
      <c r="J2212" s="36" t="s">
        <v>23</v>
      </c>
      <c r="K2212">
        <f t="shared" si="82"/>
        <v>205.9</v>
      </c>
      <c r="L2212">
        <f t="shared" si="83"/>
        <v>206.24</v>
      </c>
      <c r="M2212" t="s">
        <v>328</v>
      </c>
      <c r="N2212" t="s">
        <v>442</v>
      </c>
      <c r="O2212" s="7">
        <v>44388</v>
      </c>
      <c r="Q2212">
        <v>25317</v>
      </c>
      <c r="R2212" t="s">
        <v>440</v>
      </c>
    </row>
    <row r="2213" spans="1:18" x14ac:dyDescent="0.15">
      <c r="A2213" s="12" t="s">
        <v>449</v>
      </c>
      <c r="B2213" t="s">
        <v>173</v>
      </c>
      <c r="C2213">
        <v>31143622</v>
      </c>
      <c r="D2213">
        <v>50</v>
      </c>
      <c r="E2213" t="s">
        <v>76</v>
      </c>
      <c r="F2213" t="s">
        <v>82</v>
      </c>
      <c r="G2213">
        <v>206.4</v>
      </c>
      <c r="H2213">
        <v>206.73</v>
      </c>
      <c r="J2213" s="36" t="s">
        <v>23</v>
      </c>
      <c r="K2213">
        <f t="shared" si="82"/>
        <v>206.4</v>
      </c>
      <c r="L2213">
        <f t="shared" si="83"/>
        <v>206.73</v>
      </c>
      <c r="M2213" t="s">
        <v>328</v>
      </c>
      <c r="N2213" t="s">
        <v>442</v>
      </c>
      <c r="O2213" s="7">
        <v>44395</v>
      </c>
      <c r="Q2213">
        <v>25317</v>
      </c>
      <c r="R2213" t="s">
        <v>440</v>
      </c>
    </row>
    <row r="2214" spans="1:18" x14ac:dyDescent="0.15">
      <c r="A2214" s="12" t="s">
        <v>449</v>
      </c>
      <c r="B2214" t="s">
        <v>173</v>
      </c>
      <c r="C2214">
        <v>31143622</v>
      </c>
      <c r="D2214">
        <v>50</v>
      </c>
      <c r="E2214" t="s">
        <v>76</v>
      </c>
      <c r="F2214" t="s">
        <v>88</v>
      </c>
      <c r="G2214">
        <v>205.8</v>
      </c>
      <c r="H2214">
        <v>206.08</v>
      </c>
      <c r="J2214" s="36" t="s">
        <v>23</v>
      </c>
      <c r="K2214">
        <f t="shared" si="82"/>
        <v>205.8</v>
      </c>
      <c r="L2214">
        <f t="shared" si="83"/>
        <v>206.08</v>
      </c>
      <c r="M2214" t="s">
        <v>328</v>
      </c>
      <c r="N2214" t="s">
        <v>442</v>
      </c>
      <c r="O2214" s="7">
        <v>44395</v>
      </c>
      <c r="Q2214">
        <v>25317</v>
      </c>
      <c r="R2214" t="s">
        <v>440</v>
      </c>
    </row>
    <row r="2215" spans="1:18" x14ac:dyDescent="0.15">
      <c r="A2215" s="12" t="s">
        <v>449</v>
      </c>
      <c r="B2215" t="s">
        <v>173</v>
      </c>
      <c r="C2215">
        <v>31143622</v>
      </c>
      <c r="D2215">
        <v>50</v>
      </c>
      <c r="E2215" t="s">
        <v>76</v>
      </c>
      <c r="F2215" t="s">
        <v>80</v>
      </c>
      <c r="G2215">
        <v>206.4</v>
      </c>
      <c r="H2215">
        <v>206.75</v>
      </c>
      <c r="J2215" s="36" t="s">
        <v>23</v>
      </c>
      <c r="K2215">
        <f t="shared" si="82"/>
        <v>206.4</v>
      </c>
      <c r="L2215">
        <f t="shared" si="83"/>
        <v>206.75</v>
      </c>
      <c r="M2215" t="s">
        <v>328</v>
      </c>
      <c r="N2215" t="s">
        <v>442</v>
      </c>
      <c r="O2215" s="7">
        <v>44409</v>
      </c>
      <c r="Q2215">
        <v>25317</v>
      </c>
      <c r="R2215" t="s">
        <v>440</v>
      </c>
    </row>
    <row r="2216" spans="1:18" x14ac:dyDescent="0.15">
      <c r="A2216" s="12" t="s">
        <v>449</v>
      </c>
      <c r="B2216" t="s">
        <v>173</v>
      </c>
      <c r="C2216">
        <v>31143622</v>
      </c>
      <c r="D2216">
        <v>50</v>
      </c>
      <c r="E2216" t="s">
        <v>75</v>
      </c>
      <c r="G2216" s="35">
        <v>203.4</v>
      </c>
      <c r="H2216" s="35">
        <v>205.26</v>
      </c>
      <c r="I2216" s="36"/>
      <c r="J2216" s="36" t="s">
        <v>23</v>
      </c>
      <c r="K2216">
        <f t="shared" si="82"/>
        <v>203.4</v>
      </c>
      <c r="L2216">
        <f t="shared" si="83"/>
        <v>205.26</v>
      </c>
      <c r="M2216" t="s">
        <v>143</v>
      </c>
      <c r="N2216" s="37" t="s">
        <v>439</v>
      </c>
      <c r="O2216" s="7">
        <v>44383</v>
      </c>
      <c r="Q2216" s="37">
        <v>55311</v>
      </c>
      <c r="R2216" s="37" t="s">
        <v>440</v>
      </c>
    </row>
    <row r="2217" spans="1:18" x14ac:dyDescent="0.15">
      <c r="A2217" s="12" t="s">
        <v>449</v>
      </c>
      <c r="B2217" t="s">
        <v>173</v>
      </c>
      <c r="C2217">
        <v>31143622</v>
      </c>
      <c r="D2217">
        <v>50</v>
      </c>
      <c r="E2217" t="s">
        <v>75</v>
      </c>
      <c r="G2217" s="35">
        <v>205.26</v>
      </c>
      <c r="H2217" s="35">
        <v>205.31</v>
      </c>
      <c r="I2217" s="36"/>
      <c r="J2217" s="36" t="s">
        <v>23</v>
      </c>
      <c r="K2217">
        <f t="shared" si="82"/>
        <v>205.26</v>
      </c>
      <c r="L2217">
        <f t="shared" si="83"/>
        <v>205.31</v>
      </c>
      <c r="M2217" t="s">
        <v>328</v>
      </c>
      <c r="N2217" t="s">
        <v>442</v>
      </c>
      <c r="O2217" s="38">
        <v>44395</v>
      </c>
      <c r="Q2217" s="37">
        <v>25317</v>
      </c>
      <c r="R2217" s="37" t="s">
        <v>440</v>
      </c>
    </row>
    <row r="2218" spans="1:18" x14ac:dyDescent="0.15">
      <c r="A2218" s="12" t="s">
        <v>449</v>
      </c>
      <c r="B2218" t="s">
        <v>173</v>
      </c>
      <c r="C2218">
        <v>31143622</v>
      </c>
      <c r="D2218">
        <v>50</v>
      </c>
      <c r="E2218" t="s">
        <v>75</v>
      </c>
      <c r="G2218" s="35">
        <v>205.31</v>
      </c>
      <c r="H2218" s="35">
        <v>207.1</v>
      </c>
      <c r="I2218" s="36"/>
      <c r="J2218" s="36" t="s">
        <v>23</v>
      </c>
      <c r="K2218">
        <f t="shared" si="82"/>
        <v>205.31</v>
      </c>
      <c r="L2218">
        <f t="shared" si="83"/>
        <v>207.1</v>
      </c>
      <c r="M2218" t="s">
        <v>143</v>
      </c>
      <c r="N2218" s="37" t="s">
        <v>443</v>
      </c>
      <c r="O2218" s="38">
        <v>44395</v>
      </c>
      <c r="Q2218" s="37">
        <v>55311</v>
      </c>
      <c r="R2218" s="37" t="s">
        <v>441</v>
      </c>
    </row>
    <row r="2219" spans="1:18" x14ac:dyDescent="0.15">
      <c r="A2219" s="12" t="s">
        <v>449</v>
      </c>
      <c r="B2219" t="s">
        <v>173</v>
      </c>
      <c r="C2219">
        <v>31143622</v>
      </c>
      <c r="D2219">
        <v>50</v>
      </c>
      <c r="E2219" t="s">
        <v>75</v>
      </c>
      <c r="G2219" s="35">
        <v>207.1</v>
      </c>
      <c r="H2219" s="35">
        <v>207.5</v>
      </c>
      <c r="I2219" s="36"/>
      <c r="J2219" s="36" t="s">
        <v>23</v>
      </c>
      <c r="K2219">
        <f t="shared" si="82"/>
        <v>207.1</v>
      </c>
      <c r="L2219">
        <f t="shared" si="83"/>
        <v>207.5</v>
      </c>
      <c r="M2219" t="s">
        <v>328</v>
      </c>
      <c r="N2219" t="s">
        <v>442</v>
      </c>
      <c r="O2219" s="38">
        <v>44395</v>
      </c>
      <c r="Q2219" s="37">
        <v>25317</v>
      </c>
      <c r="R2219" s="37" t="s">
        <v>440</v>
      </c>
    </row>
    <row r="2220" spans="1:18" x14ac:dyDescent="0.15">
      <c r="A2220" s="12" t="s">
        <v>449</v>
      </c>
      <c r="B2220" t="s">
        <v>173</v>
      </c>
      <c r="C2220">
        <v>31143622</v>
      </c>
      <c r="D2220">
        <v>50</v>
      </c>
      <c r="E2220" t="s">
        <v>75</v>
      </c>
      <c r="G2220" s="35">
        <v>207.5</v>
      </c>
      <c r="H2220" s="35">
        <v>207.875</v>
      </c>
      <c r="I2220" s="36"/>
      <c r="J2220" s="36" t="s">
        <v>23</v>
      </c>
      <c r="K2220">
        <f t="shared" si="82"/>
        <v>207.5</v>
      </c>
      <c r="L2220">
        <f t="shared" si="83"/>
        <v>207.875</v>
      </c>
      <c r="M2220" t="s">
        <v>143</v>
      </c>
      <c r="N2220" s="37" t="s">
        <v>443</v>
      </c>
      <c r="O2220" s="38">
        <v>44395</v>
      </c>
      <c r="Q2220" s="37">
        <v>55311</v>
      </c>
      <c r="R2220" s="37" t="s">
        <v>440</v>
      </c>
    </row>
    <row r="2221" spans="1:18" x14ac:dyDescent="0.15">
      <c r="A2221" s="12" t="s">
        <v>449</v>
      </c>
      <c r="B2221" t="s">
        <v>173</v>
      </c>
      <c r="C2221">
        <v>31143622</v>
      </c>
      <c r="D2221">
        <v>50</v>
      </c>
      <c r="E2221" t="s">
        <v>75</v>
      </c>
      <c r="G2221" s="35">
        <v>207.875</v>
      </c>
      <c r="H2221" s="35">
        <v>207.89500000000001</v>
      </c>
      <c r="I2221" s="36"/>
      <c r="J2221" s="36" t="s">
        <v>23</v>
      </c>
      <c r="K2221">
        <f t="shared" si="82"/>
        <v>207.875</v>
      </c>
      <c r="L2221">
        <f t="shared" si="83"/>
        <v>207.89500000000001</v>
      </c>
      <c r="M2221" t="s">
        <v>328</v>
      </c>
      <c r="N2221" t="s">
        <v>442</v>
      </c>
      <c r="O2221" s="38">
        <v>44395</v>
      </c>
      <c r="Q2221" s="37">
        <v>25317</v>
      </c>
      <c r="R2221" s="37" t="s">
        <v>440</v>
      </c>
    </row>
    <row r="2222" spans="1:18" x14ac:dyDescent="0.15">
      <c r="A2222" s="12" t="s">
        <v>449</v>
      </c>
      <c r="B2222" t="s">
        <v>173</v>
      </c>
      <c r="C2222">
        <v>31143622</v>
      </c>
      <c r="D2222">
        <v>50</v>
      </c>
      <c r="E2222" t="s">
        <v>75</v>
      </c>
      <c r="G2222" s="35">
        <v>207.89500000000001</v>
      </c>
      <c r="H2222" s="35">
        <v>208.55</v>
      </c>
      <c r="I2222" s="36"/>
      <c r="J2222" s="36" t="s">
        <v>23</v>
      </c>
      <c r="K2222">
        <f t="shared" si="82"/>
        <v>207.89500000000001</v>
      </c>
      <c r="L2222">
        <f t="shared" si="83"/>
        <v>208.55</v>
      </c>
      <c r="M2222" t="s">
        <v>143</v>
      </c>
      <c r="N2222" s="37" t="s">
        <v>443</v>
      </c>
      <c r="O2222" s="38">
        <v>44395</v>
      </c>
      <c r="Q2222" s="37">
        <v>55311</v>
      </c>
      <c r="R2222" s="37" t="s">
        <v>440</v>
      </c>
    </row>
    <row r="2223" spans="1:18" x14ac:dyDescent="0.15">
      <c r="A2223" s="12" t="s">
        <v>449</v>
      </c>
      <c r="B2223" t="s">
        <v>173</v>
      </c>
      <c r="C2223">
        <v>31143622</v>
      </c>
      <c r="D2223">
        <v>50</v>
      </c>
      <c r="E2223" t="s">
        <v>75</v>
      </c>
      <c r="G2223" s="35">
        <v>208.55</v>
      </c>
      <c r="H2223" s="35">
        <f>G2223+0.075</f>
        <v>208.625</v>
      </c>
      <c r="I2223" s="36"/>
      <c r="J2223" s="36" t="s">
        <v>23</v>
      </c>
      <c r="K2223">
        <f t="shared" si="82"/>
        <v>208.55</v>
      </c>
      <c r="L2223">
        <f t="shared" si="83"/>
        <v>208.625</v>
      </c>
      <c r="M2223" t="s">
        <v>328</v>
      </c>
      <c r="N2223" t="s">
        <v>442</v>
      </c>
      <c r="O2223" s="38">
        <v>44395</v>
      </c>
      <c r="Q2223" s="37">
        <v>25317</v>
      </c>
      <c r="R2223" s="37" t="s">
        <v>440</v>
      </c>
    </row>
    <row r="2224" spans="1:18" x14ac:dyDescent="0.15">
      <c r="A2224" s="12" t="s">
        <v>449</v>
      </c>
      <c r="B2224" t="s">
        <v>173</v>
      </c>
      <c r="C2224">
        <v>31143622</v>
      </c>
      <c r="D2224">
        <v>50</v>
      </c>
      <c r="E2224" t="s">
        <v>75</v>
      </c>
      <c r="G2224" s="35">
        <v>208.625</v>
      </c>
      <c r="H2224" s="35">
        <v>215.06</v>
      </c>
      <c r="I2224" s="36"/>
      <c r="J2224" s="36" t="s">
        <v>23</v>
      </c>
      <c r="K2224">
        <f t="shared" si="82"/>
        <v>208.625</v>
      </c>
      <c r="L2224">
        <f t="shared" si="83"/>
        <v>215.06</v>
      </c>
      <c r="M2224" t="s">
        <v>143</v>
      </c>
      <c r="N2224" s="37" t="s">
        <v>443</v>
      </c>
      <c r="O2224" s="38">
        <v>44395</v>
      </c>
      <c r="Q2224" s="37">
        <v>55311</v>
      </c>
      <c r="R2224" s="37" t="s">
        <v>440</v>
      </c>
    </row>
    <row r="2225" spans="1:18" x14ac:dyDescent="0.15">
      <c r="A2225" s="12" t="s">
        <v>449</v>
      </c>
      <c r="B2225" t="s">
        <v>173</v>
      </c>
      <c r="C2225">
        <v>31143622</v>
      </c>
      <c r="D2225">
        <v>50</v>
      </c>
      <c r="E2225" t="s">
        <v>76</v>
      </c>
      <c r="F2225" t="s">
        <v>78</v>
      </c>
      <c r="G2225" s="36">
        <v>205.7</v>
      </c>
      <c r="H2225" s="36">
        <v>206.9</v>
      </c>
      <c r="I2225" s="36"/>
      <c r="J2225" s="36" t="s">
        <v>23</v>
      </c>
      <c r="K2225">
        <f t="shared" si="82"/>
        <v>205.7</v>
      </c>
      <c r="L2225">
        <f t="shared" si="83"/>
        <v>206.9</v>
      </c>
      <c r="M2225" t="s">
        <v>143</v>
      </c>
      <c r="N2225" s="37" t="s">
        <v>439</v>
      </c>
      <c r="O2225" s="38">
        <v>44395</v>
      </c>
      <c r="Q2225" s="37">
        <v>55311</v>
      </c>
      <c r="R2225" s="37" t="s">
        <v>440</v>
      </c>
    </row>
    <row r="2226" spans="1:18" x14ac:dyDescent="0.15">
      <c r="A2226" s="12" t="s">
        <v>449</v>
      </c>
      <c r="B2226" t="s">
        <v>173</v>
      </c>
      <c r="C2226">
        <v>31143622</v>
      </c>
      <c r="D2226">
        <v>50</v>
      </c>
      <c r="E2226" t="s">
        <v>76</v>
      </c>
      <c r="F2226" t="s">
        <v>216</v>
      </c>
      <c r="G2226" s="36">
        <v>204.47499999999999</v>
      </c>
      <c r="H2226" s="36">
        <v>204.98</v>
      </c>
      <c r="I2226" s="36"/>
      <c r="J2226" s="36" t="s">
        <v>23</v>
      </c>
      <c r="K2226">
        <f t="shared" si="82"/>
        <v>204.47499999999999</v>
      </c>
      <c r="L2226">
        <f t="shared" si="83"/>
        <v>204.98</v>
      </c>
      <c r="M2226" t="s">
        <v>143</v>
      </c>
      <c r="N2226" s="37" t="s">
        <v>443</v>
      </c>
      <c r="O2226" s="7">
        <v>44383</v>
      </c>
      <c r="Q2226" s="37">
        <v>55311</v>
      </c>
      <c r="R2226" s="37" t="s">
        <v>440</v>
      </c>
    </row>
    <row r="2227" spans="1:18" x14ac:dyDescent="0.15">
      <c r="A2227" s="12" t="s">
        <v>449</v>
      </c>
      <c r="B2227" t="s">
        <v>173</v>
      </c>
      <c r="C2227">
        <v>31143622</v>
      </c>
      <c r="D2227">
        <v>50</v>
      </c>
      <c r="E2227" t="s">
        <v>76</v>
      </c>
      <c r="F2227" t="s">
        <v>86</v>
      </c>
      <c r="G2227" s="36">
        <v>204.95</v>
      </c>
      <c r="H2227" s="36">
        <v>204.46</v>
      </c>
      <c r="I2227" s="36"/>
      <c r="J2227" s="36" t="s">
        <v>23</v>
      </c>
      <c r="K2227">
        <f t="shared" si="82"/>
        <v>204.46</v>
      </c>
      <c r="L2227">
        <f t="shared" si="83"/>
        <v>204.95</v>
      </c>
      <c r="M2227" t="s">
        <v>143</v>
      </c>
      <c r="N2227" s="37" t="s">
        <v>443</v>
      </c>
      <c r="O2227" s="7">
        <v>44388</v>
      </c>
      <c r="Q2227" s="37">
        <v>55311</v>
      </c>
      <c r="R2227" s="37" t="s">
        <v>440</v>
      </c>
    </row>
    <row r="2228" spans="1:18" x14ac:dyDescent="0.15">
      <c r="A2228" s="12" t="s">
        <v>449</v>
      </c>
      <c r="B2228" t="s">
        <v>213</v>
      </c>
      <c r="D2228">
        <v>50</v>
      </c>
      <c r="E2228" t="s">
        <v>76</v>
      </c>
      <c r="F2228" t="s">
        <v>166</v>
      </c>
      <c r="G2228" s="36">
        <v>155.75</v>
      </c>
      <c r="H2228" s="36">
        <v>155</v>
      </c>
      <c r="I2228" s="36"/>
      <c r="J2228" s="36" t="s">
        <v>23</v>
      </c>
      <c r="K2228">
        <f t="shared" si="82"/>
        <v>155</v>
      </c>
      <c r="L2228">
        <f t="shared" si="83"/>
        <v>155.75</v>
      </c>
      <c r="M2228" t="s">
        <v>27</v>
      </c>
      <c r="N2228" t="s">
        <v>454</v>
      </c>
      <c r="O2228" s="7">
        <v>44282</v>
      </c>
      <c r="Q2228">
        <v>73001</v>
      </c>
      <c r="R2228" s="37" t="s">
        <v>440</v>
      </c>
    </row>
    <row r="2229" spans="1:18" x14ac:dyDescent="0.15">
      <c r="A2229" s="12" t="s">
        <v>449</v>
      </c>
      <c r="B2229" t="s">
        <v>213</v>
      </c>
      <c r="D2229">
        <v>50</v>
      </c>
      <c r="E2229" t="s">
        <v>76</v>
      </c>
      <c r="F2229" t="s">
        <v>166</v>
      </c>
      <c r="G2229" s="36">
        <v>155.75</v>
      </c>
      <c r="H2229" s="36">
        <v>155</v>
      </c>
      <c r="I2229" s="36"/>
      <c r="J2229" s="36" t="s">
        <v>23</v>
      </c>
      <c r="K2229">
        <f t="shared" si="82"/>
        <v>155</v>
      </c>
      <c r="L2229">
        <f t="shared" si="83"/>
        <v>155.75</v>
      </c>
      <c r="M2229" t="s">
        <v>445</v>
      </c>
      <c r="N2229" t="s">
        <v>455</v>
      </c>
      <c r="O2229" s="7">
        <v>44282</v>
      </c>
      <c r="Q2229">
        <v>55309</v>
      </c>
      <c r="R2229" s="37" t="s">
        <v>440</v>
      </c>
    </row>
    <row r="2230" spans="1:18" x14ac:dyDescent="0.15">
      <c r="A2230" s="12" t="s">
        <v>449</v>
      </c>
      <c r="B2230" t="s">
        <v>213</v>
      </c>
      <c r="D2230">
        <v>50</v>
      </c>
      <c r="E2230" t="s">
        <v>76</v>
      </c>
      <c r="F2230" t="s">
        <v>166</v>
      </c>
      <c r="G2230" s="36">
        <v>155</v>
      </c>
      <c r="H2230" s="36">
        <v>154.80000000000001</v>
      </c>
      <c r="I2230" s="36"/>
      <c r="J2230" s="36" t="s">
        <v>23</v>
      </c>
      <c r="K2230">
        <f t="shared" si="82"/>
        <v>154.80000000000001</v>
      </c>
      <c r="L2230">
        <f t="shared" si="83"/>
        <v>155</v>
      </c>
      <c r="M2230" t="s">
        <v>143</v>
      </c>
      <c r="N2230" t="s">
        <v>439</v>
      </c>
      <c r="O2230" s="7">
        <v>44282</v>
      </c>
      <c r="Q2230">
        <v>55311</v>
      </c>
      <c r="R2230" s="37" t="s">
        <v>440</v>
      </c>
    </row>
    <row r="2231" spans="1:18" x14ac:dyDescent="0.15">
      <c r="A2231" s="12" t="s">
        <v>449</v>
      </c>
      <c r="B2231" t="s">
        <v>213</v>
      </c>
      <c r="D2231">
        <v>50</v>
      </c>
      <c r="E2231" t="s">
        <v>76</v>
      </c>
      <c r="F2231" t="s">
        <v>166</v>
      </c>
      <c r="G2231" s="36">
        <v>154.80000000000001</v>
      </c>
      <c r="H2231">
        <v>154.65</v>
      </c>
      <c r="I2231" s="36"/>
      <c r="J2231" s="36" t="s">
        <v>23</v>
      </c>
      <c r="K2231">
        <f t="shared" si="82"/>
        <v>154.65</v>
      </c>
      <c r="L2231">
        <f t="shared" si="83"/>
        <v>154.80000000000001</v>
      </c>
      <c r="M2231" t="s">
        <v>328</v>
      </c>
      <c r="N2231" t="s">
        <v>456</v>
      </c>
      <c r="O2231" s="7">
        <v>44282</v>
      </c>
      <c r="Q2231">
        <v>25317</v>
      </c>
      <c r="R2231" s="37" t="s">
        <v>440</v>
      </c>
    </row>
    <row r="2232" spans="1:18" x14ac:dyDescent="0.15">
      <c r="A2232" s="12" t="s">
        <v>449</v>
      </c>
      <c r="B2232" t="s">
        <v>213</v>
      </c>
      <c r="D2232">
        <v>15</v>
      </c>
      <c r="E2232" t="s">
        <v>74</v>
      </c>
      <c r="G2232" s="36">
        <v>152.80000000000001</v>
      </c>
      <c r="H2232">
        <v>151.52000000000001</v>
      </c>
      <c r="I2232" s="36"/>
      <c r="J2232" s="36" t="s">
        <v>23</v>
      </c>
      <c r="K2232">
        <f t="shared" si="82"/>
        <v>151.52000000000001</v>
      </c>
      <c r="L2232">
        <f t="shared" si="83"/>
        <v>152.80000000000001</v>
      </c>
      <c r="M2232" t="s">
        <v>143</v>
      </c>
      <c r="N2232" t="s">
        <v>458</v>
      </c>
      <c r="O2232" s="7">
        <v>44284</v>
      </c>
      <c r="Q2232" t="s">
        <v>225</v>
      </c>
      <c r="R2232" t="s">
        <v>457</v>
      </c>
    </row>
    <row r="2233" spans="1:18" x14ac:dyDescent="0.15">
      <c r="A2233" s="12" t="s">
        <v>449</v>
      </c>
      <c r="B2233" t="s">
        <v>213</v>
      </c>
      <c r="D2233">
        <v>15</v>
      </c>
      <c r="E2233" t="s">
        <v>74</v>
      </c>
      <c r="G2233" s="36">
        <v>151.52000000000001</v>
      </c>
      <c r="H2233">
        <v>150.4</v>
      </c>
      <c r="I2233" s="36"/>
      <c r="J2233" s="36" t="s">
        <v>23</v>
      </c>
      <c r="K2233">
        <f t="shared" si="82"/>
        <v>150.4</v>
      </c>
      <c r="L2233">
        <f t="shared" si="83"/>
        <v>151.52000000000001</v>
      </c>
      <c r="M2233" t="s">
        <v>143</v>
      </c>
      <c r="N2233" t="s">
        <v>459</v>
      </c>
      <c r="O2233" s="7">
        <v>44286</v>
      </c>
      <c r="Q2233">
        <v>55302</v>
      </c>
      <c r="R2233" t="s">
        <v>440</v>
      </c>
    </row>
    <row r="2234" spans="1:18" x14ac:dyDescent="0.15">
      <c r="A2234" s="12" t="s">
        <v>449</v>
      </c>
      <c r="B2234" t="s">
        <v>213</v>
      </c>
      <c r="D2234">
        <v>15</v>
      </c>
      <c r="E2234" t="s">
        <v>76</v>
      </c>
      <c r="F2234" t="s">
        <v>80</v>
      </c>
      <c r="G2234" s="36">
        <v>151.84</v>
      </c>
      <c r="H2234">
        <v>151.52000000000001</v>
      </c>
      <c r="I2234" s="36"/>
      <c r="J2234" s="36" t="s">
        <v>23</v>
      </c>
      <c r="K2234">
        <f t="shared" si="82"/>
        <v>151.52000000000001</v>
      </c>
      <c r="L2234">
        <f t="shared" si="83"/>
        <v>151.84</v>
      </c>
      <c r="M2234" t="s">
        <v>328</v>
      </c>
      <c r="N2234" t="s">
        <v>456</v>
      </c>
      <c r="O2234" s="7">
        <v>44285</v>
      </c>
      <c r="Q2234">
        <v>25317</v>
      </c>
      <c r="R2234" t="s">
        <v>440</v>
      </c>
    </row>
    <row r="2235" spans="1:18" x14ac:dyDescent="0.15">
      <c r="A2235" s="12" t="s">
        <v>449</v>
      </c>
      <c r="B2235" t="s">
        <v>213</v>
      </c>
      <c r="D2235">
        <v>15</v>
      </c>
      <c r="E2235" t="s">
        <v>76</v>
      </c>
      <c r="F2235" t="s">
        <v>77</v>
      </c>
      <c r="G2235" s="36">
        <v>151.5</v>
      </c>
      <c r="H2235">
        <v>151.1</v>
      </c>
      <c r="I2235" s="36"/>
      <c r="J2235" s="36" t="s">
        <v>23</v>
      </c>
      <c r="K2235">
        <f t="shared" si="82"/>
        <v>151.1</v>
      </c>
      <c r="L2235">
        <f t="shared" si="83"/>
        <v>151.5</v>
      </c>
      <c r="M2235" t="s">
        <v>328</v>
      </c>
      <c r="N2235" t="s">
        <v>456</v>
      </c>
      <c r="O2235" s="7">
        <v>44284</v>
      </c>
      <c r="Q2235">
        <v>25317</v>
      </c>
      <c r="R2235" t="s">
        <v>440</v>
      </c>
    </row>
  </sheetData>
  <autoFilter ref="A1:U217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Blad2</vt:lpstr>
      <vt:lpstr>Blad4</vt:lpstr>
      <vt:lpstr>Blad1</vt:lpstr>
    </vt:vector>
  </TitlesOfParts>
  <Company>Rijkswaterstaat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Schouten, Léon (GPO)</dc:creator>
  <cp:lastModifiedBy>Schouten, Léon (GPO)</cp:lastModifiedBy>
  <dcterms:created xsi:type="dcterms:W3CDTF">2022-06-15T15:11:49Z</dcterms:created>
  <dcterms:modified xsi:type="dcterms:W3CDTF">2023-08-28T06:56:32Z</dcterms:modified>
</cp:coreProperties>
</file>